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L10 Clustering/"/>
    </mc:Choice>
  </mc:AlternateContent>
  <xr:revisionPtr revIDLastSave="457" documentId="13_ncr:1_{3A9FD73F-BFF7-1C40-8EFE-8C6754C58F11}" xr6:coauthVersionLast="47" xr6:coauthVersionMax="47" xr10:uidLastSave="{5FC590A9-E49C-A949-BE80-68A41738A2A4}"/>
  <bookViews>
    <workbookView xWindow="-108" yWindow="-108" windowWidth="23256" windowHeight="12576" activeTab="1" xr2:uid="{00000000-000D-0000-FFFF-FFFF00000000}"/>
  </bookViews>
  <sheets>
    <sheet name="Clustering, k=2" sheetId="1" r:id="rId1"/>
    <sheet name="Clustering, k=2 (2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5" i="4" l="1"/>
  <c r="K115" i="4"/>
  <c r="L112" i="4"/>
  <c r="K112" i="4"/>
  <c r="L75" i="4"/>
  <c r="E100" i="4" s="1"/>
  <c r="K75" i="4"/>
  <c r="D100" i="4" s="1"/>
  <c r="L72" i="4"/>
  <c r="E97" i="4" s="1"/>
  <c r="K72" i="4"/>
  <c r="D97" i="4" s="1"/>
  <c r="E133" i="4"/>
  <c r="E132" i="4"/>
  <c r="G108" i="4"/>
  <c r="L113" i="4"/>
  <c r="E106" i="4"/>
  <c r="E91" i="4"/>
  <c r="E128" i="4"/>
  <c r="G111" i="4"/>
  <c r="E52" i="4"/>
  <c r="G122" i="4"/>
  <c r="E107" i="4"/>
  <c r="E125" i="4"/>
  <c r="G84" i="4"/>
  <c r="K113" i="4"/>
  <c r="E116" i="4"/>
  <c r="E112" i="4"/>
  <c r="E113" i="4"/>
  <c r="E108" i="4"/>
  <c r="G109" i="4"/>
  <c r="G127" i="4"/>
  <c r="E105" i="4"/>
  <c r="G112" i="4"/>
  <c r="G110" i="4"/>
  <c r="G124" i="4"/>
  <c r="K116" i="4"/>
  <c r="E114" i="4"/>
  <c r="G87" i="4"/>
  <c r="E126" i="4"/>
  <c r="G82" i="4"/>
  <c r="L116" i="4"/>
  <c r="E85" i="4"/>
  <c r="G113" i="4"/>
  <c r="E83" i="4"/>
  <c r="E117" i="4"/>
  <c r="E92" i="4"/>
  <c r="E109" i="4"/>
  <c r="E104" i="4"/>
  <c r="E131" i="4"/>
  <c r="E123" i="4"/>
  <c r="E115" i="4"/>
  <c r="D112" i="4" l="1"/>
  <c r="F122" i="4" s="1"/>
  <c r="D113" i="4"/>
  <c r="D114" i="4"/>
  <c r="F124" i="4" s="1"/>
  <c r="D115" i="4"/>
  <c r="D116" i="4"/>
  <c r="D117" i="4"/>
  <c r="F127" i="4" s="1"/>
  <c r="D105" i="4"/>
  <c r="D123" i="4" s="1"/>
  <c r="D106" i="4"/>
  <c r="D107" i="4"/>
  <c r="D108" i="4"/>
  <c r="D109" i="4"/>
  <c r="F113" i="4" s="1"/>
  <c r="D104" i="4"/>
  <c r="F108" i="4" s="1"/>
  <c r="L35" i="4"/>
  <c r="E60" i="4" s="1"/>
  <c r="K35" i="4"/>
  <c r="D60" i="4" s="1"/>
  <c r="L32" i="4"/>
  <c r="E57" i="4" s="1"/>
  <c r="K32" i="4"/>
  <c r="D57" i="4" s="1"/>
  <c r="D25" i="4"/>
  <c r="F29" i="4" s="1"/>
  <c r="D28" i="4"/>
  <c r="D26" i="4"/>
  <c r="D27" i="4"/>
  <c r="D29" i="4"/>
  <c r="D30" i="4"/>
  <c r="D34" i="4"/>
  <c r="D35" i="4"/>
  <c r="D36" i="4"/>
  <c r="D37" i="4"/>
  <c r="D38" i="4"/>
  <c r="D33" i="4"/>
  <c r="E18" i="1"/>
  <c r="D25" i="1"/>
  <c r="D28" i="1"/>
  <c r="L21" i="1"/>
  <c r="K21" i="1"/>
  <c r="L18" i="1"/>
  <c r="K18" i="1"/>
  <c r="E34" i="1"/>
  <c r="D34" i="1"/>
  <c r="D35" i="1"/>
  <c r="D36" i="1"/>
  <c r="D37" i="1"/>
  <c r="D38" i="1"/>
  <c r="D33" i="1"/>
  <c r="Q34" i="1" s="1"/>
  <c r="G72" i="4"/>
  <c r="E67" i="4"/>
  <c r="E73" i="4"/>
  <c r="G34" i="4"/>
  <c r="G48" i="4"/>
  <c r="G31" i="4"/>
  <c r="E65" i="4"/>
  <c r="E29" i="4"/>
  <c r="E28" i="4"/>
  <c r="E86" i="4"/>
  <c r="G45" i="4"/>
  <c r="E72" i="4"/>
  <c r="E25" i="4"/>
  <c r="E44" i="4"/>
  <c r="L33" i="4"/>
  <c r="L76" i="4"/>
  <c r="G73" i="4"/>
  <c r="E76" i="4"/>
  <c r="E43" i="4"/>
  <c r="G32" i="4"/>
  <c r="G29" i="4"/>
  <c r="E46" i="4"/>
  <c r="G68" i="4"/>
  <c r="E33" i="4"/>
  <c r="G30" i="4"/>
  <c r="E88" i="4"/>
  <c r="K33" i="4"/>
  <c r="K36" i="4"/>
  <c r="E38" i="4"/>
  <c r="E30" i="4"/>
  <c r="G70" i="4"/>
  <c r="E69" i="4"/>
  <c r="G71" i="4"/>
  <c r="E74" i="4"/>
  <c r="G33" i="4"/>
  <c r="K76" i="4"/>
  <c r="L73" i="4"/>
  <c r="E27" i="4"/>
  <c r="E64" i="4"/>
  <c r="E35" i="4"/>
  <c r="K73" i="4"/>
  <c r="E77" i="4"/>
  <c r="E75" i="4"/>
  <c r="E34" i="4"/>
  <c r="L36" i="4"/>
  <c r="E26" i="4"/>
  <c r="E47" i="4"/>
  <c r="G69" i="4"/>
  <c r="E49" i="4"/>
  <c r="E66" i="4"/>
  <c r="E37" i="4"/>
  <c r="E68" i="4"/>
  <c r="E36" i="4"/>
  <c r="D125" i="4" l="1"/>
  <c r="F111" i="4"/>
  <c r="F109" i="4"/>
  <c r="D126" i="4"/>
  <c r="F112" i="4"/>
  <c r="D73" i="4"/>
  <c r="D74" i="4"/>
  <c r="F84" i="4" s="1"/>
  <c r="D72" i="4"/>
  <c r="F82" i="4" s="1"/>
  <c r="D76" i="4"/>
  <c r="D77" i="4"/>
  <c r="F87" i="4" s="1"/>
  <c r="F31" i="4"/>
  <c r="F34" i="4"/>
  <c r="D67" i="4"/>
  <c r="D85" i="4" s="1"/>
  <c r="D75" i="4"/>
  <c r="D66" i="4"/>
  <c r="D65" i="4"/>
  <c r="D83" i="4" s="1"/>
  <c r="F71" i="4"/>
  <c r="D64" i="4"/>
  <c r="D69" i="4"/>
  <c r="D68" i="4"/>
  <c r="D43" i="4"/>
  <c r="F45" i="4"/>
  <c r="D47" i="4"/>
  <c r="F33" i="4"/>
  <c r="F30" i="4"/>
  <c r="F48" i="4"/>
  <c r="D44" i="4"/>
  <c r="F28" i="1"/>
  <c r="D27" i="1"/>
  <c r="F27" i="1" s="1"/>
  <c r="D30" i="1"/>
  <c r="F30" i="1" s="1"/>
  <c r="D26" i="1"/>
  <c r="F26" i="1" s="1"/>
  <c r="E26" i="1"/>
  <c r="D29" i="1"/>
  <c r="F29" i="1" s="1"/>
  <c r="K39" i="1"/>
  <c r="Q39" i="1"/>
  <c r="J37" i="1"/>
  <c r="P37" i="1"/>
  <c r="K36" i="1"/>
  <c r="Q36" i="1"/>
  <c r="F73" i="4" l="1"/>
  <c r="F70" i="4"/>
  <c r="F68" i="4"/>
  <c r="D86" i="4"/>
  <c r="F72" i="4"/>
  <c r="F32" i="4"/>
  <c r="D46" i="4"/>
  <c r="D49" i="4" s="1"/>
  <c r="D52" i="4" s="1"/>
  <c r="D131" i="4" s="1"/>
  <c r="P38" i="1"/>
  <c r="J38" i="1"/>
  <c r="P35" i="1"/>
  <c r="P40" i="1"/>
  <c r="J35" i="1"/>
  <c r="J34" i="1"/>
  <c r="F25" i="1"/>
  <c r="D128" i="4" l="1"/>
  <c r="D91" i="4"/>
  <c r="J40" i="1"/>
  <c r="D133" i="4" l="1"/>
  <c r="F110" i="4"/>
  <c r="D88" i="4"/>
  <c r="D92" i="4" s="1"/>
  <c r="F69" i="4"/>
  <c r="D132" i="4" l="1"/>
</calcChain>
</file>

<file path=xl/sharedStrings.xml><?xml version="1.0" encoding="utf-8"?>
<sst xmlns="http://schemas.openxmlformats.org/spreadsheetml/2006/main" count="173" uniqueCount="35">
  <si>
    <t>1. Randomly set the center for K groups, let assume K = 2</t>
  </si>
  <si>
    <t>2. Calculate the distance of each values to the center of each group, assign it to the group with least distance.</t>
  </si>
  <si>
    <t>3. Recalculate the center of the group according to the result obtained in 2.</t>
  </si>
  <si>
    <t>4. Repeat the process 2-3 until there is no change or where you are satisfied with the result.</t>
  </si>
  <si>
    <t>5. Measure the performace using the total within-cluster sum of square (WSS)</t>
  </si>
  <si>
    <t>6. Go to Step 1 for K = K+1, until K = maximum K</t>
  </si>
  <si>
    <t xml:space="preserve">7. Select the best K using Knee-plot </t>
  </si>
  <si>
    <t>Students</t>
  </si>
  <si>
    <t>Physics</t>
  </si>
  <si>
    <t>Biology</t>
  </si>
  <si>
    <t>A</t>
  </si>
  <si>
    <t>Center</t>
  </si>
  <si>
    <t>Group Re-center</t>
  </si>
  <si>
    <t>Group A</t>
  </si>
  <si>
    <t>Round 1</t>
  </si>
  <si>
    <t>B</t>
  </si>
  <si>
    <t>Group B</t>
  </si>
  <si>
    <t xml:space="preserve"> </t>
  </si>
  <si>
    <t>Distance from A</t>
  </si>
  <si>
    <t>Assigned to Cluster</t>
  </si>
  <si>
    <t>Distance</t>
  </si>
  <si>
    <t>Euclidean</t>
  </si>
  <si>
    <t>Round 2</t>
  </si>
  <si>
    <t>Distance from B</t>
  </si>
  <si>
    <t>Performance evaluation  (the lower, the better)</t>
  </si>
  <si>
    <t>Sq Dist in A</t>
  </si>
  <si>
    <t>Sq Dist in B</t>
  </si>
  <si>
    <t>RSS</t>
  </si>
  <si>
    <t>Round 3</t>
  </si>
  <si>
    <t>ใกล้กลุ่มไหน อยู่กลุ่มนั้น</t>
  </si>
  <si>
    <t>random students</t>
  </si>
  <si>
    <t>Re Center</t>
  </si>
  <si>
    <t>สรุป เมื่อ สมาชิก Assigned to Cluster(center) ไม่เปลี่ยนไปจากรอบก่อนหน้าให้หยุดทำแล้วสรุปได้ดังนี้</t>
  </si>
  <si>
    <t>center ของgroupA ที่ดีที่สุดคือ 1.667 และ 2500</t>
  </si>
  <si>
    <t>center ของgroupB ที่ดีที่สุดคือ 3.833 และ 3.167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</si>
</sst>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"/>
  </numFmts>
  <fonts count="20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color rgb="FF242424"/>
      <name val="Consolas"/>
      <family val="3"/>
    </font>
    <font>
      <sz val="11"/>
      <color rgb="FF242424"/>
      <name val="Aptos Narrow"/>
      <family val="2"/>
    </font>
    <font>
      <sz val="8"/>
      <color rgb="FF242424"/>
      <name val="Consolas"/>
      <family val="2"/>
    </font>
    <font>
      <sz val="8"/>
      <color theme="1"/>
      <name val="Tahoma"/>
      <family val="2"/>
      <scheme val="minor"/>
    </font>
    <font>
      <b/>
      <sz val="12"/>
      <color theme="1"/>
      <name val="Tahoma"/>
      <family val="2"/>
      <charset val="222"/>
      <scheme val="minor"/>
    </font>
    <font>
      <sz val="14"/>
      <color rgb="FF242424"/>
      <name val="Aptos Narrow"/>
      <family val="2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4"/>
      <color theme="1"/>
      <name val="Tahoma"/>
      <family val="2"/>
      <scheme val="minor"/>
    </font>
    <font>
      <sz val="10"/>
      <color rgb="FF242424"/>
      <name val="Consolas"/>
      <family val="2"/>
    </font>
    <font>
      <b/>
      <sz val="8"/>
      <color rgb="FF242424"/>
      <name val="Consolas"/>
      <family val="2"/>
      <charset val="222"/>
    </font>
    <font>
      <b/>
      <sz val="10"/>
      <color rgb="FF242424"/>
      <name val="Consolas"/>
      <family val="2"/>
    </font>
    <font>
      <b/>
      <sz val="10"/>
      <color rgb="FF242424"/>
      <name val="Consolas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5" fillId="0" borderId="0" xfId="0" applyFont="1"/>
    <xf numFmtId="0" fontId="1" fillId="0" borderId="0" xfId="0" quotePrefix="1" applyFont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/>
    <xf numFmtId="0" fontId="1" fillId="0" borderId="1" xfId="0" applyFont="1" applyBorder="1"/>
    <xf numFmtId="187" fontId="1" fillId="0" borderId="1" xfId="0" applyNumberFormat="1" applyFont="1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" fontId="1" fillId="0" borderId="0" xfId="0" quotePrefix="1" applyNumberFormat="1" applyFont="1"/>
    <xf numFmtId="0" fontId="6" fillId="0" borderId="0" xfId="0" applyFont="1" applyAlignment="1">
      <alignment wrapText="1"/>
    </xf>
    <xf numFmtId="0" fontId="7" fillId="0" borderId="0" xfId="0" applyFont="1"/>
    <xf numFmtId="0" fontId="9" fillId="0" borderId="0" xfId="0" applyFont="1"/>
    <xf numFmtId="0" fontId="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87" fontId="13" fillId="2" borderId="1" xfId="0" applyNumberFormat="1" applyFont="1" applyFill="1" applyBorder="1"/>
    <xf numFmtId="0" fontId="15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0" fillId="0" borderId="1" xfId="0" applyFont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right"/>
    </xf>
    <xf numFmtId="0" fontId="17" fillId="0" borderId="0" xfId="0" applyFont="1" applyAlignment="1">
      <alignment wrapText="1"/>
    </xf>
    <xf numFmtId="0" fontId="18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8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19" fillId="0" borderId="7" xfId="0" applyFont="1" applyBorder="1"/>
    <xf numFmtId="0" fontId="17" fillId="0" borderId="7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8" fillId="0" borderId="7" xfId="0" applyFont="1" applyBorder="1" applyAlignment="1">
      <alignment wrapText="1"/>
    </xf>
    <xf numFmtId="187" fontId="1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87" fontId="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/>
    <xf numFmtId="0" fontId="13" fillId="0" borderId="1" xfId="0" applyFont="1" applyBorder="1" applyAlignment="1">
      <alignment horizontal="left" vertical="center"/>
    </xf>
    <xf numFmtId="0" fontId="10" fillId="0" borderId="1" xfId="0" applyFont="1" applyBorder="1"/>
    <xf numFmtId="0" fontId="11" fillId="0" borderId="3" xfId="0" applyFont="1" applyBorder="1"/>
    <xf numFmtId="0" fontId="1" fillId="0" borderId="4" xfId="0" applyFont="1" applyBorder="1"/>
    <xf numFmtId="0" fontId="11" fillId="0" borderId="6" xfId="0" applyFont="1" applyBorder="1"/>
    <xf numFmtId="0" fontId="1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82801709906909"/>
          <c:y val="0.14031614814389134"/>
          <c:w val="0.82642080334707146"/>
          <c:h val="0.785855658707456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'Clustering, k=2'!$E$9</c:f>
              <c:strCache>
                <c:ptCount val="1"/>
                <c:pt idx="0">
                  <c:v>Biology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BF8449D-92C0-9F4F-AE1E-94CB6F2AECC7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C34-4AC2-9361-4D35EE7D49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00FFBA-EE7C-4794-96EF-9703794DF21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C34-4AC2-9361-4D35EE7D494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484281-9EFD-4749-85E6-4E17EB3AEF5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C34-4AC2-9361-4D35EE7D494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272899-690E-4E67-90A1-2CA1C87F9A4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C34-4AC2-9361-4D35EE7D494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9E55BF1-9A87-4C52-AFFB-D728A6F5E07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C34-4AC2-9361-4D35EE7D494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B6A3D1-A5DD-406A-8E2D-0017FE071D4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C34-4AC2-9361-4D35EE7D49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'Clustering, k=2'!$D$10:$D$15</c:f>
              <c:numCache>
                <c:formatCode>General</c:formatCode>
                <c:ptCount val="6"/>
                <c:pt idx="0">
                  <c:v>3.5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</c:numCache>
            </c:numRef>
          </c:xVal>
          <c:yVal>
            <c:numRef>
              <c:f>'Clustering, k=2'!$E$10:$E$15</c:f>
              <c:numCache>
                <c:formatCode>General</c:formatCode>
                <c:ptCount val="6"/>
                <c:pt idx="0">
                  <c:v>3</c:v>
                </c:pt>
                <c:pt idx="1">
                  <c:v>2.5</c:v>
                </c:pt>
                <c:pt idx="2">
                  <c:v>3.5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'Clustering, k=2'!$B$10:$B$15</c15:f>
                <c15:dlblRangeCache>
                  <c:ptCount val="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963-4110-9210-226E4F941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816352"/>
        <c:axId val="1720812544"/>
      </c:scatterChart>
      <c:valAx>
        <c:axId val="172081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Physics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20812544"/>
        <c:crosses val="autoZero"/>
        <c:crossBetween val="midCat"/>
      </c:valAx>
      <c:valAx>
        <c:axId val="172081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2081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63662150869225"/>
          <c:y val="0.12584358993960709"/>
          <c:w val="0.82642080334707146"/>
          <c:h val="0.785855658707456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'Clustering, k=2 (2)'!$D$9</c:f>
              <c:strCache>
                <c:ptCount val="1"/>
                <c:pt idx="0">
                  <c:v>Biology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9705B22-9581-7D4A-AD30-ACDDCBBC3CB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9E7-9745-ABB6-CAD7A01F10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41DB1A-5FFB-4D08-8941-C538738F6A0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9E7-9745-ABB6-CAD7A01F100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B9815E-A518-4351-97CD-C3AF48DDA18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9E7-9745-ABB6-CAD7A01F100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1E3E319-0166-4252-A6BF-6971054CE0F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9E7-9745-ABB6-CAD7A01F100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3D9335-C04C-476C-A7F0-61B26B3A570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9E7-9745-ABB6-CAD7A01F100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3108D8E-38A1-456F-BCBF-8A947DFA36A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9E7-9745-ABB6-CAD7A01F1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'Clustering, k=2 (2)'!$C$10:$C$15</c:f>
              <c:numCache>
                <c:formatCode>General</c:formatCode>
                <c:ptCount val="6"/>
                <c:pt idx="0">
                  <c:v>3.5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</c:numCache>
            </c:numRef>
          </c:xVal>
          <c:yVal>
            <c:numRef>
              <c:f>'Clustering, k=2 (2)'!$D$10:$D$15</c:f>
              <c:numCache>
                <c:formatCode>General</c:formatCode>
                <c:ptCount val="6"/>
                <c:pt idx="0">
                  <c:v>3</c:v>
                </c:pt>
                <c:pt idx="1">
                  <c:v>2.5</c:v>
                </c:pt>
                <c:pt idx="2">
                  <c:v>3.5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'Clustering, k=2 (2)'!$B$10:$B$15</c15:f>
                <c15:dlblRangeCache>
                  <c:ptCount val="6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9E7-9745-ABB6-CAD7A01F1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816352"/>
        <c:axId val="1720812544"/>
      </c:scatterChart>
      <c:valAx>
        <c:axId val="172081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Physics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20812544"/>
        <c:crosses val="autoZero"/>
        <c:crossBetween val="midCat"/>
      </c:valAx>
      <c:valAx>
        <c:axId val="172081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Biology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72081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551260</xdr:colOff>
      <xdr:row>6</xdr:row>
      <xdr:rowOff>96836</xdr:rowOff>
    </xdr:from>
    <xdr:to>
      <xdr:col>19</xdr:col>
      <xdr:colOff>372666</xdr:colOff>
      <xdr:row>24</xdr:row>
      <xdr:rowOff>117077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241300</xdr:colOff>
      <xdr:row>6</xdr:row>
      <xdr:rowOff>141287</xdr:rowOff>
    </xdr:from>
    <xdr:to>
      <xdr:col>18</xdr:col>
      <xdr:colOff>635000</xdr:colOff>
      <xdr:row>17</xdr:row>
      <xdr:rowOff>88900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109700" y="1360487"/>
          <a:ext cx="1079500" cy="218281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114300</xdr:colOff>
      <xdr:row>8</xdr:row>
      <xdr:rowOff>101600</xdr:rowOff>
    </xdr:from>
    <xdr:to>
      <xdr:col>16</xdr:col>
      <xdr:colOff>444500</xdr:colOff>
      <xdr:row>18</xdr:row>
      <xdr:rowOff>12700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925300" y="1727200"/>
          <a:ext cx="1701800" cy="19431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449660</xdr:colOff>
      <xdr:row>0</xdr:row>
      <xdr:rowOff>0</xdr:rowOff>
    </xdr:from>
    <xdr:to>
      <xdr:col>12</xdr:col>
      <xdr:colOff>50800</xdr:colOff>
      <xdr:row>13</xdr:row>
      <xdr:rowOff>139700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E780D99-AE08-5E46-8C66-90BEAF7C9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1247775</xdr:colOff>
      <xdr:row>0</xdr:row>
      <xdr:rowOff>173990</xdr:rowOff>
    </xdr:from>
    <xdr:to>
      <xdr:col>11</xdr:col>
      <xdr:colOff>1055370</xdr:colOff>
      <xdr:row>9</xdr:row>
      <xdr:rowOff>161925</xdr:rowOff>
    </xdr:to>
    <xdr:sp macro="" textlink="">
      <xdr:nvSpPr>
        <xdr:cNvPr id="3" name="Oval 1">
          <a:extLst>
            <a:ext uri="{FF2B5EF4-FFF2-40B4-BE49-F238E27FC236}">
              <a16:creationId xmlns:a16="http://schemas.microsoft.com/office/drawing/2014/main" id="{7120ACC4-9C7B-4A4B-AB59-076C8FCC9FCE}"/>
            </a:ext>
          </a:extLst>
        </xdr:cNvPr>
        <xdr:cNvSpPr/>
      </xdr:nvSpPr>
      <xdr:spPr>
        <a:xfrm>
          <a:off x="11287125" y="173990"/>
          <a:ext cx="1322070" cy="170243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283210</xdr:colOff>
      <xdr:row>1</xdr:row>
      <xdr:rowOff>25718</xdr:rowOff>
    </xdr:from>
    <xdr:to>
      <xdr:col>10</xdr:col>
      <xdr:colOff>800100</xdr:colOff>
      <xdr:row>9</xdr:row>
      <xdr:rowOff>85408</xdr:rowOff>
    </xdr:to>
    <xdr:sp macro="" textlink="">
      <xdr:nvSpPr>
        <xdr:cNvPr id="4" name="Oval 4">
          <a:extLst>
            <a:ext uri="{FF2B5EF4-FFF2-40B4-BE49-F238E27FC236}">
              <a16:creationId xmlns:a16="http://schemas.microsoft.com/office/drawing/2014/main" id="{AFF679C6-2322-8A4B-9777-3A6585ACCDF3}"/>
            </a:ext>
          </a:extLst>
        </xdr:cNvPr>
        <xdr:cNvSpPr/>
      </xdr:nvSpPr>
      <xdr:spPr>
        <a:xfrm>
          <a:off x="9636760" y="216218"/>
          <a:ext cx="1202690" cy="158369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292560</xdr:colOff>
      <xdr:row>24</xdr:row>
      <xdr:rowOff>95618</xdr:rowOff>
    </xdr:from>
    <xdr:to>
      <xdr:col>8</xdr:col>
      <xdr:colOff>423977</xdr:colOff>
      <xdr:row>26</xdr:row>
      <xdr:rowOff>183781</xdr:rowOff>
    </xdr:to>
    <xdr:sp macro="" textlink="">
      <xdr:nvSpPr>
        <xdr:cNvPr id="5" name="ลูกศรขึ้น 4">
          <a:extLst>
            <a:ext uri="{FF2B5EF4-FFF2-40B4-BE49-F238E27FC236}">
              <a16:creationId xmlns:a16="http://schemas.microsoft.com/office/drawing/2014/main" id="{F2D2BC13-C35B-FAB3-EAD5-5970D1487A0F}"/>
            </a:ext>
          </a:extLst>
        </xdr:cNvPr>
        <xdr:cNvSpPr/>
      </xdr:nvSpPr>
      <xdr:spPr>
        <a:xfrm rot="5400000">
          <a:off x="8136650" y="4252107"/>
          <a:ext cx="474685" cy="1511852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161906</xdr:colOff>
      <xdr:row>27</xdr:row>
      <xdr:rowOff>137098</xdr:rowOff>
    </xdr:from>
    <xdr:to>
      <xdr:col>11</xdr:col>
      <xdr:colOff>456527</xdr:colOff>
      <xdr:row>29</xdr:row>
      <xdr:rowOff>87982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E42CED63-DA96-CF18-D837-16D4C1F38BEE}"/>
            </a:ext>
          </a:extLst>
        </xdr:cNvPr>
        <xdr:cNvSpPr txBox="1"/>
      </xdr:nvSpPr>
      <xdr:spPr>
        <a:xfrm>
          <a:off x="11757558" y="4812170"/>
          <a:ext cx="2402085" cy="3374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Average</a:t>
          </a:r>
          <a:r>
            <a:rPr lang="en-US" sz="1100" baseline="0"/>
            <a:t> </a:t>
          </a:r>
          <a:r>
            <a:rPr lang="th-TH" sz="1100" baseline="0"/>
            <a:t>ตาม </a:t>
          </a:r>
          <a:r>
            <a:rPr lang="en" sz="1100" baseline="0"/>
            <a:t>Assigned to Cluster</a:t>
          </a:r>
          <a:endParaRPr lang="th-TH" sz="1100"/>
        </a:p>
      </xdr:txBody>
    </xdr:sp>
    <xdr:clientData/>
  </xdr:twoCellAnchor>
  <xdr:twoCellAnchor>
    <xdr:from>
      <xdr:col>9</xdr:col>
      <xdr:colOff>161906</xdr:colOff>
      <xdr:row>67</xdr:row>
      <xdr:rowOff>137098</xdr:rowOff>
    </xdr:from>
    <xdr:to>
      <xdr:col>11</xdr:col>
      <xdr:colOff>456527</xdr:colOff>
      <xdr:row>69</xdr:row>
      <xdr:rowOff>87982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04A99084-0F98-554D-AB2A-72E0F8F6F55D}"/>
            </a:ext>
          </a:extLst>
        </xdr:cNvPr>
        <xdr:cNvSpPr txBox="1"/>
      </xdr:nvSpPr>
      <xdr:spPr>
        <a:xfrm>
          <a:off x="9558065" y="5391953"/>
          <a:ext cx="2494114" cy="3374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Average</a:t>
          </a:r>
          <a:r>
            <a:rPr lang="en-US" sz="1100" baseline="0"/>
            <a:t> </a:t>
          </a:r>
          <a:r>
            <a:rPr lang="th-TH" sz="1100" baseline="0"/>
            <a:t>ตาม </a:t>
          </a:r>
          <a:r>
            <a:rPr lang="en" sz="1100" baseline="0"/>
            <a:t>Assigned to Cluster</a:t>
          </a:r>
          <a:endParaRPr lang="th-TH" sz="1100"/>
        </a:p>
      </xdr:txBody>
    </xdr:sp>
    <xdr:clientData/>
  </xdr:twoCellAnchor>
  <xdr:twoCellAnchor>
    <xdr:from>
      <xdr:col>0</xdr:col>
      <xdr:colOff>147246</xdr:colOff>
      <xdr:row>54</xdr:row>
      <xdr:rowOff>9203</xdr:rowOff>
    </xdr:from>
    <xdr:to>
      <xdr:col>12</xdr:col>
      <xdr:colOff>745435</xdr:colOff>
      <xdr:row>54</xdr:row>
      <xdr:rowOff>27609</xdr:rowOff>
    </xdr:to>
    <xdr:cxnSp macro="">
      <xdr:nvCxnSpPr>
        <xdr:cNvPr id="9" name="ตัวเชื่อมต่อตรง 8">
          <a:extLst>
            <a:ext uri="{FF2B5EF4-FFF2-40B4-BE49-F238E27FC236}">
              <a16:creationId xmlns:a16="http://schemas.microsoft.com/office/drawing/2014/main" id="{C8FF3513-52ED-96BD-6135-AE94DC964249}"/>
            </a:ext>
          </a:extLst>
        </xdr:cNvPr>
        <xdr:cNvCxnSpPr/>
      </xdr:nvCxnSpPr>
      <xdr:spPr>
        <a:xfrm flipV="1">
          <a:off x="147246" y="10500507"/>
          <a:ext cx="13206160" cy="18406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161906</xdr:colOff>
      <xdr:row>107</xdr:row>
      <xdr:rowOff>137098</xdr:rowOff>
    </xdr:from>
    <xdr:to>
      <xdr:col>11</xdr:col>
      <xdr:colOff>456527</xdr:colOff>
      <xdr:row>109</xdr:row>
      <xdr:rowOff>87982</xdr:rowOff>
    </xdr:to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069736D2-4024-6043-970B-025AFF6AAEA4}"/>
            </a:ext>
          </a:extLst>
        </xdr:cNvPr>
        <xdr:cNvSpPr txBox="1"/>
      </xdr:nvSpPr>
      <xdr:spPr>
        <a:xfrm>
          <a:off x="9342948" y="12718036"/>
          <a:ext cx="2490662" cy="32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Average</a:t>
          </a:r>
          <a:r>
            <a:rPr lang="en-US" sz="1100" baseline="0"/>
            <a:t> </a:t>
          </a:r>
          <a:r>
            <a:rPr lang="th-TH" sz="1100" baseline="0"/>
            <a:t>ตาม </a:t>
          </a:r>
          <a:r>
            <a:rPr lang="en" sz="1100" baseline="0"/>
            <a:t>Assigned to Cluster</a:t>
          </a:r>
          <a:endParaRPr lang="th-TH" sz="1100"/>
        </a:p>
      </xdr:txBody>
    </xdr:sp>
    <xdr:clientData/>
  </xdr:twoCellAnchor>
  <xdr:twoCellAnchor>
    <xdr:from>
      <xdr:col>0</xdr:col>
      <xdr:colOff>147246</xdr:colOff>
      <xdr:row>94</xdr:row>
      <xdr:rowOff>9203</xdr:rowOff>
    </xdr:from>
    <xdr:to>
      <xdr:col>12</xdr:col>
      <xdr:colOff>745435</xdr:colOff>
      <xdr:row>94</xdr:row>
      <xdr:rowOff>27609</xdr:rowOff>
    </xdr:to>
    <xdr:cxnSp macro="">
      <xdr:nvCxnSpPr>
        <xdr:cNvPr id="11" name="ตัวเชื่อมต่อตรง 10">
          <a:extLst>
            <a:ext uri="{FF2B5EF4-FFF2-40B4-BE49-F238E27FC236}">
              <a16:creationId xmlns:a16="http://schemas.microsoft.com/office/drawing/2014/main" id="{541B8728-5541-D440-B2C0-258695A9BEE5}"/>
            </a:ext>
          </a:extLst>
        </xdr:cNvPr>
        <xdr:cNvCxnSpPr/>
      </xdr:nvCxnSpPr>
      <xdr:spPr>
        <a:xfrm flipV="1">
          <a:off x="147246" y="10089828"/>
          <a:ext cx="13192356" cy="18406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zoomScaleNormal="80" workbookViewId="0">
      <selection activeCell="D18" sqref="D18:G18"/>
    </sheetView>
  </sheetViews>
  <sheetFormatPr defaultColWidth="9" defaultRowHeight="15"/>
  <cols>
    <col min="1" max="1" width="9" style="1"/>
    <col min="2" max="2" width="15" style="1" customWidth="1"/>
    <col min="3" max="3" width="9" style="1"/>
    <col min="4" max="4" width="18.296875" style="1" customWidth="1"/>
    <col min="5" max="5" width="22.69921875" style="1" customWidth="1"/>
    <col min="6" max="10" width="9" style="1"/>
    <col min="11" max="11" width="11.296875" style="1" bestFit="1" customWidth="1"/>
    <col min="12" max="12" width="11.5" style="1" customWidth="1"/>
    <col min="13" max="16384" width="9" style="1"/>
  </cols>
  <sheetData>
    <row r="1" spans="2:5">
      <c r="B1" s="8" t="s">
        <v>0</v>
      </c>
      <c r="C1" s="3"/>
      <c r="D1" s="3"/>
      <c r="E1" s="3"/>
    </row>
    <row r="2" spans="2:5">
      <c r="B2" s="3" t="s">
        <v>1</v>
      </c>
      <c r="C2" s="3"/>
      <c r="D2" s="3"/>
      <c r="E2" s="3"/>
    </row>
    <row r="3" spans="2:5">
      <c r="B3" s="8" t="s">
        <v>2</v>
      </c>
      <c r="C3" s="3"/>
      <c r="D3" s="3"/>
      <c r="E3" s="3"/>
    </row>
    <row r="4" spans="2:5">
      <c r="B4" s="8" t="s">
        <v>3</v>
      </c>
      <c r="C4" s="3"/>
      <c r="D4" s="3"/>
      <c r="E4" s="3"/>
    </row>
    <row r="5" spans="2:5">
      <c r="B5" s="3" t="s">
        <v>4</v>
      </c>
      <c r="C5" s="3"/>
      <c r="D5" s="3"/>
      <c r="E5" s="3"/>
    </row>
    <row r="6" spans="2:5">
      <c r="B6" s="3" t="s">
        <v>5</v>
      </c>
      <c r="C6" s="3"/>
      <c r="D6" s="3"/>
      <c r="E6" s="3"/>
    </row>
    <row r="7" spans="2:5">
      <c r="B7" s="3" t="s">
        <v>6</v>
      </c>
      <c r="C7" s="3"/>
      <c r="D7" s="3"/>
      <c r="E7" s="3"/>
    </row>
    <row r="9" spans="2:5">
      <c r="B9" s="9" t="s">
        <v>7</v>
      </c>
      <c r="C9" s="10"/>
      <c r="D9" s="9" t="s">
        <v>8</v>
      </c>
      <c r="E9" s="9" t="s">
        <v>9</v>
      </c>
    </row>
    <row r="10" spans="2:5">
      <c r="B10" s="3">
        <v>1</v>
      </c>
      <c r="C10" s="3"/>
      <c r="D10" s="3">
        <v>3.5</v>
      </c>
      <c r="E10" s="3">
        <v>3</v>
      </c>
    </row>
    <row r="11" spans="2:5">
      <c r="B11" s="3">
        <v>2</v>
      </c>
      <c r="C11" s="3"/>
      <c r="D11" s="3">
        <v>2</v>
      </c>
      <c r="E11" s="3">
        <v>2.5</v>
      </c>
    </row>
    <row r="12" spans="2:5">
      <c r="B12" s="3">
        <v>3</v>
      </c>
      <c r="C12" s="3"/>
      <c r="D12" s="3">
        <v>4</v>
      </c>
      <c r="E12" s="3">
        <v>3.5</v>
      </c>
    </row>
    <row r="13" spans="2:5">
      <c r="B13" s="3">
        <v>4</v>
      </c>
      <c r="C13" s="3"/>
      <c r="D13" s="3">
        <v>2</v>
      </c>
      <c r="E13" s="3">
        <v>3</v>
      </c>
    </row>
    <row r="14" spans="2:5">
      <c r="B14" s="3">
        <v>5</v>
      </c>
      <c r="C14" s="3"/>
      <c r="D14" s="3">
        <v>1</v>
      </c>
      <c r="E14" s="3">
        <v>2</v>
      </c>
    </row>
    <row r="15" spans="2:5">
      <c r="B15" s="3">
        <v>6</v>
      </c>
      <c r="C15" s="3"/>
      <c r="D15" s="3">
        <v>4</v>
      </c>
      <c r="E15" s="3">
        <v>3</v>
      </c>
    </row>
    <row r="17" spans="1:19">
      <c r="A17" s="3"/>
      <c r="B17" s="3"/>
      <c r="C17" s="3"/>
      <c r="D17" s="3" t="s">
        <v>10</v>
      </c>
      <c r="E17" s="3"/>
      <c r="F17" s="3"/>
      <c r="G17" s="3"/>
      <c r="H17" s="3"/>
      <c r="I17" s="3"/>
      <c r="J17" s="3"/>
      <c r="K17" s="5" t="s">
        <v>8</v>
      </c>
      <c r="L17" s="5" t="s">
        <v>9</v>
      </c>
      <c r="M17" s="3"/>
      <c r="N17" s="3"/>
      <c r="O17" s="3"/>
      <c r="P17" s="3"/>
      <c r="Q17" s="3"/>
      <c r="R17" s="3"/>
      <c r="S17" s="3"/>
    </row>
    <row r="18" spans="1:19">
      <c r="A18" s="3">
        <v>1</v>
      </c>
      <c r="B18" s="3" t="s">
        <v>11</v>
      </c>
      <c r="C18" s="3" t="s">
        <v>10</v>
      </c>
      <c r="D18" s="11">
        <v>1.667</v>
      </c>
      <c r="E18" s="11">
        <f>2.5</f>
        <v>2.5</v>
      </c>
      <c r="F18" s="3"/>
      <c r="G18" s="3">
        <v>3</v>
      </c>
      <c r="H18" s="3" t="s">
        <v>12</v>
      </c>
      <c r="I18" s="3"/>
      <c r="J18" s="3" t="s">
        <v>13</v>
      </c>
      <c r="K18" s="12">
        <f>AVERAGE(D11,D13,D14)</f>
        <v>1.6666666666666667</v>
      </c>
      <c r="L18" s="12">
        <f>AVERAGE(E11,E13,E14)</f>
        <v>2.5</v>
      </c>
      <c r="M18" s="3"/>
      <c r="N18" s="3"/>
      <c r="O18" s="3"/>
      <c r="P18" s="3"/>
      <c r="Q18" s="3"/>
      <c r="R18" s="3"/>
      <c r="S18" s="3"/>
    </row>
    <row r="19" spans="1:19" ht="15.6">
      <c r="A19" s="3"/>
      <c r="B19" s="3"/>
      <c r="C19" s="7" t="s">
        <v>14</v>
      </c>
      <c r="D19" s="11">
        <v>3.5</v>
      </c>
      <c r="E19" s="11">
        <v>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5.6">
      <c r="A20" s="3"/>
      <c r="B20" s="3"/>
      <c r="C20" s="7"/>
      <c r="D20" s="11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3"/>
      <c r="B21" s="3"/>
      <c r="C21" s="3" t="s">
        <v>15</v>
      </c>
      <c r="D21" s="11">
        <v>3.8330000000000002</v>
      </c>
      <c r="E21" s="11">
        <v>3.1669999999999998</v>
      </c>
      <c r="F21" s="3"/>
      <c r="G21" s="3"/>
      <c r="H21" s="3"/>
      <c r="I21" s="3"/>
      <c r="J21" s="3" t="s">
        <v>16</v>
      </c>
      <c r="K21" s="12">
        <f>AVERAGE(D10,D12,D15)</f>
        <v>3.8333333333333335</v>
      </c>
      <c r="L21" s="12">
        <f>AVERAGE(E10,E12,E15)</f>
        <v>3.1666666666666665</v>
      </c>
      <c r="M21" s="3"/>
      <c r="N21" s="3"/>
      <c r="O21" s="3"/>
      <c r="P21" s="3"/>
      <c r="Q21" s="3"/>
      <c r="R21" s="3"/>
      <c r="S21" s="3"/>
    </row>
    <row r="22" spans="1:19" ht="15.6">
      <c r="A22" s="3"/>
      <c r="B22" s="3"/>
      <c r="C22" s="7" t="s">
        <v>14</v>
      </c>
      <c r="D22" s="11">
        <v>4</v>
      </c>
      <c r="E22" s="11">
        <v>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3"/>
      <c r="B23" s="3"/>
      <c r="C23" s="3"/>
      <c r="D23" s="3"/>
      <c r="E23" s="3"/>
      <c r="F23" s="3"/>
      <c r="G23" s="3"/>
      <c r="H23" s="3" t="s">
        <v>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3"/>
      <c r="B24" s="3"/>
      <c r="C24" s="13" t="s">
        <v>7</v>
      </c>
      <c r="D24" s="14" t="s">
        <v>18</v>
      </c>
      <c r="E24" s="3"/>
      <c r="F24" s="4" t="s">
        <v>19</v>
      </c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3">
        <v>2</v>
      </c>
      <c r="B25" s="3" t="s">
        <v>20</v>
      </c>
      <c r="C25" s="3">
        <v>1</v>
      </c>
      <c r="D25" s="3">
        <f t="shared" ref="D25:D30" si="0">SQRT((D10-$D$18)^2+(E10-$E$18)^2)</f>
        <v>1.89997078924914</v>
      </c>
      <c r="E25" s="3"/>
      <c r="F25" s="3" t="str">
        <f t="shared" ref="F25:F30" si="1">IF(MIN(D25,D33)=D25,"A","B")</f>
        <v>B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5.6">
      <c r="A26" s="3"/>
      <c r="B26" s="3" t="s">
        <v>21</v>
      </c>
      <c r="C26" s="3">
        <v>2</v>
      </c>
      <c r="D26" s="3">
        <f t="shared" si="0"/>
        <v>0.33299999999999996</v>
      </c>
      <c r="E26" s="6">
        <f>SQRT((D11-$D$18)^2+(E11-$E$18)^2)</f>
        <v>0.33299999999999996</v>
      </c>
      <c r="F26" s="3" t="str">
        <f t="shared" si="1"/>
        <v>A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3"/>
      <c r="B27" s="3"/>
      <c r="C27" s="3">
        <v>3</v>
      </c>
      <c r="D27" s="3">
        <f t="shared" si="0"/>
        <v>2.538284657007563</v>
      </c>
      <c r="E27" s="3"/>
      <c r="F27" s="3" t="str">
        <f t="shared" si="1"/>
        <v>B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3"/>
      <c r="B28" s="3"/>
      <c r="C28" s="3">
        <v>4</v>
      </c>
      <c r="D28" s="3">
        <f t="shared" si="0"/>
        <v>0.60074037653548806</v>
      </c>
      <c r="E28" s="3"/>
      <c r="F28" s="3" t="str">
        <f t="shared" si="1"/>
        <v>A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3"/>
      <c r="B29" s="3"/>
      <c r="C29" s="3">
        <v>5</v>
      </c>
      <c r="D29" s="3">
        <f t="shared" si="0"/>
        <v>0.83360002399232214</v>
      </c>
      <c r="E29" s="3"/>
      <c r="F29" s="3" t="str">
        <f t="shared" si="1"/>
        <v>A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3"/>
      <c r="B30" s="3"/>
      <c r="C30" s="3">
        <v>6</v>
      </c>
      <c r="D30" s="3">
        <f t="shared" si="0"/>
        <v>2.3859775774302658</v>
      </c>
      <c r="E30" s="3"/>
      <c r="F30" s="3" t="str">
        <f t="shared" si="1"/>
        <v>B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5.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7" t="s">
        <v>22</v>
      </c>
      <c r="O31" s="3"/>
      <c r="P31" s="3"/>
      <c r="Q31" s="3"/>
      <c r="R31" s="3"/>
    </row>
    <row r="32" spans="1:19">
      <c r="A32" s="3"/>
      <c r="B32" s="3"/>
      <c r="C32" s="13" t="s">
        <v>7</v>
      </c>
      <c r="D32" s="14" t="s">
        <v>23</v>
      </c>
      <c r="E32" s="3"/>
      <c r="F32" s="3"/>
      <c r="G32" s="3">
        <v>5</v>
      </c>
      <c r="H32" s="3" t="s">
        <v>24</v>
      </c>
      <c r="I32" s="3"/>
      <c r="J32" s="3"/>
      <c r="K32" s="3"/>
      <c r="M32" s="3">
        <v>5</v>
      </c>
      <c r="N32" s="3" t="s">
        <v>24</v>
      </c>
      <c r="O32" s="3"/>
      <c r="P32" s="3"/>
      <c r="Q32" s="3"/>
      <c r="R32" s="3"/>
    </row>
    <row r="33" spans="1:19">
      <c r="A33" s="3"/>
      <c r="B33" s="3"/>
      <c r="C33" s="3">
        <v>1</v>
      </c>
      <c r="D33" s="3">
        <f t="shared" ref="D33:D38" si="2">SQRT((D10-$D$21)^2+(E10-$E$21)^2)</f>
        <v>0.37252919348689983</v>
      </c>
      <c r="E33" s="3"/>
      <c r="F33" s="3"/>
      <c r="G33" s="3"/>
      <c r="H33" s="3" t="s">
        <v>17</v>
      </c>
      <c r="I33" s="5" t="s">
        <v>17</v>
      </c>
      <c r="J33" s="3" t="s">
        <v>25</v>
      </c>
      <c r="K33" s="3" t="s">
        <v>26</v>
      </c>
      <c r="M33" s="3"/>
      <c r="N33" s="3" t="s">
        <v>17</v>
      </c>
      <c r="O33" s="5" t="s">
        <v>17</v>
      </c>
      <c r="P33" s="3" t="s">
        <v>25</v>
      </c>
      <c r="Q33" s="3" t="s">
        <v>26</v>
      </c>
      <c r="R33" s="3"/>
    </row>
    <row r="34" spans="1:19">
      <c r="A34" s="3"/>
      <c r="B34" s="3"/>
      <c r="C34" s="3">
        <v>2</v>
      </c>
      <c r="D34" s="3">
        <f t="shared" si="2"/>
        <v>1.9505840151093212</v>
      </c>
      <c r="E34" s="3">
        <f>SQRT((D11-$D$21)^2+(E11-$E$21)^2)</f>
        <v>1.9505840151093212</v>
      </c>
      <c r="F34" s="3"/>
      <c r="G34" s="3"/>
      <c r="H34" s="3" t="s">
        <v>17</v>
      </c>
      <c r="I34" s="3">
        <v>1</v>
      </c>
      <c r="J34" s="3">
        <f>D25^2</f>
        <v>3.6098889999999999</v>
      </c>
      <c r="K34" s="3" t="s">
        <v>17</v>
      </c>
      <c r="M34" s="3"/>
      <c r="N34" s="3" t="s">
        <v>17</v>
      </c>
      <c r="O34" s="3">
        <v>1</v>
      </c>
      <c r="P34" s="3"/>
      <c r="Q34" s="3">
        <f>D33^2</f>
        <v>0.13877800000000004</v>
      </c>
      <c r="R34" s="3"/>
    </row>
    <row r="35" spans="1:19">
      <c r="A35" s="3"/>
      <c r="B35" s="3"/>
      <c r="C35" s="3">
        <v>3</v>
      </c>
      <c r="D35" s="3">
        <f t="shared" si="2"/>
        <v>0.37252919348689983</v>
      </c>
      <c r="E35" s="3"/>
      <c r="F35" s="3"/>
      <c r="G35" s="3"/>
      <c r="H35" s="3"/>
      <c r="I35" s="3">
        <v>2</v>
      </c>
      <c r="J35" s="3">
        <f>D26^2</f>
        <v>0.11088899999999997</v>
      </c>
      <c r="K35" s="3" t="s">
        <v>17</v>
      </c>
      <c r="M35" s="3"/>
      <c r="N35" s="3"/>
      <c r="O35" s="3">
        <v>2</v>
      </c>
      <c r="P35" s="3">
        <f>D26^2</f>
        <v>0.11088899999999997</v>
      </c>
      <c r="Q35" s="3" t="s">
        <v>17</v>
      </c>
      <c r="R35" s="3"/>
    </row>
    <row r="36" spans="1:19">
      <c r="A36" s="3"/>
      <c r="B36" s="3"/>
      <c r="C36" s="3">
        <v>4</v>
      </c>
      <c r="D36" s="3">
        <f t="shared" si="2"/>
        <v>1.8405917526708635</v>
      </c>
      <c r="E36" s="3"/>
      <c r="F36" s="3"/>
      <c r="G36" s="3"/>
      <c r="H36" s="3"/>
      <c r="I36" s="3">
        <v>3</v>
      </c>
      <c r="J36" s="3" t="s">
        <v>17</v>
      </c>
      <c r="K36" s="3">
        <f>D35^2</f>
        <v>0.13877800000000004</v>
      </c>
      <c r="M36" s="3"/>
      <c r="N36" s="3"/>
      <c r="O36" s="3">
        <v>3</v>
      </c>
      <c r="P36" s="3" t="s">
        <v>17</v>
      </c>
      <c r="Q36" s="3">
        <f>D35^2</f>
        <v>0.13877800000000004</v>
      </c>
      <c r="R36" s="3"/>
    </row>
    <row r="37" spans="1:19">
      <c r="A37" s="3"/>
      <c r="B37" s="3"/>
      <c r="C37" s="3">
        <v>5</v>
      </c>
      <c r="D37" s="3">
        <f t="shared" si="2"/>
        <v>3.0639481066101628</v>
      </c>
      <c r="E37" s="3"/>
      <c r="F37" s="3"/>
      <c r="G37" s="3"/>
      <c r="H37" s="3"/>
      <c r="I37" s="3">
        <v>4</v>
      </c>
      <c r="J37" s="3">
        <f>D28^2</f>
        <v>0.36088899999999996</v>
      </c>
      <c r="K37" s="3" t="s">
        <v>17</v>
      </c>
      <c r="M37" s="3"/>
      <c r="N37" s="3"/>
      <c r="O37" s="3">
        <v>4</v>
      </c>
      <c r="P37" s="3">
        <f>D28^2</f>
        <v>0.36088899999999996</v>
      </c>
      <c r="Q37" s="3" t="s">
        <v>17</v>
      </c>
      <c r="R37" s="3"/>
    </row>
    <row r="38" spans="1:19">
      <c r="A38" s="3"/>
      <c r="B38" s="3"/>
      <c r="C38" s="3">
        <v>6</v>
      </c>
      <c r="D38" s="3">
        <f t="shared" si="2"/>
        <v>0.23617366491630662</v>
      </c>
      <c r="E38" s="3"/>
      <c r="F38" s="3"/>
      <c r="G38" s="3"/>
      <c r="H38" s="3"/>
      <c r="I38" s="3">
        <v>5</v>
      </c>
      <c r="J38" s="3">
        <f>D29^2</f>
        <v>0.69488900000000009</v>
      </c>
      <c r="K38" s="3" t="s">
        <v>17</v>
      </c>
      <c r="M38" s="3"/>
      <c r="N38" s="3"/>
      <c r="O38" s="3">
        <v>5</v>
      </c>
      <c r="P38" s="3">
        <f>D29^2</f>
        <v>0.69488900000000009</v>
      </c>
      <c r="Q38" s="3" t="s">
        <v>17</v>
      </c>
      <c r="R38" s="3"/>
    </row>
    <row r="39" spans="1:19">
      <c r="A39" s="3"/>
      <c r="B39" s="3"/>
      <c r="C39" s="3"/>
      <c r="D39" s="3"/>
      <c r="E39" s="3"/>
      <c r="F39" s="3"/>
      <c r="G39" s="3"/>
      <c r="H39" s="3"/>
      <c r="I39" s="3">
        <v>6</v>
      </c>
      <c r="J39" s="3" t="s">
        <v>17</v>
      </c>
      <c r="K39" s="3">
        <f>D38^2</f>
        <v>5.5777999999999883E-2</v>
      </c>
      <c r="M39" s="3"/>
      <c r="N39" s="3"/>
      <c r="O39" s="3">
        <v>6</v>
      </c>
      <c r="P39" s="3" t="s">
        <v>17</v>
      </c>
      <c r="Q39" s="3">
        <f>D38^2</f>
        <v>5.5777999999999883E-2</v>
      </c>
      <c r="R39" s="3"/>
    </row>
    <row r="40" spans="1:19">
      <c r="A40" s="3"/>
      <c r="B40" s="3"/>
      <c r="C40" s="3"/>
      <c r="D40" s="3"/>
      <c r="E40" s="3"/>
      <c r="F40" s="3"/>
      <c r="G40" s="3"/>
      <c r="H40" s="3" t="s">
        <v>17</v>
      </c>
      <c r="I40" s="3" t="s">
        <v>27</v>
      </c>
      <c r="J40" s="3">
        <f>SUM(J34:K39)</f>
        <v>4.9711119999999998</v>
      </c>
      <c r="K40" s="3"/>
      <c r="M40" s="3"/>
      <c r="N40" s="3" t="s">
        <v>17</v>
      </c>
      <c r="O40" s="3" t="s">
        <v>27</v>
      </c>
      <c r="P40" s="3">
        <f>SUM(P34:Q39)</f>
        <v>1.5000009999999999</v>
      </c>
      <c r="Q40" s="3"/>
      <c r="R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 t="s">
        <v>27</v>
      </c>
      <c r="K42" s="3"/>
      <c r="M42" s="3"/>
      <c r="N42" s="3"/>
      <c r="O42" s="3"/>
      <c r="P42" s="3" t="s">
        <v>27</v>
      </c>
      <c r="Q42" s="3"/>
      <c r="R42" s="3"/>
    </row>
    <row r="43" spans="1:19">
      <c r="A43" s="3"/>
      <c r="B43" s="3"/>
      <c r="C43" s="3"/>
      <c r="D43" s="3"/>
      <c r="E43" s="3"/>
      <c r="F43" s="3"/>
      <c r="G43" s="3"/>
      <c r="H43" s="3"/>
      <c r="I43" s="3" t="s">
        <v>14</v>
      </c>
      <c r="J43" s="3">
        <v>12.25</v>
      </c>
      <c r="K43" s="3"/>
      <c r="M43" s="3"/>
      <c r="N43" s="3"/>
      <c r="O43" s="3" t="s">
        <v>14</v>
      </c>
      <c r="P43" s="3"/>
      <c r="Q43" s="3"/>
      <c r="R43" s="3"/>
    </row>
    <row r="44" spans="1:19">
      <c r="A44" s="3"/>
      <c r="B44" s="3"/>
      <c r="C44" s="3"/>
      <c r="D44" s="3"/>
      <c r="E44" s="3"/>
      <c r="F44" s="3"/>
      <c r="G44" s="3"/>
      <c r="H44" s="3"/>
      <c r="I44" s="3" t="s">
        <v>22</v>
      </c>
      <c r="J44" s="3"/>
      <c r="K44" s="3"/>
      <c r="M44" s="3"/>
      <c r="N44" s="3"/>
      <c r="O44" s="3" t="s">
        <v>22</v>
      </c>
      <c r="P44" s="3">
        <v>2.2799999999999998</v>
      </c>
      <c r="Q44" s="3"/>
      <c r="R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28</v>
      </c>
      <c r="P45" s="3">
        <v>1.5</v>
      </c>
      <c r="Q45" s="3"/>
      <c r="R45" s="3"/>
    </row>
    <row r="47" spans="1:19">
      <c r="A47" s="3"/>
      <c r="B47" s="1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61" spans="1:19">
      <c r="A61" s="3"/>
      <c r="B61" s="3"/>
      <c r="C61" s="3"/>
      <c r="D61" s="3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</sheetData>
  <printOptions headings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4117-28F3-2346-A4DF-6744CF2A5593}">
  <sheetPr>
    <pageSetUpPr fitToPage="1"/>
  </sheetPr>
  <dimension ref="A1:S138"/>
  <sheetViews>
    <sheetView tabSelected="1" zoomScale="96" zoomScaleNormal="100" workbookViewId="0">
      <selection activeCell="E10" sqref="E10"/>
    </sheetView>
  </sheetViews>
  <sheetFormatPr defaultColWidth="9" defaultRowHeight="15"/>
  <cols>
    <col min="1" max="1" width="9" style="1"/>
    <col min="2" max="2" width="15" style="1" customWidth="1"/>
    <col min="3" max="3" width="9" style="1"/>
    <col min="4" max="4" width="15.69921875" style="1" bestFit="1" customWidth="1"/>
    <col min="5" max="5" width="34.296875" style="1" bestFit="1" customWidth="1"/>
    <col min="6" max="6" width="18.296875" style="1" bestFit="1" customWidth="1"/>
    <col min="7" max="7" width="21.19921875" style="1" customWidth="1"/>
    <col min="8" max="10" width="9" style="1"/>
    <col min="11" max="12" width="22" style="1" bestFit="1" customWidth="1"/>
    <col min="13" max="13" width="11.69921875" style="1" bestFit="1" customWidth="1"/>
    <col min="14" max="16384" width="9" style="1"/>
  </cols>
  <sheetData>
    <row r="1" spans="2:5">
      <c r="B1" s="8" t="s">
        <v>0</v>
      </c>
      <c r="C1" s="3"/>
      <c r="D1" s="3"/>
      <c r="E1" s="3"/>
    </row>
    <row r="2" spans="2:5">
      <c r="B2" s="3" t="s">
        <v>1</v>
      </c>
      <c r="C2" s="3"/>
      <c r="D2" s="3"/>
      <c r="E2" s="3"/>
    </row>
    <row r="3" spans="2:5">
      <c r="B3" s="8" t="s">
        <v>2</v>
      </c>
      <c r="C3" s="3"/>
      <c r="D3" s="3"/>
      <c r="E3" s="3"/>
    </row>
    <row r="4" spans="2:5">
      <c r="B4" s="8" t="s">
        <v>3</v>
      </c>
      <c r="C4" s="3"/>
      <c r="D4" s="3"/>
      <c r="E4" s="3"/>
    </row>
    <row r="5" spans="2:5">
      <c r="B5" s="3" t="s">
        <v>4</v>
      </c>
      <c r="C5" s="3"/>
      <c r="D5" s="3"/>
      <c r="E5" s="3"/>
    </row>
    <row r="6" spans="2:5">
      <c r="B6" s="3" t="s">
        <v>5</v>
      </c>
      <c r="C6" s="3"/>
      <c r="D6" s="3"/>
      <c r="E6" s="3"/>
    </row>
    <row r="7" spans="2:5">
      <c r="B7" s="3" t="s">
        <v>6</v>
      </c>
      <c r="C7" s="3"/>
      <c r="D7" s="3"/>
      <c r="E7" s="3"/>
    </row>
    <row r="9" spans="2:5">
      <c r="B9" s="25" t="s">
        <v>7</v>
      </c>
      <c r="C9" s="25" t="s">
        <v>8</v>
      </c>
      <c r="D9" s="25" t="s">
        <v>9</v>
      </c>
    </row>
    <row r="10" spans="2:5">
      <c r="B10" s="11">
        <v>1</v>
      </c>
      <c r="C10" s="11">
        <v>3.5</v>
      </c>
      <c r="D10" s="11">
        <v>3</v>
      </c>
    </row>
    <row r="11" spans="2:5">
      <c r="B11" s="11">
        <v>2</v>
      </c>
      <c r="C11" s="11">
        <v>2</v>
      </c>
      <c r="D11" s="11">
        <v>2.5</v>
      </c>
    </row>
    <row r="12" spans="2:5">
      <c r="B12" s="11">
        <v>3</v>
      </c>
      <c r="C12" s="11">
        <v>4</v>
      </c>
      <c r="D12" s="11">
        <v>3.5</v>
      </c>
    </row>
    <row r="13" spans="2:5">
      <c r="B13" s="11">
        <v>4</v>
      </c>
      <c r="C13" s="11">
        <v>2</v>
      </c>
      <c r="D13" s="11">
        <v>3</v>
      </c>
    </row>
    <row r="14" spans="2:5">
      <c r="B14" s="11">
        <v>5</v>
      </c>
      <c r="C14" s="11">
        <v>1</v>
      </c>
      <c r="D14" s="11">
        <v>2</v>
      </c>
    </row>
    <row r="15" spans="2:5">
      <c r="B15" s="11">
        <v>6</v>
      </c>
      <c r="C15" s="11">
        <v>4</v>
      </c>
      <c r="D15" s="11">
        <v>3</v>
      </c>
    </row>
    <row r="17" spans="1:19">
      <c r="A17" s="3"/>
      <c r="B17" s="3"/>
      <c r="C17" s="28" t="s">
        <v>14</v>
      </c>
      <c r="D17" s="19" t="s">
        <v>8</v>
      </c>
      <c r="E17" s="19" t="s">
        <v>9</v>
      </c>
      <c r="F17" s="3"/>
      <c r="M17" s="3"/>
      <c r="N17" s="3"/>
      <c r="O17" s="3"/>
      <c r="P17" s="3"/>
      <c r="Q17" s="3"/>
      <c r="R17" s="3"/>
      <c r="S17" s="3"/>
    </row>
    <row r="18" spans="1:19">
      <c r="A18" s="3">
        <v>1</v>
      </c>
      <c r="B18" s="3" t="s">
        <v>11</v>
      </c>
      <c r="C18" s="29" t="s">
        <v>10</v>
      </c>
      <c r="D18" s="29">
        <v>3.5</v>
      </c>
      <c r="E18" s="29">
        <v>3</v>
      </c>
      <c r="F18" s="3" t="s">
        <v>30</v>
      </c>
      <c r="M18" s="3"/>
      <c r="N18" s="3"/>
      <c r="O18" s="3"/>
      <c r="P18" s="3"/>
      <c r="Q18" s="3"/>
      <c r="R18" s="3"/>
      <c r="S18" s="3"/>
    </row>
    <row r="19" spans="1:19" ht="15.6">
      <c r="A19" s="3"/>
      <c r="B19" s="3"/>
      <c r="C19" s="7"/>
      <c r="D19" s="3"/>
      <c r="F19" s="3"/>
      <c r="M19" s="17"/>
      <c r="N19" s="3"/>
      <c r="O19" s="3"/>
      <c r="P19" s="3"/>
      <c r="Q19" s="3"/>
      <c r="R19" s="3"/>
      <c r="S19" s="3"/>
    </row>
    <row r="20" spans="1:19">
      <c r="A20" s="3"/>
      <c r="B20" s="3"/>
      <c r="C20" s="28" t="s">
        <v>14</v>
      </c>
      <c r="D20" s="19"/>
      <c r="E20" s="19"/>
      <c r="F20" s="3"/>
      <c r="N20" s="3"/>
      <c r="O20" s="3"/>
      <c r="P20" s="3"/>
      <c r="Q20" s="3"/>
      <c r="R20" s="3"/>
      <c r="S20" s="3"/>
    </row>
    <row r="21" spans="1:19">
      <c r="A21" s="3"/>
      <c r="B21" s="3"/>
      <c r="C21" s="29" t="s">
        <v>15</v>
      </c>
      <c r="D21" s="29">
        <v>4</v>
      </c>
      <c r="E21" s="29">
        <v>3</v>
      </c>
      <c r="F21" s="3" t="s">
        <v>30</v>
      </c>
      <c r="M21" s="3"/>
      <c r="N21" s="3"/>
      <c r="O21" s="3"/>
      <c r="P21" s="3"/>
      <c r="Q21" s="3"/>
      <c r="R21" s="3"/>
      <c r="S21" s="3"/>
    </row>
    <row r="22" spans="1:19" ht="15.6">
      <c r="A22" s="3"/>
      <c r="B22" s="3"/>
      <c r="C22" s="7"/>
      <c r="F22" s="3"/>
      <c r="M22" s="3"/>
      <c r="N22" s="3"/>
      <c r="O22" s="3"/>
      <c r="P22" s="3"/>
      <c r="Q22" s="3"/>
      <c r="R22" s="3"/>
      <c r="S22" s="3"/>
    </row>
    <row r="23" spans="1:19">
      <c r="A23" s="3"/>
      <c r="B23" s="3"/>
      <c r="C23" s="3"/>
      <c r="D23" s="3"/>
      <c r="E23" s="3"/>
      <c r="F23" s="3"/>
      <c r="G23" s="3"/>
      <c r="H23" s="3" t="s">
        <v>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3"/>
      <c r="B24" s="3"/>
      <c r="C24" s="26" t="s">
        <v>7</v>
      </c>
      <c r="D24" s="25" t="s">
        <v>18</v>
      </c>
      <c r="E24" s="47"/>
      <c r="G24" s="3"/>
      <c r="H24" s="3"/>
      <c r="I24" s="3"/>
      <c r="J24" s="3"/>
      <c r="P24" s="3"/>
      <c r="Q24" s="3"/>
      <c r="R24" s="3"/>
      <c r="S24" s="3"/>
    </row>
    <row r="25" spans="1:19">
      <c r="A25" s="3">
        <v>2</v>
      </c>
      <c r="B25" s="3" t="s">
        <v>20</v>
      </c>
      <c r="C25" s="11">
        <v>1</v>
      </c>
      <c r="D25" s="11">
        <f t="shared" ref="D25:D30" si="0">SQRT((C10-$D$18)^2+(D10-$E$18)^2)</f>
        <v>0</v>
      </c>
      <c r="E25" s="48" t="str">
        <f ca="1">_xlfn.FORMULATEXT(D25)</f>
        <v>=SQRT((C10-$D$18)^2+(D10-$E$18)^2)</v>
      </c>
      <c r="G25" s="3"/>
      <c r="H25" s="3"/>
      <c r="I25" s="3"/>
      <c r="J25" s="3"/>
      <c r="P25" s="3"/>
      <c r="Q25" s="3"/>
      <c r="R25" s="3"/>
      <c r="S25" s="3"/>
    </row>
    <row r="26" spans="1:19">
      <c r="A26" s="3"/>
      <c r="B26" s="3" t="s">
        <v>21</v>
      </c>
      <c r="C26" s="11">
        <v>2</v>
      </c>
      <c r="D26" s="11">
        <f t="shared" si="0"/>
        <v>1.5811388300841898</v>
      </c>
      <c r="E26" s="48" t="str">
        <f t="shared" ref="E26:E38" ca="1" si="1">_xlfn.FORMULATEXT(D26)</f>
        <v>=SQRT((C11-$D$18)^2+(D11-$E$18)^2)</v>
      </c>
      <c r="G26" s="3"/>
      <c r="H26" s="3"/>
      <c r="I26" s="3"/>
      <c r="J26" s="3"/>
      <c r="P26" s="3"/>
      <c r="Q26" s="3"/>
      <c r="R26" s="3"/>
      <c r="S26" s="3"/>
    </row>
    <row r="27" spans="1:19">
      <c r="A27" s="3"/>
      <c r="B27" s="3"/>
      <c r="C27" s="11">
        <v>3</v>
      </c>
      <c r="D27" s="11">
        <f t="shared" si="0"/>
        <v>0.70710678118654757</v>
      </c>
      <c r="E27" s="48" t="str">
        <f t="shared" ca="1" si="1"/>
        <v>=SQRT((C12-$D$18)^2+(D12-$E$18)^2)</v>
      </c>
      <c r="G27" s="3"/>
      <c r="H27" s="3"/>
      <c r="I27" s="3"/>
      <c r="J27" s="3">
        <v>3</v>
      </c>
      <c r="K27" s="3" t="s">
        <v>12</v>
      </c>
      <c r="L27" s="3"/>
      <c r="N27" s="3"/>
      <c r="P27" s="3"/>
      <c r="Q27" s="3"/>
      <c r="R27" s="3"/>
      <c r="S27" s="3"/>
    </row>
    <row r="28" spans="1:19">
      <c r="A28" s="3"/>
      <c r="B28" s="3"/>
      <c r="C28" s="11">
        <v>4</v>
      </c>
      <c r="D28" s="11">
        <f t="shared" si="0"/>
        <v>1.5</v>
      </c>
      <c r="E28" s="50" t="str">
        <f t="shared" ca="1" si="1"/>
        <v>=SQRT((C13-$D$18)^2+(D13-$E$18)^2)</v>
      </c>
      <c r="F28" s="53" t="s">
        <v>19</v>
      </c>
      <c r="G28" s="61" t="s">
        <v>29</v>
      </c>
      <c r="H28" s="3"/>
      <c r="I28" s="3"/>
      <c r="J28" s="3"/>
      <c r="K28" s="3"/>
      <c r="L28" s="3"/>
      <c r="N28" s="3"/>
      <c r="Q28" s="3"/>
      <c r="R28" s="3"/>
      <c r="S28" s="3"/>
    </row>
    <row r="29" spans="1:19">
      <c r="A29" s="3"/>
      <c r="B29" s="3"/>
      <c r="C29" s="11">
        <v>5</v>
      </c>
      <c r="D29" s="11">
        <f t="shared" si="0"/>
        <v>2.6925824035672519</v>
      </c>
      <c r="E29" s="50" t="str">
        <f t="shared" ca="1" si="1"/>
        <v>=SQRT((C14-$D$18)^2+(D14-$E$18)^2)</v>
      </c>
      <c r="F29" s="29" t="str">
        <f>IF(MIN(D25,D33)=D25,"A","B")</f>
        <v>A</v>
      </c>
      <c r="G29" s="61" t="str">
        <f ca="1">_xlfn.FORMULATEXT(F29)</f>
        <v>=IF(MIN(D25,D33)=D25,"A","B")</v>
      </c>
      <c r="H29" s="3"/>
      <c r="I29" s="3"/>
      <c r="J29" s="3"/>
      <c r="K29" s="3"/>
      <c r="L29" s="3"/>
      <c r="N29" s="3"/>
      <c r="Q29" s="3"/>
      <c r="R29" s="3"/>
      <c r="S29" s="3"/>
    </row>
    <row r="30" spans="1:19">
      <c r="A30" s="3"/>
      <c r="B30" s="3"/>
      <c r="C30" s="11">
        <v>6</v>
      </c>
      <c r="D30" s="11">
        <f t="shared" si="0"/>
        <v>0.5</v>
      </c>
      <c r="E30" s="50" t="str">
        <f t="shared" ca="1" si="1"/>
        <v>=SQRT((C15-$D$18)^2+(D15-$E$18)^2)</v>
      </c>
      <c r="F30" s="29" t="str">
        <f t="shared" ref="F30:F34" si="2">IF(MIN(D26,D34)=D26,"A","B")</f>
        <v>A</v>
      </c>
      <c r="G30" s="61" t="str">
        <f t="shared" ref="G30:G34" ca="1" si="3">_xlfn.FORMULATEXT(F30)</f>
        <v>=IF(MIN(D26,D34)=D26,"A","B")</v>
      </c>
      <c r="H30" s="3"/>
      <c r="I30" s="3"/>
      <c r="N30" s="3"/>
      <c r="Q30" s="3"/>
      <c r="R30" s="3"/>
      <c r="S30" s="3"/>
    </row>
    <row r="31" spans="1:19" ht="15.6">
      <c r="A31" s="3"/>
      <c r="B31" s="3"/>
      <c r="C31" s="3"/>
      <c r="D31" s="3"/>
      <c r="E31" s="43"/>
      <c r="F31" s="29" t="str">
        <f t="shared" si="2"/>
        <v>B</v>
      </c>
      <c r="G31" s="61" t="str">
        <f t="shared" ca="1" si="3"/>
        <v>=IF(MIN(D27,D35)=D27,"A","B")</v>
      </c>
      <c r="H31" s="3"/>
      <c r="I31" s="3"/>
      <c r="J31" s="7" t="s">
        <v>14</v>
      </c>
      <c r="K31" s="19" t="s">
        <v>8</v>
      </c>
      <c r="L31" s="19" t="s">
        <v>9</v>
      </c>
      <c r="N31" s="3"/>
    </row>
    <row r="32" spans="1:19">
      <c r="A32" s="3"/>
      <c r="B32" s="3"/>
      <c r="C32" s="26" t="s">
        <v>7</v>
      </c>
      <c r="D32" s="25" t="s">
        <v>23</v>
      </c>
      <c r="E32" s="51"/>
      <c r="F32" s="29" t="str">
        <f t="shared" si="2"/>
        <v>A</v>
      </c>
      <c r="G32" s="61" t="str">
        <f t="shared" ca="1" si="3"/>
        <v>=IF(MIN(D28,D36)=D28,"A","B")</v>
      </c>
      <c r="J32" s="3" t="s">
        <v>13</v>
      </c>
      <c r="K32" s="57">
        <f>AVERAGE(C10,C11,C13,C14)</f>
        <v>2.125</v>
      </c>
      <c r="L32" s="57">
        <f>AVERAGE(D10,D11,D13,D14)</f>
        <v>2.625</v>
      </c>
      <c r="N32" s="3"/>
    </row>
    <row r="33" spans="1:19">
      <c r="A33" s="3"/>
      <c r="B33" s="3"/>
      <c r="C33" s="11">
        <v>1</v>
      </c>
      <c r="D33" s="11">
        <f t="shared" ref="D33:D38" si="4">SQRT((C10-$D$21)^2+(D10-$E$21)^2)</f>
        <v>0.5</v>
      </c>
      <c r="E33" s="52" t="str">
        <f t="shared" ca="1" si="1"/>
        <v>=SQRT((C10-$D$21)^2+(D10-$E$21)^2)</v>
      </c>
      <c r="F33" s="29" t="str">
        <f t="shared" si="2"/>
        <v>A</v>
      </c>
      <c r="G33" s="61" t="str">
        <f t="shared" ca="1" si="3"/>
        <v>=IF(MIN(D29,D37)=D29,"A","B")</v>
      </c>
      <c r="J33" s="17"/>
      <c r="K33" s="58" t="str">
        <f ca="1">_xlfn.FORMULATEXT(K32)</f>
        <v>=AVERAGE(C10,C11,C13,C14)</v>
      </c>
      <c r="L33" s="58" t="str">
        <f ca="1">_xlfn.FORMULATEXT(L32)</f>
        <v>=AVERAGE(D10,D11,D13,D14)</v>
      </c>
      <c r="N33" s="3"/>
    </row>
    <row r="34" spans="1:19">
      <c r="A34" s="3"/>
      <c r="B34" s="3"/>
      <c r="C34" s="11">
        <v>2</v>
      </c>
      <c r="D34" s="11">
        <f t="shared" si="4"/>
        <v>2.0615528128088303</v>
      </c>
      <c r="E34" s="52" t="str">
        <f t="shared" ca="1" si="1"/>
        <v>=SQRT((C11-$D$21)^2+(D11-$E$21)^2)</v>
      </c>
      <c r="F34" s="29" t="str">
        <f t="shared" si="2"/>
        <v>B</v>
      </c>
      <c r="G34" s="61" t="str">
        <f t="shared" ca="1" si="3"/>
        <v>=IF(MIN(D30,D38)=D30,"A","B")</v>
      </c>
      <c r="J34" s="3"/>
      <c r="K34" s="3"/>
      <c r="L34" s="3"/>
    </row>
    <row r="35" spans="1:19">
      <c r="A35" s="3"/>
      <c r="B35" s="3"/>
      <c r="C35" s="11">
        <v>3</v>
      </c>
      <c r="D35" s="11">
        <f t="shared" si="4"/>
        <v>0.5</v>
      </c>
      <c r="E35" s="49" t="str">
        <f t="shared" ca="1" si="1"/>
        <v>=SQRT((C12-$D$21)^2+(D12-$E$21)^2)</v>
      </c>
      <c r="G35" s="3"/>
      <c r="J35" s="3" t="s">
        <v>16</v>
      </c>
      <c r="K35" s="55">
        <f>AVERAGE(C12,C15)</f>
        <v>4</v>
      </c>
      <c r="L35" s="55">
        <f>AVERAGE(D12,D15)</f>
        <v>3.25</v>
      </c>
    </row>
    <row r="36" spans="1:19">
      <c r="A36" s="3"/>
      <c r="B36" s="3"/>
      <c r="C36" s="11">
        <v>4</v>
      </c>
      <c r="D36" s="11">
        <f t="shared" si="4"/>
        <v>2</v>
      </c>
      <c r="E36" s="49" t="str">
        <f t="shared" ca="1" si="1"/>
        <v>=SQRT((C13-$D$21)^2+(D13-$E$21)^2)</v>
      </c>
      <c r="F36" s="3"/>
      <c r="G36" s="3"/>
      <c r="J36" s="3"/>
      <c r="K36" s="56" t="str">
        <f ca="1">_xlfn.FORMULATEXT(K35)</f>
        <v>=AVERAGE(C12,C15)</v>
      </c>
      <c r="L36" s="56" t="str">
        <f ca="1">_xlfn.FORMULATEXT(L35)</f>
        <v>=AVERAGE(D12,D15)</v>
      </c>
    </row>
    <row r="37" spans="1:19">
      <c r="A37" s="3"/>
      <c r="B37" s="3"/>
      <c r="C37" s="11">
        <v>5</v>
      </c>
      <c r="D37" s="11">
        <f t="shared" si="4"/>
        <v>3.1622776601683795</v>
      </c>
      <c r="E37" s="49" t="str">
        <f t="shared" ca="1" si="1"/>
        <v>=SQRT((C14-$D$21)^2+(D14-$E$21)^2)</v>
      </c>
      <c r="F37" s="3"/>
      <c r="G37" s="3"/>
    </row>
    <row r="38" spans="1:19">
      <c r="A38" s="3"/>
      <c r="B38" s="3"/>
      <c r="C38" s="11">
        <v>6</v>
      </c>
      <c r="D38" s="11">
        <f t="shared" si="4"/>
        <v>0</v>
      </c>
      <c r="E38" s="49" t="str">
        <f t="shared" ca="1" si="1"/>
        <v>=SQRT((C15-$D$21)^2+(D15-$E$21)^2)</v>
      </c>
      <c r="F38" s="3"/>
      <c r="G38" s="3"/>
    </row>
    <row r="39" spans="1:19">
      <c r="A39" s="3"/>
      <c r="B39" s="3"/>
      <c r="C39" s="3"/>
      <c r="D39" s="3"/>
      <c r="E39" s="3"/>
      <c r="F39" s="3"/>
    </row>
    <row r="40" spans="1:19">
      <c r="A40" s="3"/>
      <c r="B40" s="3"/>
      <c r="C40" s="3"/>
      <c r="D40" s="3"/>
      <c r="E40" s="3"/>
      <c r="F40" s="3"/>
    </row>
    <row r="41" spans="1:19">
      <c r="A41" s="3">
        <v>5</v>
      </c>
      <c r="B41" s="3" t="s">
        <v>24</v>
      </c>
      <c r="C41" s="3"/>
      <c r="D41" s="3"/>
      <c r="E41" s="3"/>
      <c r="F41" s="3"/>
    </row>
    <row r="42" spans="1:19">
      <c r="A42" s="3"/>
      <c r="B42" s="3" t="s">
        <v>17</v>
      </c>
      <c r="C42" s="30" t="s">
        <v>17</v>
      </c>
      <c r="D42" s="33" t="s">
        <v>25</v>
      </c>
      <c r="E42" s="33"/>
      <c r="F42" s="33" t="s">
        <v>26</v>
      </c>
      <c r="G42" s="32"/>
    </row>
    <row r="43" spans="1:19">
      <c r="A43" s="3"/>
      <c r="B43" s="3" t="s">
        <v>17</v>
      </c>
      <c r="C43" s="11">
        <v>1</v>
      </c>
      <c r="D43" s="29">
        <f>D25^2</f>
        <v>0</v>
      </c>
      <c r="E43" s="60" t="str">
        <f ca="1">_xlfn.FORMULATEXT(D43)</f>
        <v>=D25^2</v>
      </c>
      <c r="F43" s="29" t="s">
        <v>17</v>
      </c>
      <c r="G43" s="32"/>
    </row>
    <row r="44" spans="1:19">
      <c r="A44" s="3"/>
      <c r="B44" s="3"/>
      <c r="C44" s="11">
        <v>2</v>
      </c>
      <c r="D44" s="29">
        <f>D26^2</f>
        <v>2.5000000000000004</v>
      </c>
      <c r="E44" s="60" t="str">
        <f t="shared" ref="E44:E47" ca="1" si="5">_xlfn.FORMULATEXT(D44)</f>
        <v>=D26^2</v>
      </c>
      <c r="F44" s="29" t="s">
        <v>17</v>
      </c>
      <c r="G44" s="33"/>
    </row>
    <row r="45" spans="1:19">
      <c r="A45" s="3"/>
      <c r="B45" s="3"/>
      <c r="C45" s="11">
        <v>3</v>
      </c>
      <c r="D45" s="29" t="s">
        <v>17</v>
      </c>
      <c r="E45" s="60"/>
      <c r="F45" s="29">
        <f>D35^2</f>
        <v>0.25</v>
      </c>
      <c r="G45" s="60" t="str">
        <f ca="1">_xlfn.FORMULATEXT(F45)</f>
        <v>=D35^2</v>
      </c>
      <c r="H45" s="3"/>
      <c r="I45" s="3"/>
      <c r="J45" s="3"/>
      <c r="K45" s="3"/>
      <c r="L45" s="3"/>
    </row>
    <row r="46" spans="1:19">
      <c r="A46" s="3"/>
      <c r="B46" s="3"/>
      <c r="C46" s="11">
        <v>4</v>
      </c>
      <c r="D46" s="29">
        <f>D28^2</f>
        <v>2.25</v>
      </c>
      <c r="E46" s="60" t="str">
        <f t="shared" ca="1" si="5"/>
        <v>=D28^2</v>
      </c>
      <c r="F46" s="29" t="s">
        <v>17</v>
      </c>
      <c r="G46" s="60"/>
    </row>
    <row r="47" spans="1:19">
      <c r="A47" s="3"/>
      <c r="B47" s="3"/>
      <c r="C47" s="11">
        <v>5</v>
      </c>
      <c r="D47" s="29">
        <f>D29^2</f>
        <v>7.2499999999999991</v>
      </c>
      <c r="E47" s="60" t="str">
        <f t="shared" ca="1" si="5"/>
        <v>=D29^2</v>
      </c>
      <c r="F47" s="29" t="s">
        <v>17</v>
      </c>
      <c r="G47" s="6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6.2" thickBot="1">
      <c r="A48" s="3"/>
      <c r="B48" s="3"/>
      <c r="C48" s="34">
        <v>6</v>
      </c>
      <c r="D48" s="35" t="s">
        <v>17</v>
      </c>
      <c r="E48" s="36"/>
      <c r="F48" s="29">
        <f>D38^2</f>
        <v>0</v>
      </c>
      <c r="G48" s="60" t="str">
        <f t="shared" ref="G48" ca="1" si="6">_xlfn.FORMULATEXT(F48)</f>
        <v>=D38^2</v>
      </c>
      <c r="M48" s="3"/>
      <c r="N48" s="3"/>
      <c r="O48" s="7"/>
      <c r="P48" s="3"/>
      <c r="Q48" s="3"/>
      <c r="R48" s="3"/>
      <c r="S48" s="3"/>
    </row>
    <row r="49" spans="1:19" ht="15.6" thickBot="1">
      <c r="A49" s="3"/>
      <c r="B49" s="3" t="s">
        <v>17</v>
      </c>
      <c r="C49" s="37" t="s">
        <v>27</v>
      </c>
      <c r="D49" s="38">
        <f ca="1">SUM(D43:F48)</f>
        <v>12.25</v>
      </c>
      <c r="E49" s="39" t="str">
        <f ca="1">_xlfn.FORMULATEXT(D49)</f>
        <v>=SUM(D43:F48)</v>
      </c>
      <c r="F49" s="3"/>
      <c r="G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N50" s="3"/>
      <c r="O50" s="3"/>
      <c r="P50" s="5"/>
      <c r="Q50" s="3"/>
      <c r="R50" s="3"/>
      <c r="S50" s="3"/>
    </row>
    <row r="51" spans="1:19">
      <c r="A51" s="3"/>
      <c r="B51" s="3"/>
      <c r="C51" s="11"/>
      <c r="D51" s="29" t="s">
        <v>27</v>
      </c>
      <c r="E51" s="11"/>
      <c r="N51" s="3"/>
      <c r="O51" s="3"/>
      <c r="P51" s="3"/>
      <c r="Q51" s="3"/>
      <c r="R51" s="3"/>
      <c r="S51" s="3"/>
    </row>
    <row r="52" spans="1:19">
      <c r="A52" s="3"/>
      <c r="B52" s="3"/>
      <c r="C52" s="11" t="s">
        <v>14</v>
      </c>
      <c r="D52" s="29">
        <f ca="1">D49</f>
        <v>12.25</v>
      </c>
      <c r="E52" s="40" t="str">
        <f ca="1">_xlfn.FORMULATEXT(D52)</f>
        <v>=D49</v>
      </c>
      <c r="N52" s="3"/>
      <c r="O52" s="3"/>
      <c r="P52" s="3"/>
      <c r="Q52" s="3"/>
      <c r="R52" s="3"/>
      <c r="S52" s="3"/>
    </row>
    <row r="53" spans="1:19">
      <c r="A53" s="3"/>
      <c r="B53" s="3"/>
      <c r="C53" s="11" t="s">
        <v>22</v>
      </c>
      <c r="D53" s="29"/>
      <c r="E53" s="11"/>
      <c r="N53" s="3"/>
      <c r="O53" s="3"/>
      <c r="P53" s="3"/>
      <c r="Q53" s="3"/>
      <c r="R53" s="3"/>
      <c r="S53" s="3"/>
    </row>
    <row r="54" spans="1:19">
      <c r="N54" s="3"/>
      <c r="O54" s="3"/>
      <c r="P54" s="3"/>
      <c r="Q54" s="3"/>
      <c r="R54" s="3"/>
      <c r="S54" s="3"/>
    </row>
    <row r="55" spans="1:19">
      <c r="N55" s="3"/>
      <c r="O55" s="3"/>
      <c r="P55" s="3"/>
      <c r="Q55" s="3"/>
      <c r="R55" s="3"/>
      <c r="S55" s="3"/>
    </row>
    <row r="56" spans="1:19" ht="18">
      <c r="B56" s="3" t="s">
        <v>31</v>
      </c>
      <c r="C56" s="18" t="s">
        <v>22</v>
      </c>
      <c r="D56" s="19" t="s">
        <v>8</v>
      </c>
      <c r="E56" s="19" t="s">
        <v>9</v>
      </c>
      <c r="F56" s="3"/>
      <c r="N56" s="3"/>
      <c r="O56" s="3"/>
      <c r="P56" s="3"/>
      <c r="Q56" s="3"/>
      <c r="R56" s="3"/>
      <c r="S56" s="3"/>
    </row>
    <row r="57" spans="1:19">
      <c r="C57" s="3" t="s">
        <v>10</v>
      </c>
      <c r="D57" s="12">
        <f>K32</f>
        <v>2.125</v>
      </c>
      <c r="E57" s="12">
        <f>L32</f>
        <v>2.625</v>
      </c>
      <c r="F57" s="3" t="s">
        <v>30</v>
      </c>
      <c r="N57" s="3"/>
      <c r="O57" s="3"/>
      <c r="P57" s="3"/>
      <c r="Q57" s="3"/>
      <c r="R57" s="3"/>
      <c r="S57" s="3"/>
    </row>
    <row r="58" spans="1:19" ht="15.6">
      <c r="C58" s="7"/>
      <c r="D58" s="3"/>
      <c r="F58" s="3"/>
      <c r="N58" s="3"/>
      <c r="O58" s="3"/>
      <c r="P58" s="3"/>
      <c r="Q58" s="3"/>
      <c r="R58" s="3"/>
      <c r="S58" s="3"/>
    </row>
    <row r="59" spans="1:19" ht="15.6">
      <c r="C59" s="7" t="s">
        <v>22</v>
      </c>
      <c r="D59" s="3"/>
      <c r="E59" s="3"/>
      <c r="F59" s="3"/>
      <c r="N59" s="3"/>
      <c r="O59" s="3"/>
      <c r="P59" s="3"/>
      <c r="Q59" s="3"/>
      <c r="R59" s="3"/>
      <c r="S59" s="3"/>
    </row>
    <row r="60" spans="1:19">
      <c r="C60" s="3" t="s">
        <v>15</v>
      </c>
      <c r="D60" s="12">
        <f>K35</f>
        <v>4</v>
      </c>
      <c r="E60" s="12">
        <f>L35</f>
        <v>3.25</v>
      </c>
      <c r="F60" s="3" t="s">
        <v>30</v>
      </c>
      <c r="N60" s="3"/>
      <c r="O60" s="3"/>
      <c r="P60" s="3"/>
      <c r="Q60" s="3"/>
      <c r="R60" s="3"/>
      <c r="S60" s="3"/>
    </row>
    <row r="61" spans="1:19" ht="15.6">
      <c r="C61" s="7"/>
      <c r="F61" s="3"/>
      <c r="N61" s="3"/>
      <c r="O61" s="3"/>
      <c r="P61" s="3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C63" s="26" t="s">
        <v>7</v>
      </c>
      <c r="D63" s="25" t="s">
        <v>18</v>
      </c>
      <c r="E63" s="11"/>
      <c r="N63" s="3"/>
      <c r="O63" s="3"/>
      <c r="P63" s="3"/>
      <c r="Q63" s="3"/>
      <c r="R63" s="3"/>
      <c r="S63" s="3"/>
    </row>
    <row r="64" spans="1:19">
      <c r="C64" s="11">
        <v>1</v>
      </c>
      <c r="D64" s="11">
        <f t="shared" ref="D64:D69" si="7">SQRT((C10-$D$57)^2+(D10-$E$57)^2)</f>
        <v>1.4252192813739224</v>
      </c>
      <c r="E64" s="44" t="str">
        <f ca="1">_xlfn.FORMULATEXT(D64)</f>
        <v>=SQRT((C10-$D$57)^2+(D10-$E$57)^2)</v>
      </c>
    </row>
    <row r="65" spans="3:12">
      <c r="C65" s="11">
        <v>2</v>
      </c>
      <c r="D65" s="11">
        <f t="shared" si="7"/>
        <v>0.17677669529663689</v>
      </c>
      <c r="E65" s="44" t="str">
        <f t="shared" ref="E65:E69" ca="1" si="8">_xlfn.FORMULATEXT(D65)</f>
        <v>=SQRT((C11-$D$57)^2+(D11-$E$57)^2)</v>
      </c>
    </row>
    <row r="66" spans="3:12">
      <c r="C66" s="11">
        <v>3</v>
      </c>
      <c r="D66" s="11">
        <f t="shared" si="7"/>
        <v>2.069118169655856</v>
      </c>
      <c r="E66" s="44" t="str">
        <f t="shared" ca="1" si="8"/>
        <v>=SQRT((C12-$D$57)^2+(D12-$E$57)^2)</v>
      </c>
      <c r="J66" s="3"/>
      <c r="K66" s="3"/>
    </row>
    <row r="67" spans="3:12">
      <c r="C67" s="11">
        <v>4</v>
      </c>
      <c r="D67" s="11">
        <f t="shared" si="7"/>
        <v>0.39528470752104744</v>
      </c>
      <c r="E67" s="54" t="str">
        <f t="shared" ca="1" si="8"/>
        <v>=SQRT((C13-$D$57)^2+(D13-$E$57)^2)</v>
      </c>
      <c r="F67" s="53" t="s">
        <v>19</v>
      </c>
      <c r="G67" s="61"/>
      <c r="H67" s="3"/>
      <c r="I67" s="3"/>
      <c r="J67" s="3">
        <v>3</v>
      </c>
      <c r="K67" s="3" t="s">
        <v>12</v>
      </c>
      <c r="L67" s="3"/>
    </row>
    <row r="68" spans="3:12">
      <c r="C68" s="11">
        <v>5</v>
      </c>
      <c r="D68" s="11">
        <f t="shared" si="7"/>
        <v>1.2869537676233751</v>
      </c>
      <c r="E68" s="54" t="str">
        <f t="shared" ca="1" si="8"/>
        <v>=SQRT((C14-$D$57)^2+(D14-$E$57)^2)</v>
      </c>
      <c r="F68" s="29" t="str">
        <f>IF(MIN(D64,D72)=D64,"A","B")</f>
        <v>B</v>
      </c>
      <c r="G68" s="61" t="str">
        <f ca="1">_xlfn.FORMULATEXT(F68)</f>
        <v>=IF(MIN(D64,D72)=D64,"A","B")</v>
      </c>
      <c r="J68" s="3"/>
      <c r="K68" s="3"/>
      <c r="L68" s="3"/>
    </row>
    <row r="69" spans="3:12">
      <c r="C69" s="11">
        <v>6</v>
      </c>
      <c r="D69" s="11">
        <f t="shared" si="7"/>
        <v>1.9121323175972944</v>
      </c>
      <c r="E69" s="54" t="str">
        <f t="shared" ca="1" si="8"/>
        <v>=SQRT((C15-$D$57)^2+(D15-$E$57)^2)</v>
      </c>
      <c r="F69" s="29" t="str">
        <f t="shared" ref="F69:F73" si="9">IF(MIN(D65,D73)=D65,"A","B")</f>
        <v>A</v>
      </c>
      <c r="G69" s="61" t="str">
        <f t="shared" ref="G69:G73" ca="1" si="10">_xlfn.FORMULATEXT(F69)</f>
        <v>=IF(MIN(D65,D73)=D65,"A","B")</v>
      </c>
      <c r="H69" s="3"/>
      <c r="I69" s="3"/>
      <c r="J69" s="3"/>
      <c r="K69" s="3"/>
      <c r="L69" s="3"/>
    </row>
    <row r="70" spans="3:12">
      <c r="C70" s="3"/>
      <c r="D70" s="3"/>
      <c r="E70" s="45"/>
      <c r="F70" s="29" t="str">
        <f t="shared" si="9"/>
        <v>B</v>
      </c>
      <c r="G70" s="61" t="str">
        <f t="shared" ca="1" si="10"/>
        <v>=IF(MIN(D66,D74)=D66,"A","B")</v>
      </c>
      <c r="H70" s="3"/>
      <c r="I70" s="3"/>
    </row>
    <row r="71" spans="3:12" ht="15.6">
      <c r="C71" s="41" t="s">
        <v>7</v>
      </c>
      <c r="D71" s="42" t="s">
        <v>23</v>
      </c>
      <c r="E71" s="46"/>
      <c r="F71" s="29" t="str">
        <f t="shared" si="9"/>
        <v>A</v>
      </c>
      <c r="G71" s="61" t="str">
        <f t="shared" ca="1" si="10"/>
        <v>=IF(MIN(D67,D75)=D67,"A","B")</v>
      </c>
      <c r="H71" s="3"/>
      <c r="I71" s="3"/>
      <c r="J71" s="7" t="s">
        <v>22</v>
      </c>
      <c r="K71" s="5" t="s">
        <v>8</v>
      </c>
      <c r="L71" s="5" t="s">
        <v>9</v>
      </c>
    </row>
    <row r="72" spans="3:12">
      <c r="C72" s="47">
        <v>1</v>
      </c>
      <c r="D72" s="47">
        <f t="shared" ref="D72:D77" si="11">SQRT((C10-$D$60)^2+(D10-$E$60)^2)</f>
        <v>0.55901699437494745</v>
      </c>
      <c r="E72" s="44" t="str">
        <f t="shared" ref="E72:E77" ca="1" si="12">_xlfn.FORMULATEXT(D72)</f>
        <v>=SQRT((C10-$D$60)^2+(D10-$E$60)^2)</v>
      </c>
      <c r="F72" s="66" t="str">
        <f t="shared" si="9"/>
        <v>A</v>
      </c>
      <c r="G72" s="61" t="str">
        <f t="shared" ca="1" si="10"/>
        <v>=IF(MIN(D68,D76)=D68,"A","B")</v>
      </c>
      <c r="H72" s="3"/>
      <c r="I72" s="3"/>
      <c r="J72" s="3" t="s">
        <v>13</v>
      </c>
      <c r="K72" s="12">
        <f>AVERAGE(C11,C13,C14)</f>
        <v>1.6666666666666667</v>
      </c>
      <c r="L72" s="12">
        <f>AVERAGE(D11,D13,D14)</f>
        <v>2.5</v>
      </c>
    </row>
    <row r="73" spans="3:12">
      <c r="C73" s="47">
        <v>2</v>
      </c>
      <c r="D73" s="47">
        <f t="shared" si="11"/>
        <v>2.1360009363293826</v>
      </c>
      <c r="E73" s="44" t="str">
        <f t="shared" ca="1" si="12"/>
        <v>=SQRT((C11-$D$60)^2+(D11-$E$60)^2)</v>
      </c>
      <c r="F73" s="66" t="str">
        <f t="shared" si="9"/>
        <v>B</v>
      </c>
      <c r="G73" s="61" t="str">
        <f t="shared" ca="1" si="10"/>
        <v>=IF(MIN(D69,D77)=D69,"A","B")</v>
      </c>
      <c r="J73" s="17"/>
      <c r="K73" s="21" t="str">
        <f ca="1">_xlfn.FORMULATEXT(K72)</f>
        <v>=AVERAGE(C11,C13,C14)</v>
      </c>
      <c r="L73" s="21" t="str">
        <f ca="1">_xlfn.FORMULATEXT(L72)</f>
        <v>=AVERAGE(D11,D13,D14)</v>
      </c>
    </row>
    <row r="74" spans="3:12">
      <c r="C74" s="47">
        <v>3</v>
      </c>
      <c r="D74" s="47">
        <f t="shared" si="11"/>
        <v>0.25</v>
      </c>
      <c r="E74" s="44" t="str">
        <f t="shared" ca="1" si="12"/>
        <v>=SQRT((C12-$D$60)^2+(D12-$E$60)^2)</v>
      </c>
      <c r="J74" s="3"/>
      <c r="K74" s="3"/>
      <c r="L74" s="3"/>
    </row>
    <row r="75" spans="3:12">
      <c r="C75" s="47">
        <v>4</v>
      </c>
      <c r="D75" s="47">
        <f t="shared" si="11"/>
        <v>2.0155644370746373</v>
      </c>
      <c r="E75" s="44" t="str">
        <f t="shared" ca="1" si="12"/>
        <v>=SQRT((C13-$D$60)^2+(D13-$E$60)^2)</v>
      </c>
      <c r="F75" s="3"/>
      <c r="J75" s="3" t="s">
        <v>16</v>
      </c>
      <c r="K75" s="12">
        <f>AVERAGE(C10,C12,C15)</f>
        <v>3.8333333333333335</v>
      </c>
      <c r="L75" s="12">
        <f>AVERAGE(D10,D12,D15)</f>
        <v>3.1666666666666665</v>
      </c>
    </row>
    <row r="76" spans="3:12">
      <c r="C76" s="47">
        <v>5</v>
      </c>
      <c r="D76" s="47">
        <f t="shared" si="11"/>
        <v>3.25</v>
      </c>
      <c r="E76" s="44" t="str">
        <f t="shared" ca="1" si="12"/>
        <v>=SQRT((C14-$D$60)^2+(D14-$E$60)^2)</v>
      </c>
      <c r="F76" s="3"/>
      <c r="J76" s="3"/>
      <c r="K76" s="21" t="str">
        <f ca="1">_xlfn.FORMULATEXT(K75)</f>
        <v>=AVERAGE(C10,C12,C15)</v>
      </c>
      <c r="L76" s="21" t="str">
        <f ca="1">_xlfn.FORMULATEXT(L75)</f>
        <v>=AVERAGE(D10,D12,D15)</v>
      </c>
    </row>
    <row r="77" spans="3:12">
      <c r="C77" s="47">
        <v>6</v>
      </c>
      <c r="D77" s="47">
        <f t="shared" si="11"/>
        <v>0.25</v>
      </c>
      <c r="E77" s="44" t="str">
        <f t="shared" ca="1" si="12"/>
        <v>=SQRT((C15-$D$60)^2+(D15-$E$60)^2)</v>
      </c>
      <c r="F77" s="3"/>
    </row>
    <row r="78" spans="3:12">
      <c r="C78" s="3"/>
      <c r="D78" s="3"/>
      <c r="E78" s="3"/>
      <c r="F78" s="3"/>
    </row>
    <row r="79" spans="3:12">
      <c r="C79" s="3"/>
      <c r="D79" s="3"/>
      <c r="E79" s="3"/>
      <c r="F79" s="3"/>
    </row>
    <row r="80" spans="3:12">
      <c r="C80" s="3"/>
      <c r="D80" s="3"/>
      <c r="E80" s="3"/>
      <c r="F80" s="3"/>
    </row>
    <row r="81" spans="2:19">
      <c r="C81" s="30" t="s">
        <v>17</v>
      </c>
      <c r="D81" s="11" t="s">
        <v>25</v>
      </c>
      <c r="E81" s="31"/>
      <c r="F81" s="30" t="s">
        <v>26</v>
      </c>
      <c r="G81" s="59"/>
      <c r="H81" s="20"/>
    </row>
    <row r="82" spans="2:19">
      <c r="C82" s="11">
        <v>1</v>
      </c>
      <c r="D82" s="11"/>
      <c r="E82" s="31"/>
      <c r="F82" s="11">
        <f>D72^2</f>
        <v>0.31250000000000006</v>
      </c>
      <c r="G82" s="59" t="str">
        <f ca="1">_xlfn.FORMULATEXT(F82)</f>
        <v>=D72^2</v>
      </c>
      <c r="H82" s="20"/>
    </row>
    <row r="83" spans="2:19">
      <c r="C83" s="11">
        <v>2</v>
      </c>
      <c r="D83" s="11">
        <f>D65^2</f>
        <v>3.1250000000000007E-2</v>
      </c>
      <c r="E83" s="59" t="str">
        <f t="shared" ref="E83" ca="1" si="13">_xlfn.FORMULATEXT(D83)</f>
        <v>=D65^2</v>
      </c>
      <c r="F83" s="11"/>
      <c r="G83" s="59"/>
      <c r="H83" s="20"/>
    </row>
    <row r="84" spans="2:19">
      <c r="C84" s="11">
        <v>3</v>
      </c>
      <c r="D84" s="11"/>
      <c r="E84" s="59"/>
      <c r="F84" s="11">
        <f t="shared" ref="F84" si="14">D74^2</f>
        <v>6.25E-2</v>
      </c>
      <c r="G84" s="59" t="str">
        <f t="shared" ref="G84:G87" ca="1" si="15">_xlfn.FORMULATEXT(F84)</f>
        <v>=D74^2</v>
      </c>
      <c r="H84" s="20"/>
    </row>
    <row r="85" spans="2:19">
      <c r="C85" s="11">
        <v>4</v>
      </c>
      <c r="D85" s="11">
        <f>D67^2</f>
        <v>0.15625000000000003</v>
      </c>
      <c r="E85" s="59" t="str">
        <f t="shared" ref="E85:E86" ca="1" si="16">_xlfn.FORMULATEXT(D85)</f>
        <v>=D67^2</v>
      </c>
      <c r="F85" s="11"/>
      <c r="G85" s="59"/>
      <c r="H85" s="20"/>
    </row>
    <row r="86" spans="2:19">
      <c r="C86" s="11">
        <v>5</v>
      </c>
      <c r="D86" s="11">
        <f>D68^2</f>
        <v>1.6562500000000002</v>
      </c>
      <c r="E86" s="59" t="str">
        <f t="shared" ca="1" si="16"/>
        <v>=D68^2</v>
      </c>
      <c r="F86" s="11"/>
      <c r="G86" s="59"/>
      <c r="H86" s="20"/>
    </row>
    <row r="87" spans="2:19" ht="15.6" thickBot="1">
      <c r="C87" s="34">
        <v>6</v>
      </c>
      <c r="D87" s="34"/>
      <c r="E87" s="62"/>
      <c r="F87" s="11">
        <f t="shared" ref="F87" si="17">D77^2</f>
        <v>6.25E-2</v>
      </c>
      <c r="G87" s="59" t="str">
        <f t="shared" ca="1" si="15"/>
        <v>=D77^2</v>
      </c>
      <c r="H87" s="20"/>
    </row>
    <row r="88" spans="2:19" ht="15.6" thickBot="1">
      <c r="C88" s="63" t="s">
        <v>27</v>
      </c>
      <c r="D88" s="38">
        <f ca="1">SUM(D82:F87)</f>
        <v>2.2812500000000004</v>
      </c>
      <c r="E88" s="64" t="str">
        <f ca="1">_xlfn.FORMULATEXT(D88)</f>
        <v>=SUM(D82:F87)</v>
      </c>
      <c r="F88" s="3"/>
      <c r="G88" s="20"/>
      <c r="H88" s="20"/>
    </row>
    <row r="89" spans="2:19">
      <c r="C89" s="3"/>
      <c r="D89" s="3"/>
      <c r="E89" s="20"/>
      <c r="G89" s="20"/>
      <c r="H89" s="20"/>
    </row>
    <row r="90" spans="2:19">
      <c r="C90" s="11"/>
      <c r="D90" s="11" t="s">
        <v>27</v>
      </c>
      <c r="E90" s="59"/>
      <c r="G90" s="20"/>
      <c r="H90" s="20"/>
    </row>
    <row r="91" spans="2:19">
      <c r="C91" s="11" t="s">
        <v>14</v>
      </c>
      <c r="D91" s="27">
        <f ca="1">D52</f>
        <v>12.25</v>
      </c>
      <c r="E91" s="59" t="str">
        <f ca="1">_xlfn.FORMULATEXT(D91)</f>
        <v>=D52</v>
      </c>
      <c r="G91" s="20"/>
      <c r="H91" s="20"/>
    </row>
    <row r="92" spans="2:19">
      <c r="C92" s="11" t="s">
        <v>22</v>
      </c>
      <c r="D92" s="27">
        <f ca="1">D88</f>
        <v>2.2812500000000004</v>
      </c>
      <c r="E92" s="59" t="str">
        <f ca="1">_xlfn.FORMULATEXT(D92)</f>
        <v>=D88</v>
      </c>
    </row>
    <row r="94" spans="2:19">
      <c r="N94" s="3"/>
      <c r="O94" s="3"/>
      <c r="P94" s="3"/>
      <c r="Q94" s="3"/>
      <c r="R94" s="3"/>
      <c r="S94" s="3"/>
    </row>
    <row r="95" spans="2:19">
      <c r="N95" s="3"/>
      <c r="O95" s="3"/>
      <c r="P95" s="3"/>
      <c r="Q95" s="3"/>
      <c r="R95" s="3"/>
      <c r="S95" s="3"/>
    </row>
    <row r="96" spans="2:19" ht="18">
      <c r="B96" s="3" t="s">
        <v>31</v>
      </c>
      <c r="C96" s="18" t="s">
        <v>28</v>
      </c>
      <c r="D96" s="19" t="s">
        <v>8</v>
      </c>
      <c r="E96" s="19" t="s">
        <v>9</v>
      </c>
      <c r="F96" s="3"/>
      <c r="N96" s="3"/>
      <c r="O96" s="3"/>
      <c r="P96" s="3"/>
      <c r="Q96" s="3"/>
      <c r="R96" s="3"/>
      <c r="S96" s="3"/>
    </row>
    <row r="97" spans="1:19">
      <c r="C97" s="3" t="s">
        <v>10</v>
      </c>
      <c r="D97" s="12">
        <f>K72</f>
        <v>1.6666666666666667</v>
      </c>
      <c r="E97" s="12">
        <f>L72</f>
        <v>2.5</v>
      </c>
      <c r="F97" s="3" t="s">
        <v>30</v>
      </c>
      <c r="N97" s="3"/>
      <c r="O97" s="3"/>
      <c r="P97" s="3"/>
      <c r="Q97" s="3"/>
      <c r="R97" s="3"/>
      <c r="S97" s="3"/>
    </row>
    <row r="98" spans="1:19" ht="15.6">
      <c r="C98" s="7"/>
      <c r="D98" s="3"/>
      <c r="F98" s="3"/>
      <c r="N98" s="3"/>
      <c r="O98" s="3"/>
      <c r="P98" s="3"/>
      <c r="Q98" s="3"/>
      <c r="R98" s="3"/>
      <c r="S98" s="3"/>
    </row>
    <row r="99" spans="1:19" ht="15.6">
      <c r="C99" s="7" t="s">
        <v>28</v>
      </c>
      <c r="D99" s="3"/>
      <c r="E99" s="3"/>
      <c r="F99" s="3"/>
      <c r="N99" s="3"/>
      <c r="O99" s="3"/>
      <c r="P99" s="3"/>
      <c r="Q99" s="3"/>
      <c r="R99" s="3"/>
      <c r="S99" s="3"/>
    </row>
    <row r="100" spans="1:19">
      <c r="C100" s="3" t="s">
        <v>15</v>
      </c>
      <c r="D100" s="12">
        <f>K75</f>
        <v>3.8333333333333335</v>
      </c>
      <c r="E100" s="12">
        <f>L75</f>
        <v>3.1666666666666665</v>
      </c>
      <c r="F100" s="3" t="s">
        <v>30</v>
      </c>
      <c r="N100" s="3"/>
      <c r="O100" s="3"/>
      <c r="P100" s="3"/>
      <c r="Q100" s="3"/>
      <c r="R100" s="3"/>
      <c r="S100" s="3"/>
    </row>
    <row r="101" spans="1:19" ht="15.6">
      <c r="C101" s="7"/>
      <c r="F101" s="3"/>
      <c r="N101" s="3"/>
      <c r="O101" s="3"/>
      <c r="P101" s="3"/>
      <c r="Q101" s="3"/>
      <c r="R101" s="3"/>
      <c r="S101" s="3"/>
    </row>
    <row r="102" spans="1:19">
      <c r="A102" s="3"/>
      <c r="B102" s="3"/>
      <c r="C102" s="3"/>
      <c r="D102" s="3"/>
      <c r="E102" s="3"/>
      <c r="F102" s="3"/>
      <c r="G102" s="3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C103" s="13" t="s">
        <v>7</v>
      </c>
      <c r="D103" s="14" t="s">
        <v>18</v>
      </c>
      <c r="E103" s="3"/>
      <c r="N103" s="3"/>
      <c r="O103" s="3"/>
      <c r="P103" s="3"/>
      <c r="Q103" s="3"/>
      <c r="R103" s="3"/>
      <c r="S103" s="3"/>
    </row>
    <row r="104" spans="1:19">
      <c r="C104" s="11">
        <v>1</v>
      </c>
      <c r="D104" s="11">
        <f t="shared" ref="D104:D109" si="18">SQRT((C10-$D$97)^2+(D10-$E$97)^2)</f>
        <v>1.9002923751652299</v>
      </c>
      <c r="E104" s="44" t="str">
        <f ca="1">_xlfn.FORMULATEXT(D104)</f>
        <v>=SQRT((C10-$D$97)^2+(D10-$E$97)^2)</v>
      </c>
    </row>
    <row r="105" spans="1:19">
      <c r="C105" s="11">
        <v>2</v>
      </c>
      <c r="D105" s="11">
        <f t="shared" si="18"/>
        <v>0.33333333333333326</v>
      </c>
      <c r="E105" s="44" t="str">
        <f t="shared" ref="E105:E109" ca="1" si="19">_xlfn.FORMULATEXT(D105)</f>
        <v>=SQRT((C11-$D$97)^2+(D11-$E$97)^2)</v>
      </c>
    </row>
    <row r="106" spans="1:19">
      <c r="C106" s="11">
        <v>3</v>
      </c>
      <c r="D106" s="11">
        <f t="shared" si="18"/>
        <v>2.5385910352879693</v>
      </c>
      <c r="E106" s="44" t="str">
        <f t="shared" ca="1" si="19"/>
        <v>=SQRT((C12-$D$97)^2+(D12-$E$97)^2)</v>
      </c>
      <c r="J106" s="3"/>
      <c r="K106" s="3"/>
    </row>
    <row r="107" spans="1:19">
      <c r="C107" s="11">
        <v>4</v>
      </c>
      <c r="D107" s="11">
        <f t="shared" si="18"/>
        <v>0.60092521257733145</v>
      </c>
      <c r="E107" s="44" t="str">
        <f t="shared" ca="1" si="19"/>
        <v>=SQRT((C13-$D$97)^2+(D13-$E$97)^2)</v>
      </c>
      <c r="F107" s="4" t="s">
        <v>19</v>
      </c>
      <c r="H107" s="3"/>
      <c r="I107" s="3"/>
      <c r="J107" s="3">
        <v>3</v>
      </c>
      <c r="K107" s="3" t="s">
        <v>12</v>
      </c>
      <c r="L107" s="3"/>
    </row>
    <row r="108" spans="1:19">
      <c r="C108" s="11">
        <v>5</v>
      </c>
      <c r="D108" s="11">
        <f t="shared" si="18"/>
        <v>0.83333333333333337</v>
      </c>
      <c r="E108" s="54" t="str">
        <f t="shared" ca="1" si="19"/>
        <v>=SQRT((C14-$D$97)^2+(D14-$E$97)^2)</v>
      </c>
      <c r="F108" s="33" t="str">
        <f>IF(MIN(D104,D112)=D104,"A","B")</f>
        <v>B</v>
      </c>
      <c r="G108" s="61" t="str">
        <f ca="1">_xlfn.FORMULATEXT(F108)</f>
        <v>=IF(MIN(D104,D112)=D104,"A","B")</v>
      </c>
      <c r="J108" s="3"/>
      <c r="K108" s="3"/>
      <c r="L108" s="3"/>
    </row>
    <row r="109" spans="1:19">
      <c r="C109" s="11">
        <v>6</v>
      </c>
      <c r="D109" s="11">
        <f t="shared" si="18"/>
        <v>2.3863035105460586</v>
      </c>
      <c r="E109" s="54" t="str">
        <f t="shared" ca="1" si="19"/>
        <v>=SQRT((C15-$D$97)^2+(D15-$E$97)^2)</v>
      </c>
      <c r="F109" s="33" t="str">
        <f t="shared" ref="F109:F113" si="20">IF(MIN(D105,D113)=D105,"A","B")</f>
        <v>A</v>
      </c>
      <c r="G109" s="61" t="str">
        <f t="shared" ref="G109:G113" ca="1" si="21">_xlfn.FORMULATEXT(F109)</f>
        <v>=IF(MIN(D105,D113)=D105,"A","B")</v>
      </c>
      <c r="H109" s="3"/>
      <c r="I109" s="3"/>
      <c r="J109" s="3"/>
      <c r="K109" s="3"/>
      <c r="L109" s="3"/>
    </row>
    <row r="110" spans="1:19">
      <c r="C110" s="3"/>
      <c r="D110" s="3"/>
      <c r="E110" s="16"/>
      <c r="F110" s="33" t="str">
        <f t="shared" si="20"/>
        <v>B</v>
      </c>
      <c r="G110" s="61" t="str">
        <f t="shared" ca="1" si="21"/>
        <v>=IF(MIN(D106,D114)=D106,"A","B")</v>
      </c>
      <c r="H110" s="3"/>
      <c r="I110" s="3"/>
    </row>
    <row r="111" spans="1:19" ht="15.6">
      <c r="C111" s="13" t="s">
        <v>7</v>
      </c>
      <c r="D111" s="14" t="s">
        <v>23</v>
      </c>
      <c r="E111" s="16"/>
      <c r="F111" s="33" t="str">
        <f t="shared" si="20"/>
        <v>A</v>
      </c>
      <c r="G111" s="61" t="str">
        <f t="shared" ca="1" si="21"/>
        <v>=IF(MIN(D107,D115)=D107,"A","B")</v>
      </c>
      <c r="H111" s="3"/>
      <c r="I111" s="3"/>
      <c r="J111" s="7" t="s">
        <v>28</v>
      </c>
      <c r="K111" s="5" t="s">
        <v>8</v>
      </c>
      <c r="L111" s="5" t="s">
        <v>9</v>
      </c>
    </row>
    <row r="112" spans="1:19">
      <c r="C112" s="11">
        <v>1</v>
      </c>
      <c r="D112" s="11">
        <f t="shared" ref="D112:D117" si="22">SQRT((C10-$D$100)^2+(D10-$E$100)^2)</f>
        <v>0.372677996249965</v>
      </c>
      <c r="E112" s="44" t="str">
        <f t="shared" ref="E112:E117" ca="1" si="23">_xlfn.FORMULATEXT(D112)</f>
        <v>=SQRT((C10-$D$100)^2+(D10-$E$100)^2)</v>
      </c>
      <c r="F112" s="65" t="str">
        <f t="shared" si="20"/>
        <v>A</v>
      </c>
      <c r="G112" s="61" t="str">
        <f t="shared" ca="1" si="21"/>
        <v>=IF(MIN(D108,D116)=D108,"A","B")</v>
      </c>
      <c r="H112" s="3"/>
      <c r="I112" s="3"/>
      <c r="J112" s="3" t="s">
        <v>13</v>
      </c>
      <c r="K112" s="23">
        <f>AVERAGE(C11,C13,C14)</f>
        <v>1.6666666666666667</v>
      </c>
      <c r="L112" s="23">
        <f>AVERAGE(D11,D13,D14)</f>
        <v>2.5</v>
      </c>
    </row>
    <row r="113" spans="3:12">
      <c r="C113" s="11">
        <v>2</v>
      </c>
      <c r="D113" s="11">
        <f t="shared" si="22"/>
        <v>1.950783318453271</v>
      </c>
      <c r="E113" s="44" t="str">
        <f t="shared" ca="1" si="23"/>
        <v>=SQRT((C11-$D$100)^2+(D11-$E$100)^2)</v>
      </c>
      <c r="F113" s="65" t="str">
        <f t="shared" si="20"/>
        <v>B</v>
      </c>
      <c r="G113" s="61" t="str">
        <f t="shared" ca="1" si="21"/>
        <v>=IF(MIN(D109,D117)=D109,"A","B")</v>
      </c>
      <c r="J113" s="17"/>
      <c r="K113" s="21" t="str">
        <f ca="1">_xlfn.FORMULATEXT(K112)</f>
        <v>=AVERAGE(C11,C13,C14)</v>
      </c>
      <c r="L113" s="21" t="str">
        <f ca="1">_xlfn.FORMULATEXT(L112)</f>
        <v>=AVERAGE(D11,D13,D14)</v>
      </c>
    </row>
    <row r="114" spans="3:12">
      <c r="C114" s="11">
        <v>3</v>
      </c>
      <c r="D114" s="11">
        <f t="shared" si="22"/>
        <v>0.372677996249965</v>
      </c>
      <c r="E114" s="44" t="str">
        <f t="shared" ca="1" si="23"/>
        <v>=SQRT((C12-$D$100)^2+(D12-$E$100)^2)</v>
      </c>
      <c r="J114" s="3"/>
      <c r="K114" s="3"/>
      <c r="L114" s="3"/>
    </row>
    <row r="115" spans="3:12">
      <c r="C115" s="11">
        <v>4</v>
      </c>
      <c r="D115" s="11">
        <f t="shared" si="22"/>
        <v>1.8408935028645437</v>
      </c>
      <c r="E115" s="44" t="str">
        <f t="shared" ca="1" si="23"/>
        <v>=SQRT((C13-$D$100)^2+(D13-$E$100)^2)</v>
      </c>
      <c r="F115" s="3"/>
      <c r="J115" s="3" t="s">
        <v>16</v>
      </c>
      <c r="K115" s="23">
        <f>AVERAGE(C10,C12,C15)</f>
        <v>3.8333333333333335</v>
      </c>
      <c r="L115" s="23">
        <f>AVERAGE(D10,D12,D15)</f>
        <v>3.1666666666666665</v>
      </c>
    </row>
    <row r="116" spans="3:12">
      <c r="C116" s="11">
        <v>5</v>
      </c>
      <c r="D116" s="11">
        <f t="shared" si="22"/>
        <v>3.064129385141706</v>
      </c>
      <c r="E116" s="44" t="str">
        <f t="shared" ca="1" si="23"/>
        <v>=SQRT((C14-$D$100)^2+(D14-$E$100)^2)</v>
      </c>
      <c r="F116" s="3"/>
      <c r="J116" s="3"/>
      <c r="K116" s="21" t="str">
        <f ca="1">_xlfn.FORMULATEXT(K115)</f>
        <v>=AVERAGE(C10,C12,C15)</v>
      </c>
      <c r="L116" s="21" t="str">
        <f ca="1">_xlfn.FORMULATEXT(L115)</f>
        <v>=AVERAGE(D10,D12,D15)</v>
      </c>
    </row>
    <row r="117" spans="3:12">
      <c r="C117" s="11">
        <v>6</v>
      </c>
      <c r="D117" s="11">
        <f t="shared" si="22"/>
        <v>0.23570226039551562</v>
      </c>
      <c r="E117" s="44" t="str">
        <f t="shared" ca="1" si="23"/>
        <v>=SQRT((C15-$D$100)^2+(D15-$E$100)^2)</v>
      </c>
      <c r="F117" s="3"/>
    </row>
    <row r="118" spans="3:12">
      <c r="C118" s="3"/>
      <c r="D118" s="3"/>
      <c r="E118" s="3"/>
      <c r="F118" s="3"/>
    </row>
    <row r="119" spans="3:12">
      <c r="C119" s="3"/>
      <c r="D119" s="3"/>
      <c r="E119" s="3"/>
      <c r="F119" s="3"/>
    </row>
    <row r="120" spans="3:12">
      <c r="C120" s="3"/>
      <c r="D120" s="3"/>
      <c r="E120" s="3"/>
      <c r="F120" s="3"/>
    </row>
    <row r="121" spans="3:12">
      <c r="C121" s="30" t="s">
        <v>17</v>
      </c>
      <c r="D121" s="11" t="s">
        <v>25</v>
      </c>
      <c r="E121" s="31"/>
      <c r="F121" s="30" t="s">
        <v>26</v>
      </c>
      <c r="G121" s="59"/>
      <c r="H121" s="20"/>
    </row>
    <row r="122" spans="3:12">
      <c r="C122" s="11">
        <v>1</v>
      </c>
      <c r="D122" s="11"/>
      <c r="E122" s="31"/>
      <c r="F122" s="11">
        <f>D112^2</f>
        <v>0.13888888888888892</v>
      </c>
      <c r="G122" s="59" t="str">
        <f ca="1">_xlfn.FORMULATEXT(F122)</f>
        <v>=D112^2</v>
      </c>
      <c r="H122" s="20"/>
    </row>
    <row r="123" spans="3:12">
      <c r="C123" s="11">
        <v>2</v>
      </c>
      <c r="D123" s="11">
        <f>D105^2</f>
        <v>0.11111111111111106</v>
      </c>
      <c r="E123" s="59" t="str">
        <f t="shared" ref="E123" ca="1" si="24">_xlfn.FORMULATEXT(D123)</f>
        <v>=D105^2</v>
      </c>
      <c r="F123" s="11"/>
      <c r="G123" s="59"/>
      <c r="H123" s="20"/>
    </row>
    <row r="124" spans="3:12">
      <c r="C124" s="11">
        <v>3</v>
      </c>
      <c r="D124" s="11"/>
      <c r="E124" s="59"/>
      <c r="F124" s="11">
        <f>D114^2</f>
        <v>0.13888888888888892</v>
      </c>
      <c r="G124" s="59" t="str">
        <f t="shared" ref="G124:G127" ca="1" si="25">_xlfn.FORMULATEXT(F124)</f>
        <v>=D114^2</v>
      </c>
      <c r="H124" s="20"/>
    </row>
    <row r="125" spans="3:12">
      <c r="C125" s="11">
        <v>4</v>
      </c>
      <c r="D125" s="11">
        <f>D107^2</f>
        <v>0.36111111111111099</v>
      </c>
      <c r="E125" s="59" t="str">
        <f t="shared" ref="E125:E126" ca="1" si="26">_xlfn.FORMULATEXT(D125)</f>
        <v>=D107^2</v>
      </c>
      <c r="F125" s="11"/>
      <c r="G125" s="59"/>
      <c r="H125" s="20"/>
    </row>
    <row r="126" spans="3:12">
      <c r="C126" s="11">
        <v>5</v>
      </c>
      <c r="D126" s="11">
        <f>D108^2</f>
        <v>0.69444444444444453</v>
      </c>
      <c r="E126" s="59" t="str">
        <f t="shared" ca="1" si="26"/>
        <v>=D108^2</v>
      </c>
      <c r="F126" s="11"/>
      <c r="G126" s="59"/>
      <c r="H126" s="20"/>
    </row>
    <row r="127" spans="3:12" ht="15.6" thickBot="1">
      <c r="C127" s="34">
        <v>6</v>
      </c>
      <c r="D127" s="34"/>
      <c r="E127" s="62"/>
      <c r="F127" s="11">
        <f>D117^2</f>
        <v>5.5555555555555448E-2</v>
      </c>
      <c r="G127" s="59" t="str">
        <f t="shared" ca="1" si="25"/>
        <v>=D117^2</v>
      </c>
      <c r="H127" s="20"/>
    </row>
    <row r="128" spans="3:12" ht="15.6" thickBot="1">
      <c r="C128" s="63" t="s">
        <v>27</v>
      </c>
      <c r="D128" s="38">
        <f ca="1">SUM(D122:F127)</f>
        <v>1.5</v>
      </c>
      <c r="E128" s="64" t="str">
        <f ca="1">_xlfn.FORMULATEXT(D128)</f>
        <v>=SUM(D122:F127)</v>
      </c>
      <c r="F128" s="3"/>
      <c r="G128" s="20"/>
      <c r="H128" s="20"/>
    </row>
    <row r="129" spans="2:8">
      <c r="C129" s="3"/>
      <c r="D129" s="3"/>
      <c r="E129" s="20"/>
      <c r="G129" s="20"/>
      <c r="H129" s="20"/>
    </row>
    <row r="130" spans="2:8">
      <c r="C130" s="11"/>
      <c r="D130" s="11" t="s">
        <v>27</v>
      </c>
      <c r="E130" s="59"/>
      <c r="G130" s="20"/>
      <c r="H130" s="20"/>
    </row>
    <row r="131" spans="2:8">
      <c r="C131" s="11" t="s">
        <v>14</v>
      </c>
      <c r="D131" s="11">
        <f ca="1">D52</f>
        <v>12.25</v>
      </c>
      <c r="E131" s="59" t="str">
        <f ca="1">_xlfn.FORMULATEXT(D131)</f>
        <v>=D52</v>
      </c>
      <c r="G131" s="20"/>
      <c r="H131" s="20"/>
    </row>
    <row r="132" spans="2:8">
      <c r="C132" s="11" t="s">
        <v>22</v>
      </c>
      <c r="D132" s="11">
        <f ca="1">D92</f>
        <v>2.2812500000000004</v>
      </c>
      <c r="E132" s="59" t="str">
        <f ca="1">_xlfn.FORMULATEXT(D132)</f>
        <v>=D92</v>
      </c>
    </row>
    <row r="133" spans="2:8">
      <c r="C133" s="11" t="s">
        <v>28</v>
      </c>
      <c r="D133" s="31">
        <f ca="1">D128</f>
        <v>1.5</v>
      </c>
      <c r="E133" s="59" t="str">
        <f ca="1">_xlfn.FORMULATEXT(D133)</f>
        <v>=D128</v>
      </c>
    </row>
    <row r="136" spans="2:8" ht="17.399999999999999">
      <c r="B136" s="24" t="s">
        <v>32</v>
      </c>
      <c r="C136" s="22"/>
      <c r="D136" s="22"/>
      <c r="E136" s="22"/>
    </row>
    <row r="137" spans="2:8" ht="17.399999999999999">
      <c r="B137" s="24" t="s">
        <v>33</v>
      </c>
      <c r="C137" s="22"/>
      <c r="D137" s="22"/>
      <c r="E137" s="22"/>
    </row>
    <row r="138" spans="2:8" ht="17.399999999999999">
      <c r="B138" s="24" t="s">
        <v>34</v>
      </c>
      <c r="C138" s="22"/>
      <c r="D138" s="22"/>
      <c r="E138" s="22"/>
    </row>
  </sheetData>
  <phoneticPr fontId="14" type="noConversion"/>
  <printOptions horizontalCentered="1" headings="1"/>
  <pageMargins left="0.19685039370078741" right="7.874015748031496E-2" top="0.19685039370078741" bottom="7.874015748031496E-2" header="7.874015748031496E-2" footer="7.874015748031496E-2"/>
  <pageSetup paperSize="9" scale="45" fitToHeight="10" orientation="portrait" horizontalDpi="0" verticalDpi="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Clustering, k=2</vt:lpstr>
      <vt:lpstr>Clustering, k=2 (2)</vt:lpstr>
    </vt:vector>
  </TitlesOfParts>
  <Manager/>
  <Company>SIT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Bunthit</dc:creator>
  <cp:keywords/>
  <dc:description/>
  <cp:lastModifiedBy>KRISSANA PIPUTPRUEDTIGUL</cp:lastModifiedBy>
  <cp:revision/>
  <cp:lastPrinted>2025-05-08T14:32:16Z</cp:lastPrinted>
  <dcterms:created xsi:type="dcterms:W3CDTF">2010-01-26T03:21:26Z</dcterms:created>
  <dcterms:modified xsi:type="dcterms:W3CDTF">2025-05-08T16:11:47Z</dcterms:modified>
  <cp:category/>
  <cp:contentStatus/>
</cp:coreProperties>
</file>