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muttsit-my.sharepoint.com/personal/67130701930_ad_sit_kmutt_ac_th/Documents/KMUTT/TERM1/BIS602/Final/Exersice/Lecture 13 Association mining/"/>
    </mc:Choice>
  </mc:AlternateContent>
  <xr:revisionPtr revIDLastSave="468" documentId="13_ncr:1_{69E36816-C2C2-B540-BA05-230AE7CC7F8C}" xr6:coauthVersionLast="47" xr6:coauthVersionMax="47" xr10:uidLastSave="{DF12D0F7-80CC-BB41-9008-EB61F2C608D9}"/>
  <bookViews>
    <workbookView xWindow="0" yWindow="760" windowWidth="30240" windowHeight="17660" activeTab="1" xr2:uid="{634D9626-0E6E-BF42-881C-C98E447AD22F}"/>
  </bookViews>
  <sheets>
    <sheet name="Simple Itemsets" sheetId="3" r:id="rId1"/>
    <sheet name="Cosmetic" sheetId="1" r:id="rId2"/>
    <sheet name="EX HW L1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6" i="3" l="1"/>
  <c r="F43" i="4"/>
  <c r="I19" i="1"/>
  <c r="N28" i="4"/>
  <c r="N29" i="4"/>
  <c r="N30" i="4"/>
  <c r="N57" i="4"/>
  <c r="N58" i="4"/>
  <c r="N59" i="4"/>
  <c r="M24" i="4" a="1"/>
  <c r="M24" i="4" s="1"/>
  <c r="N24" i="4" s="1"/>
  <c r="C30" i="4" s="1"/>
  <c r="C32" i="4" s="1"/>
  <c r="M25" i="4" a="1"/>
  <c r="M25" i="4" s="1"/>
  <c r="N25" i="4" s="1"/>
  <c r="M26" i="4" a="1"/>
  <c r="M26" i="4" s="1"/>
  <c r="N26" i="4" s="1"/>
  <c r="M27" i="4" a="1"/>
  <c r="M27" i="4" s="1"/>
  <c r="N27" i="4" s="1"/>
  <c r="M28" i="4" a="1"/>
  <c r="M28" i="4" s="1"/>
  <c r="M29" i="4" a="1"/>
  <c r="M29" i="4"/>
  <c r="M30" i="4" a="1"/>
  <c r="M30" i="4" s="1"/>
  <c r="M31" i="4" a="1"/>
  <c r="M31" i="4" s="1"/>
  <c r="N31" i="4" s="1"/>
  <c r="M32" i="4" a="1"/>
  <c r="M32" i="4" s="1"/>
  <c r="N32" i="4" s="1"/>
  <c r="M33" i="4" a="1"/>
  <c r="M33" i="4" s="1"/>
  <c r="N33" i="4" s="1"/>
  <c r="M34" i="4" a="1"/>
  <c r="M34" i="4" s="1"/>
  <c r="N34" i="4" s="1"/>
  <c r="M35" i="4" a="1"/>
  <c r="M35" i="4" s="1"/>
  <c r="N35" i="4" s="1"/>
  <c r="M36" i="4" a="1"/>
  <c r="M36" i="4" s="1"/>
  <c r="N36" i="4" s="1"/>
  <c r="M37" i="4" a="1"/>
  <c r="M37" i="4" s="1"/>
  <c r="N37" i="4" s="1"/>
  <c r="M38" i="4" a="1"/>
  <c r="M38" i="4" s="1"/>
  <c r="N38" i="4" s="1"/>
  <c r="M39" i="4" a="1"/>
  <c r="M39" i="4" s="1"/>
  <c r="N39" i="4" s="1"/>
  <c r="M40" i="4" a="1"/>
  <c r="M40" i="4"/>
  <c r="N40" i="4" s="1"/>
  <c r="M41" i="4" a="1"/>
  <c r="M41" i="4"/>
  <c r="N41" i="4" s="1"/>
  <c r="M42" i="4" a="1"/>
  <c r="M42" i="4" s="1"/>
  <c r="N42" i="4" s="1"/>
  <c r="M43" i="4" a="1"/>
  <c r="M43" i="4" s="1"/>
  <c r="N43" i="4" s="1"/>
  <c r="M44" i="4" a="1"/>
  <c r="M44" i="4" s="1"/>
  <c r="N44" i="4" s="1"/>
  <c r="M45" i="4" a="1"/>
  <c r="M45" i="4" s="1"/>
  <c r="N45" i="4" s="1"/>
  <c r="M46" i="4" a="1"/>
  <c r="M46" i="4" s="1"/>
  <c r="N46" i="4" s="1"/>
  <c r="M47" i="4" a="1"/>
  <c r="M47" i="4" s="1"/>
  <c r="N47" i="4" s="1"/>
  <c r="M48" i="4" a="1"/>
  <c r="M48" i="4" s="1"/>
  <c r="N48" i="4" s="1"/>
  <c r="M49" i="4" a="1"/>
  <c r="M49" i="4" s="1"/>
  <c r="N49" i="4" s="1"/>
  <c r="M50" i="4" a="1"/>
  <c r="M50" i="4" s="1"/>
  <c r="N50" i="4" s="1"/>
  <c r="M51" i="4" a="1"/>
  <c r="M51" i="4" s="1"/>
  <c r="N51" i="4" s="1"/>
  <c r="M52" i="4" a="1"/>
  <c r="M52" i="4" s="1"/>
  <c r="N52" i="4" s="1"/>
  <c r="M53" i="4" a="1"/>
  <c r="M53" i="4" s="1"/>
  <c r="N53" i="4" s="1"/>
  <c r="M54" i="4" a="1"/>
  <c r="M54" i="4" s="1"/>
  <c r="N54" i="4" s="1"/>
  <c r="M55" i="4" a="1"/>
  <c r="M55" i="4" s="1"/>
  <c r="N55" i="4" s="1"/>
  <c r="M56" i="4" a="1"/>
  <c r="M56" i="4" s="1"/>
  <c r="N56" i="4" s="1"/>
  <c r="M57" i="4" a="1"/>
  <c r="M57" i="4" s="1"/>
  <c r="M58" i="4" a="1"/>
  <c r="M58" i="4" s="1"/>
  <c r="M59" i="4" a="1"/>
  <c r="M59" i="4" s="1"/>
  <c r="M60" i="4" a="1"/>
  <c r="M60" i="4" s="1"/>
  <c r="N60" i="4" s="1"/>
  <c r="M61" i="4" a="1"/>
  <c r="M61" i="4" s="1"/>
  <c r="N61" i="4" s="1"/>
  <c r="M62" i="4" a="1"/>
  <c r="M62" i="4" s="1"/>
  <c r="N62" i="4" s="1"/>
  <c r="M63" i="4" a="1"/>
  <c r="M63" i="4" s="1"/>
  <c r="N63" i="4" s="1"/>
  <c r="M64" i="4" a="1"/>
  <c r="M64" i="4" s="1"/>
  <c r="N64" i="4" s="1"/>
  <c r="M65" i="4" a="1"/>
  <c r="M65" i="4" s="1"/>
  <c r="N65" i="4" s="1"/>
  <c r="M66" i="4" a="1"/>
  <c r="M66" i="4" s="1"/>
  <c r="N66" i="4" s="1"/>
  <c r="M67" i="4" a="1"/>
  <c r="M67" i="4" s="1"/>
  <c r="N67" i="4" s="1"/>
  <c r="M68" i="4" a="1"/>
  <c r="M68" i="4" s="1"/>
  <c r="N68" i="4" s="1"/>
  <c r="M15" i="4" a="1"/>
  <c r="M15" i="4" s="1"/>
  <c r="N15" i="4" s="1"/>
  <c r="M16" i="4" a="1"/>
  <c r="M16" i="4" s="1"/>
  <c r="N16" i="4" s="1"/>
  <c r="M17" i="4" a="1"/>
  <c r="M17" i="4" s="1"/>
  <c r="N17" i="4" s="1"/>
  <c r="M18" i="4" a="1"/>
  <c r="M18" i="4" s="1"/>
  <c r="N18" i="4" s="1"/>
  <c r="M19" i="4" a="1"/>
  <c r="M19" i="4" s="1"/>
  <c r="N19" i="4" s="1"/>
  <c r="M20" i="4" a="1"/>
  <c r="M20" i="4" s="1"/>
  <c r="N20" i="4" s="1"/>
  <c r="M21" i="4" a="1"/>
  <c r="M21" i="4" s="1"/>
  <c r="N21" i="4" s="1"/>
  <c r="M22" i="4" a="1"/>
  <c r="M22" i="4" s="1"/>
  <c r="N22" i="4" s="1"/>
  <c r="M23" i="4" a="1"/>
  <c r="M23" i="4" s="1"/>
  <c r="N23" i="4" s="1"/>
  <c r="M14" i="4" a="1"/>
  <c r="M14" i="4" s="1"/>
  <c r="N14" i="4" s="1"/>
  <c r="L68" i="4"/>
  <c r="L67" i="4"/>
  <c r="L66" i="4"/>
  <c r="L64" i="4"/>
  <c r="L65" i="4"/>
  <c r="L63" i="4"/>
  <c r="L60" i="4"/>
  <c r="L61" i="4"/>
  <c r="L62" i="4"/>
  <c r="L59" i="4"/>
  <c r="L55" i="4"/>
  <c r="L56" i="4"/>
  <c r="L57" i="4"/>
  <c r="L58" i="4"/>
  <c r="L54" i="4"/>
  <c r="L49" i="4"/>
  <c r="L50" i="4"/>
  <c r="L51" i="4"/>
  <c r="L52" i="4"/>
  <c r="L53" i="4"/>
  <c r="L48" i="4"/>
  <c r="L42" i="4"/>
  <c r="L43" i="4"/>
  <c r="L44" i="4"/>
  <c r="L45" i="4"/>
  <c r="L46" i="4"/>
  <c r="L47" i="4"/>
  <c r="L41" i="4"/>
  <c r="L34" i="4"/>
  <c r="L35" i="4"/>
  <c r="L36" i="4"/>
  <c r="L37" i="4"/>
  <c r="L38" i="4"/>
  <c r="L39" i="4"/>
  <c r="L40" i="4"/>
  <c r="L33" i="4"/>
  <c r="L32" i="4"/>
  <c r="L25" i="4"/>
  <c r="L26" i="4"/>
  <c r="L27" i="4"/>
  <c r="L28" i="4"/>
  <c r="L29" i="4"/>
  <c r="L30" i="4"/>
  <c r="L31" i="4"/>
  <c r="L24" i="4"/>
  <c r="F57" i="3"/>
  <c r="F55" i="3"/>
  <c r="L15" i="4"/>
  <c r="L16" i="4"/>
  <c r="L17" i="4"/>
  <c r="L18" i="4"/>
  <c r="L19" i="4"/>
  <c r="L20" i="4"/>
  <c r="L21" i="4"/>
  <c r="L22" i="4"/>
  <c r="L23" i="4"/>
  <c r="L14" i="4"/>
  <c r="E57" i="3"/>
  <c r="E55" i="3"/>
  <c r="N3" i="4"/>
  <c r="N4" i="4"/>
  <c r="N5" i="4"/>
  <c r="N6" i="4"/>
  <c r="N7" i="4"/>
  <c r="N8" i="4"/>
  <c r="N9" i="4"/>
  <c r="N10" i="4"/>
  <c r="N11" i="4"/>
  <c r="N12" i="4"/>
  <c r="N2" i="4"/>
  <c r="M3" i="4"/>
  <c r="M4" i="4"/>
  <c r="M5" i="4"/>
  <c r="M6" i="4"/>
  <c r="M7" i="4"/>
  <c r="M8" i="4"/>
  <c r="M9" i="4"/>
  <c r="M10" i="4"/>
  <c r="M11" i="4"/>
  <c r="M12" i="4"/>
  <c r="M2" i="4"/>
  <c r="I12" i="1"/>
  <c r="D57" i="3"/>
  <c r="D55" i="3"/>
  <c r="D53" i="3"/>
  <c r="C57" i="3"/>
  <c r="F53" i="3"/>
  <c r="C55" i="3"/>
  <c r="E53" i="3"/>
  <c r="C53" i="3"/>
  <c r="A48" i="3"/>
  <c r="B42" i="3"/>
  <c r="C42" i="3"/>
  <c r="A42" i="3"/>
  <c r="B36" i="3"/>
  <c r="C36" i="3"/>
  <c r="E36" i="3"/>
  <c r="F36" i="3"/>
  <c r="A36" i="3"/>
  <c r="B29" i="3"/>
  <c r="C29" i="3"/>
  <c r="C30" i="3" s="1"/>
  <c r="D29" i="3"/>
  <c r="A29" i="3"/>
  <c r="A30" i="3" s="1"/>
  <c r="D30" i="3"/>
  <c r="B30" i="3"/>
  <c r="H12" i="1" a="1"/>
  <c r="H12" i="1" s="1"/>
  <c r="H11" i="1" a="1"/>
  <c r="H11" i="1" s="1"/>
  <c r="I11" i="1" s="1"/>
  <c r="D37" i="4"/>
  <c r="D36" i="4"/>
  <c r="D34" i="4"/>
  <c r="D32" i="4"/>
  <c r="D30" i="4"/>
  <c r="D31" i="4"/>
  <c r="C43" i="4" l="1"/>
  <c r="D43" i="4"/>
  <c r="C36" i="4"/>
  <c r="C34" i="4"/>
  <c r="C37" i="4" s="1"/>
  <c r="C31" i="4"/>
  <c r="E43" i="4" s="1"/>
  <c r="H2" i="1"/>
  <c r="I2" i="1" s="1"/>
  <c r="H3" i="1"/>
  <c r="I3" i="1" s="1"/>
  <c r="H6" i="1"/>
  <c r="I6" i="1" s="1"/>
  <c r="H4" i="1"/>
  <c r="I4" i="1" s="1"/>
  <c r="H8" i="1"/>
  <c r="I8" i="1" s="1"/>
  <c r="H7" i="1"/>
  <c r="I7" i="1" s="1"/>
  <c r="H9" i="1"/>
  <c r="I9" i="1" s="1"/>
  <c r="H5" i="1"/>
  <c r="I5" i="1" s="1"/>
  <c r="K15" i="1"/>
  <c r="K19" i="1"/>
  <c r="K20" i="1"/>
  <c r="K17" i="1"/>
  <c r="K11" i="1"/>
  <c r="K14" i="1"/>
  <c r="I17" i="1" l="1"/>
  <c r="I20" i="1" s="1"/>
  <c r="I14" i="1"/>
  <c r="I15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FC76FE8-5F86-4C46-A7E2-BD232E6BE155}" keepAlive="1" name="คิวรี - EX HW L13" description="การเชื่อมต่อกับแบบสอบถาม 'EX HW L13' ในสมุดงาน" type="5" refreshedVersion="0" background="1" saveData="1">
    <dbPr connection="Provider=Microsoft.Mashup.OleDb.1;Data Source=$Workbook$;Location=&quot;EX HW L13&quot;;Extended Properties=&quot;&quot;" command="SELECT * FROM [EX HW L13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<sst xmlns="http://schemas.openxmlformats.org/spreadsheetml/2006/main" count="223" uniqueCount="74">
  <si>
    <t>lipstick</t>
  </si>
  <si>
    <t>mascara</t>
  </si>
  <si>
    <t>eye liner</t>
  </si>
  <si>
    <t>eye shadow</t>
  </si>
  <si>
    <t>primer</t>
  </si>
  <si>
    <t>concealer</t>
  </si>
  <si>
    <t>lip gloss</t>
  </si>
  <si>
    <t>face brush</t>
  </si>
  <si>
    <t>Steps</t>
  </si>
  <si>
    <t>1. List of items</t>
  </si>
  <si>
    <t>2. Countif() and sort all.</t>
  </si>
  <si>
    <t>3. Select the first two items with the most frequency (highest support)</t>
  </si>
  <si>
    <t>4. Calculate the Confidence</t>
  </si>
  <si>
    <t>5. Calculate Lift</t>
  </si>
  <si>
    <t>Conf(mascara -&gt; eye liner)</t>
  </si>
  <si>
    <t>Support</t>
  </si>
  <si>
    <t>Lift</t>
  </si>
  <si>
    <t>Transaction</t>
  </si>
  <si>
    <t>Items</t>
  </si>
  <si>
    <t>Frequent</t>
  </si>
  <si>
    <t xml:space="preserve"> </t>
  </si>
  <si>
    <t>Conf(eye liner -&gt; mascara)</t>
  </si>
  <si>
    <t>Assume Support &gt;= 2/6</t>
  </si>
  <si>
    <t>mascara and eye liner</t>
  </si>
  <si>
    <t>eye liner and primer</t>
  </si>
  <si>
    <t>sample for more support calc.</t>
  </si>
  <si>
    <t>Conviction(mascara,eye liner)</t>
  </si>
  <si>
    <t>Conviction(eye liner, mascara)</t>
  </si>
  <si>
    <t>k=1</t>
  </si>
  <si>
    <t>Frequrncy</t>
  </si>
  <si>
    <t>3 Item</t>
  </si>
  <si>
    <t>2 Item</t>
  </si>
  <si>
    <t>6 คือ Transaction</t>
  </si>
  <si>
    <t>1-&gt;2</t>
  </si>
  <si>
    <t>support(1,2)</t>
  </si>
  <si>
    <t>Confident(1,2)</t>
  </si>
  <si>
    <t>Left(1,2)</t>
  </si>
  <si>
    <t>2-&gt;3</t>
  </si>
  <si>
    <t>support(2,3)</t>
  </si>
  <si>
    <t>Confident(2,3)</t>
  </si>
  <si>
    <t>Left(2,3)</t>
  </si>
  <si>
    <t>1,2-&gt;4</t>
  </si>
  <si>
    <t>support({1,2},{4})</t>
  </si>
  <si>
    <t>Confident({1,2},{4})</t>
  </si>
  <si>
    <t>Left({1,2},{4})</t>
  </si>
  <si>
    <t>P = Support</t>
  </si>
  <si>
    <t>ตัวไหนสูงกว่าแปลว่ามีความสัมพันธ์มากว่า</t>
  </si>
  <si>
    <t>มีกี่ item ต้องมีCountif เท่านั้น ใน2ตัวมี2 item ที่สนใจ</t>
  </si>
  <si>
    <t>a</t>
  </si>
  <si>
    <t>i</t>
  </si>
  <si>
    <t>j</t>
  </si>
  <si>
    <t>k</t>
  </si>
  <si>
    <t>c</t>
  </si>
  <si>
    <t>g</t>
  </si>
  <si>
    <t>b</t>
  </si>
  <si>
    <t>e</t>
  </si>
  <si>
    <t>d</t>
  </si>
  <si>
    <t>f</t>
  </si>
  <si>
    <t>h</t>
  </si>
  <si>
    <t>1 Item</t>
  </si>
  <si>
    <t>Conf(b -&gt; c)</t>
  </si>
  <si>
    <t>Conviction(b,c)</t>
  </si>
  <si>
    <t>Conf(c -&gt; b)</t>
  </si>
  <si>
    <t>Conviction(c,b)</t>
  </si>
  <si>
    <t>Lift(b -&gt; c)</t>
  </si>
  <si>
    <t>a.Generate association rules with a minimum support of 10 transactions and minimum confidence of 75%. Sort the rules by lift ratio. What is the lift ratio for the top rule?</t>
  </si>
  <si>
    <t>b-&gt;c</t>
  </si>
  <si>
    <t>support(b,c)</t>
  </si>
  <si>
    <t>Confident(b,c)</t>
  </si>
  <si>
    <t>Left(b,c)</t>
  </si>
  <si>
    <t>Frequency</t>
  </si>
  <si>
    <t>Answer</t>
  </si>
  <si>
    <t>b. Interpret the support measures of the top rule.</t>
  </si>
  <si>
    <t>จากรายการซื้อทั้งหมด 25 Transaction พบว่ามีลูกค้าที่ซื้อสินค้า b และ c พร้อมกัน 11 รายการ หรือ Support = 0.44 ของธุรกรรมทั้งหมด
ดังนั้น สินค้าสองตัวนี้มีแนวโน้มที่ลูกค้าจะเลือกซื้อคู่กันค่อนข้างบ่อยเมื่อเทียบกับรายการซื้อสินค้าทั้งหมดที่มีอยู่ในข้อมูลชุดนี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</si>
</sst>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.0"/>
  </numFmts>
  <fonts count="8" x14ac:knownFonts="1">
    <font>
      <sz val="12"/>
      <color theme="1"/>
      <name val="Tahoma"/>
      <family val="2"/>
      <scheme val="minor"/>
    </font>
    <font>
      <sz val="12"/>
      <color rgb="FF00B0F0"/>
      <name val="Tahoma"/>
      <family val="2"/>
      <scheme val="minor"/>
    </font>
    <font>
      <sz val="12"/>
      <color rgb="FFFF0000"/>
      <name val="Tahoma"/>
      <family val="2"/>
      <scheme val="minor"/>
    </font>
    <font>
      <sz val="12"/>
      <color theme="0"/>
      <name val="Tahoma"/>
      <family val="2"/>
      <scheme val="minor"/>
    </font>
    <font>
      <b/>
      <sz val="12"/>
      <color theme="1"/>
      <name val="Tahoma"/>
      <family val="2"/>
      <scheme val="minor"/>
    </font>
    <font>
      <sz val="11"/>
      <color theme="1"/>
      <name val="Tahoma"/>
      <family val="2"/>
      <scheme val="minor"/>
    </font>
    <font>
      <sz val="10"/>
      <color rgb="FF000000"/>
      <name val="Helvetica Neue"/>
      <family val="2"/>
    </font>
    <font>
      <sz val="12"/>
      <color theme="1"/>
      <name val="Cordia New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0" xfId="0" applyFont="1"/>
    <xf numFmtId="0" fontId="0" fillId="3" borderId="0" xfId="0" applyFill="1"/>
    <xf numFmtId="0" fontId="1" fillId="3" borderId="0" xfId="0" applyFont="1" applyFill="1"/>
    <xf numFmtId="0" fontId="2" fillId="4" borderId="0" xfId="0" applyFont="1" applyFill="1"/>
    <xf numFmtId="0" fontId="3" fillId="5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187" fontId="6" fillId="0" borderId="0" xfId="0" applyNumberFormat="1" applyFont="1"/>
    <xf numFmtId="0" fontId="7" fillId="0" borderId="0" xfId="0" applyFont="1" applyAlignment="1">
      <alignment vertical="center"/>
    </xf>
    <xf numFmtId="0" fontId="4" fillId="6" borderId="0" xfId="0" applyFont="1" applyFill="1"/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left" vertical="top" wrapText="1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9</xdr:col>
      <xdr:colOff>723900</xdr:colOff>
      <xdr:row>17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EBF246-0AC6-366E-1BF5-0EF7E0A81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3200"/>
          <a:ext cx="8153400" cy="3276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10</xdr:col>
      <xdr:colOff>54540</xdr:colOff>
      <xdr:row>34</xdr:row>
      <xdr:rowOff>116871</xdr:rowOff>
    </xdr:from>
    <xdr:to>
      <xdr:col>11</xdr:col>
      <xdr:colOff>724601</xdr:colOff>
      <xdr:row>35</xdr:row>
      <xdr:rowOff>93497</xdr:rowOff>
    </xdr:to>
    <xdr:cxnSp macro="">
      <xdr:nvCxnSpPr>
        <xdr:cNvPr id="4" name="ลูกศรเชื่อมต่อแบบตรง 3">
          <a:extLst>
            <a:ext uri="{FF2B5EF4-FFF2-40B4-BE49-F238E27FC236}">
              <a16:creationId xmlns:a16="http://schemas.microsoft.com/office/drawing/2014/main" id="{92C62216-A117-595E-9B59-5389B9DA8719}"/>
            </a:ext>
          </a:extLst>
        </xdr:cNvPr>
        <xdr:cNvCxnSpPr/>
      </xdr:nvCxnSpPr>
      <xdr:spPr>
        <a:xfrm>
          <a:off x="6708405" y="4417730"/>
          <a:ext cx="1620613" cy="163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54540</xdr:colOff>
      <xdr:row>34</xdr:row>
      <xdr:rowOff>116871</xdr:rowOff>
    </xdr:from>
    <xdr:to>
      <xdr:col>11</xdr:col>
      <xdr:colOff>724601</xdr:colOff>
      <xdr:row>36</xdr:row>
      <xdr:rowOff>101288</xdr:rowOff>
    </xdr:to>
    <xdr:cxnSp macro="">
      <xdr:nvCxnSpPr>
        <xdr:cNvPr id="5" name="ลูกศรเชื่อมต่อแบบตรง 4">
          <a:extLst>
            <a:ext uri="{FF2B5EF4-FFF2-40B4-BE49-F238E27FC236}">
              <a16:creationId xmlns:a16="http://schemas.microsoft.com/office/drawing/2014/main" id="{53BBCA76-074C-5A4F-BBFB-3B08271A8A6D}"/>
            </a:ext>
          </a:extLst>
        </xdr:cNvPr>
        <xdr:cNvCxnSpPr/>
      </xdr:nvCxnSpPr>
      <xdr:spPr>
        <a:xfrm>
          <a:off x="6708405" y="4417730"/>
          <a:ext cx="1620613" cy="35840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62331</xdr:colOff>
      <xdr:row>34</xdr:row>
      <xdr:rowOff>116871</xdr:rowOff>
    </xdr:from>
    <xdr:to>
      <xdr:col>11</xdr:col>
      <xdr:colOff>740184</xdr:colOff>
      <xdr:row>37</xdr:row>
      <xdr:rowOff>109080</xdr:rowOff>
    </xdr:to>
    <xdr:cxnSp macro="">
      <xdr:nvCxnSpPr>
        <xdr:cNvPr id="8" name="ลูกศรเชื่อมต่อแบบตรง 7">
          <a:extLst>
            <a:ext uri="{FF2B5EF4-FFF2-40B4-BE49-F238E27FC236}">
              <a16:creationId xmlns:a16="http://schemas.microsoft.com/office/drawing/2014/main" id="{518A5E24-6373-044B-89FA-FBAB48BEE26D}"/>
            </a:ext>
          </a:extLst>
        </xdr:cNvPr>
        <xdr:cNvCxnSpPr/>
      </xdr:nvCxnSpPr>
      <xdr:spPr>
        <a:xfrm>
          <a:off x="6716196" y="4417730"/>
          <a:ext cx="1628405" cy="55319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70123</xdr:colOff>
      <xdr:row>35</xdr:row>
      <xdr:rowOff>101288</xdr:rowOff>
    </xdr:from>
    <xdr:to>
      <xdr:col>11</xdr:col>
      <xdr:colOff>732393</xdr:colOff>
      <xdr:row>36</xdr:row>
      <xdr:rowOff>85705</xdr:rowOff>
    </xdr:to>
    <xdr:cxnSp macro="">
      <xdr:nvCxnSpPr>
        <xdr:cNvPr id="11" name="ลูกศรเชื่อมต่อแบบตรง 10">
          <a:extLst>
            <a:ext uri="{FF2B5EF4-FFF2-40B4-BE49-F238E27FC236}">
              <a16:creationId xmlns:a16="http://schemas.microsoft.com/office/drawing/2014/main" id="{D36E2CA6-30CE-174B-A0BF-C884F96B202C}"/>
            </a:ext>
          </a:extLst>
        </xdr:cNvPr>
        <xdr:cNvCxnSpPr/>
      </xdr:nvCxnSpPr>
      <xdr:spPr>
        <a:xfrm>
          <a:off x="6723988" y="4589141"/>
          <a:ext cx="1612822" cy="17141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62331</xdr:colOff>
      <xdr:row>35</xdr:row>
      <xdr:rowOff>93497</xdr:rowOff>
    </xdr:from>
    <xdr:to>
      <xdr:col>11</xdr:col>
      <xdr:colOff>740184</xdr:colOff>
      <xdr:row>37</xdr:row>
      <xdr:rowOff>101289</xdr:rowOff>
    </xdr:to>
    <xdr:cxnSp macro="">
      <xdr:nvCxnSpPr>
        <xdr:cNvPr id="14" name="ลูกศรเชื่อมต่อแบบตรง 13">
          <a:extLst>
            <a:ext uri="{FF2B5EF4-FFF2-40B4-BE49-F238E27FC236}">
              <a16:creationId xmlns:a16="http://schemas.microsoft.com/office/drawing/2014/main" id="{78782650-0418-284C-B828-81E9F6BDDD01}"/>
            </a:ext>
          </a:extLst>
        </xdr:cNvPr>
        <xdr:cNvCxnSpPr/>
      </xdr:nvCxnSpPr>
      <xdr:spPr>
        <a:xfrm>
          <a:off x="6716196" y="4581350"/>
          <a:ext cx="1628405" cy="38177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62331</xdr:colOff>
      <xdr:row>36</xdr:row>
      <xdr:rowOff>85705</xdr:rowOff>
    </xdr:from>
    <xdr:to>
      <xdr:col>11</xdr:col>
      <xdr:colOff>740184</xdr:colOff>
      <xdr:row>37</xdr:row>
      <xdr:rowOff>93497</xdr:rowOff>
    </xdr:to>
    <xdr:cxnSp macro="">
      <xdr:nvCxnSpPr>
        <xdr:cNvPr id="17" name="ลูกศรเชื่อมต่อแบบตรง 16">
          <a:extLst>
            <a:ext uri="{FF2B5EF4-FFF2-40B4-BE49-F238E27FC236}">
              <a16:creationId xmlns:a16="http://schemas.microsoft.com/office/drawing/2014/main" id="{7969706D-9D37-0240-98B9-8BD8C57E8495}"/>
            </a:ext>
          </a:extLst>
        </xdr:cNvPr>
        <xdr:cNvCxnSpPr/>
      </xdr:nvCxnSpPr>
      <xdr:spPr>
        <a:xfrm>
          <a:off x="6716196" y="4760552"/>
          <a:ext cx="1628405" cy="19478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360283</xdr:colOff>
      <xdr:row>17</xdr:row>
      <xdr:rowOff>108087</xdr:rowOff>
    </xdr:from>
    <xdr:to>
      <xdr:col>5</xdr:col>
      <xdr:colOff>755335</xdr:colOff>
      <xdr:row>20</xdr:row>
      <xdr:rowOff>161054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184D3F-17FF-B74B-864B-00E9D161A2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17588" y="3629860"/>
          <a:ext cx="2881009" cy="67445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88348</xdr:colOff>
      <xdr:row>34</xdr:row>
      <xdr:rowOff>110435</xdr:rowOff>
    </xdr:from>
    <xdr:to>
      <xdr:col>8</xdr:col>
      <xdr:colOff>491683</xdr:colOff>
      <xdr:row>38</xdr:row>
      <xdr:rowOff>2087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815C20-5D7E-814F-A409-7895C5FB0A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57913" y="6493565"/>
          <a:ext cx="3252552" cy="64260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8E016-30C6-6C4D-A7BF-5DFA0F813702}">
  <dimension ref="A19:N57"/>
  <sheetViews>
    <sheetView tabSelected="1" topLeftCell="D11" zoomScale="136" workbookViewId="0">
      <selection activeCell="L43" sqref="L43"/>
    </sheetView>
  </sheetViews>
  <sheetFormatPr baseColWidth="10" defaultRowHeight="15" x14ac:dyDescent="0.15"/>
  <sheetData>
    <row r="19" spans="1:14" x14ac:dyDescent="0.15">
      <c r="A19" t="s">
        <v>22</v>
      </c>
    </row>
    <row r="20" spans="1:14" x14ac:dyDescent="0.15">
      <c r="A20" t="s">
        <v>32</v>
      </c>
    </row>
    <row r="21" spans="1:14" x14ac:dyDescent="0.15">
      <c r="A21" t="s">
        <v>28</v>
      </c>
    </row>
    <row r="22" spans="1:14" x14ac:dyDescent="0.15">
      <c r="A22" s="11">
        <v>1</v>
      </c>
      <c r="B22" s="11">
        <v>2</v>
      </c>
      <c r="C22" s="11">
        <v>3</v>
      </c>
      <c r="D22" s="11">
        <v>4</v>
      </c>
    </row>
    <row r="23" spans="1:14" x14ac:dyDescent="0.15">
      <c r="A23">
        <v>1</v>
      </c>
      <c r="B23">
        <v>2</v>
      </c>
      <c r="C23">
        <v>3</v>
      </c>
      <c r="D23">
        <v>4</v>
      </c>
    </row>
    <row r="24" spans="1:14" x14ac:dyDescent="0.15">
      <c r="B24">
        <v>2</v>
      </c>
      <c r="C24">
        <v>3</v>
      </c>
      <c r="D24">
        <v>4</v>
      </c>
    </row>
    <row r="25" spans="1:14" x14ac:dyDescent="0.15">
      <c r="B25">
        <v>2</v>
      </c>
      <c r="C25">
        <v>3</v>
      </c>
    </row>
    <row r="26" spans="1:14" x14ac:dyDescent="0.15">
      <c r="A26">
        <v>1</v>
      </c>
      <c r="B26">
        <v>2</v>
      </c>
      <c r="D26">
        <v>4</v>
      </c>
    </row>
    <row r="27" spans="1:14" x14ac:dyDescent="0.15">
      <c r="A27">
        <v>1</v>
      </c>
      <c r="B27">
        <v>2</v>
      </c>
      <c r="C27">
        <v>3</v>
      </c>
      <c r="D27">
        <v>4</v>
      </c>
    </row>
    <row r="28" spans="1:14" x14ac:dyDescent="0.15">
      <c r="B28">
        <v>2</v>
      </c>
      <c r="D28">
        <v>4</v>
      </c>
    </row>
    <row r="29" spans="1:14" x14ac:dyDescent="0.15">
      <c r="A29">
        <f>COUNT(A23:A28)</f>
        <v>3</v>
      </c>
      <c r="B29">
        <f t="shared" ref="B29:D29" si="0">COUNT(B23:B28)</f>
        <v>6</v>
      </c>
      <c r="C29">
        <f t="shared" si="0"/>
        <v>4</v>
      </c>
      <c r="D29">
        <f t="shared" si="0"/>
        <v>5</v>
      </c>
      <c r="E29" t="s">
        <v>29</v>
      </c>
      <c r="G29" s="18"/>
      <c r="H29" s="18"/>
      <c r="I29" s="18"/>
      <c r="J29" s="18"/>
    </row>
    <row r="30" spans="1:14" x14ac:dyDescent="0.15">
      <c r="A30">
        <f>A29/6</f>
        <v>0.5</v>
      </c>
      <c r="B30">
        <f t="shared" ref="B30:D30" si="1">B29/6</f>
        <v>1</v>
      </c>
      <c r="C30">
        <f t="shared" si="1"/>
        <v>0.66666666666666663</v>
      </c>
      <c r="D30">
        <f t="shared" si="1"/>
        <v>0.83333333333333337</v>
      </c>
      <c r="E30" t="s">
        <v>15</v>
      </c>
    </row>
    <row r="32" spans="1:14" x14ac:dyDescent="0.15">
      <c r="I32">
        <v>12</v>
      </c>
      <c r="J32">
        <v>13</v>
      </c>
      <c r="K32">
        <v>14</v>
      </c>
      <c r="L32">
        <v>23</v>
      </c>
      <c r="M32">
        <v>24</v>
      </c>
      <c r="N32">
        <v>34</v>
      </c>
    </row>
    <row r="33" spans="1:12" x14ac:dyDescent="0.15">
      <c r="A33" t="s">
        <v>31</v>
      </c>
    </row>
    <row r="34" spans="1:12" x14ac:dyDescent="0.15">
      <c r="A34" s="11">
        <v>12</v>
      </c>
      <c r="B34" s="11">
        <v>13</v>
      </c>
      <c r="C34" s="11">
        <v>14</v>
      </c>
      <c r="D34" s="11">
        <v>23</v>
      </c>
      <c r="E34" s="11">
        <v>24</v>
      </c>
      <c r="F34" s="11">
        <v>34</v>
      </c>
    </row>
    <row r="35" spans="1:12" x14ac:dyDescent="0.15">
      <c r="A35">
        <v>3</v>
      </c>
      <c r="B35">
        <v>2</v>
      </c>
      <c r="C35">
        <v>3</v>
      </c>
      <c r="D35">
        <v>4</v>
      </c>
      <c r="E35">
        <v>5</v>
      </c>
      <c r="F35">
        <v>3</v>
      </c>
      <c r="J35">
        <v>1</v>
      </c>
      <c r="L35">
        <v>1</v>
      </c>
    </row>
    <row r="36" spans="1:12" x14ac:dyDescent="0.15">
      <c r="A36">
        <f>A35/6</f>
        <v>0.5</v>
      </c>
      <c r="B36">
        <f t="shared" ref="B36:F36" si="2">B35/6</f>
        <v>0.33333333333333331</v>
      </c>
      <c r="C36">
        <f t="shared" si="2"/>
        <v>0.5</v>
      </c>
      <c r="D36">
        <f>D35/6</f>
        <v>0.66666666666666663</v>
      </c>
      <c r="E36">
        <f t="shared" si="2"/>
        <v>0.83333333333333337</v>
      </c>
      <c r="F36">
        <f t="shared" si="2"/>
        <v>0.5</v>
      </c>
      <c r="G36" t="s">
        <v>15</v>
      </c>
      <c r="J36">
        <v>2</v>
      </c>
      <c r="L36">
        <v>2</v>
      </c>
    </row>
    <row r="37" spans="1:12" x14ac:dyDescent="0.15">
      <c r="J37">
        <v>3</v>
      </c>
      <c r="L37">
        <v>3</v>
      </c>
    </row>
    <row r="38" spans="1:12" x14ac:dyDescent="0.15">
      <c r="J38">
        <v>4</v>
      </c>
      <c r="L38">
        <v>4</v>
      </c>
    </row>
    <row r="39" spans="1:12" x14ac:dyDescent="0.15">
      <c r="A39" t="s">
        <v>30</v>
      </c>
    </row>
    <row r="40" spans="1:12" x14ac:dyDescent="0.15">
      <c r="A40" s="11">
        <v>123</v>
      </c>
      <c r="B40" s="11">
        <v>124</v>
      </c>
      <c r="C40" s="11">
        <v>234</v>
      </c>
    </row>
    <row r="41" spans="1:12" x14ac:dyDescent="0.15">
      <c r="A41">
        <v>2</v>
      </c>
      <c r="B41">
        <v>3</v>
      </c>
      <c r="C41">
        <v>3</v>
      </c>
    </row>
    <row r="42" spans="1:12" x14ac:dyDescent="0.15">
      <c r="A42">
        <f>A41/6</f>
        <v>0.33333333333333331</v>
      </c>
      <c r="B42">
        <f t="shared" ref="B42:C42" si="3">B41/6</f>
        <v>0.5</v>
      </c>
      <c r="C42">
        <f t="shared" si="3"/>
        <v>0.5</v>
      </c>
      <c r="D42" t="s">
        <v>15</v>
      </c>
    </row>
    <row r="46" spans="1:12" x14ac:dyDescent="0.15">
      <c r="A46" s="11">
        <v>1234</v>
      </c>
    </row>
    <row r="47" spans="1:12" x14ac:dyDescent="0.15">
      <c r="A47">
        <v>2</v>
      </c>
    </row>
    <row r="48" spans="1:12" x14ac:dyDescent="0.15">
      <c r="A48">
        <f>A47/6</f>
        <v>0.33333333333333331</v>
      </c>
      <c r="B48" t="s">
        <v>15</v>
      </c>
    </row>
    <row r="52" spans="2:6" x14ac:dyDescent="0.15">
      <c r="B52" t="s">
        <v>33</v>
      </c>
      <c r="C52" s="13" t="s">
        <v>34</v>
      </c>
      <c r="D52" s="13" t="s">
        <v>35</v>
      </c>
      <c r="E52" s="13" t="s">
        <v>36</v>
      </c>
    </row>
    <row r="53" spans="2:6" x14ac:dyDescent="0.15">
      <c r="C53">
        <f>A36</f>
        <v>0.5</v>
      </c>
      <c r="D53">
        <f>A36/A30</f>
        <v>1</v>
      </c>
      <c r="E53">
        <f>A36/(A30*B30)</f>
        <v>1</v>
      </c>
      <c r="F53">
        <f>D53/B30</f>
        <v>1</v>
      </c>
    </row>
    <row r="54" spans="2:6" x14ac:dyDescent="0.15">
      <c r="B54" t="s">
        <v>37</v>
      </c>
      <c r="C54" s="13" t="s">
        <v>38</v>
      </c>
      <c r="D54" s="13" t="s">
        <v>39</v>
      </c>
      <c r="E54" s="13" t="s">
        <v>40</v>
      </c>
    </row>
    <row r="55" spans="2:6" x14ac:dyDescent="0.15">
      <c r="C55">
        <f>D36</f>
        <v>0.66666666666666663</v>
      </c>
      <c r="D55">
        <f>D36/B30</f>
        <v>0.66666666666666663</v>
      </c>
      <c r="E55">
        <f>D36/(B30*C30)</f>
        <v>1</v>
      </c>
      <c r="F55">
        <f>D55/C30</f>
        <v>1</v>
      </c>
    </row>
    <row r="56" spans="2:6" x14ac:dyDescent="0.15">
      <c r="B56" t="s">
        <v>41</v>
      </c>
      <c r="C56" s="13" t="s">
        <v>42</v>
      </c>
      <c r="D56" s="13" t="s">
        <v>43</v>
      </c>
      <c r="E56" s="13" t="s">
        <v>44</v>
      </c>
    </row>
    <row r="57" spans="2:6" x14ac:dyDescent="0.15">
      <c r="C57">
        <f>B42</f>
        <v>0.5</v>
      </c>
      <c r="D57">
        <f>B42/A36</f>
        <v>1</v>
      </c>
      <c r="E57">
        <f>B42/(A36*D30)</f>
        <v>1.2</v>
      </c>
      <c r="F57">
        <f>D57/D30</f>
        <v>1.2</v>
      </c>
    </row>
  </sheetData>
  <mergeCells count="1">
    <mergeCell ref="G29:J2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EF54E7-E631-1E40-8BC4-3FD5571C7A65}">
  <dimension ref="A1:P20"/>
  <sheetViews>
    <sheetView tabSelected="1" zoomScale="84" workbookViewId="0">
      <selection activeCell="L43" sqref="L43"/>
    </sheetView>
  </sheetViews>
  <sheetFormatPr baseColWidth="10" defaultRowHeight="15" x14ac:dyDescent="0.15"/>
  <cols>
    <col min="7" max="7" width="25.7109375" customWidth="1"/>
    <col min="8" max="8" width="6.28515625" customWidth="1"/>
    <col min="9" max="9" width="9.140625" customWidth="1"/>
    <col min="10" max="10" width="4.85546875" customWidth="1"/>
    <col min="11" max="11" width="13.85546875" customWidth="1"/>
    <col min="12" max="12" width="30" bestFit="1" customWidth="1"/>
  </cols>
  <sheetData>
    <row r="1" spans="1:16" x14ac:dyDescent="0.15">
      <c r="A1" s="4" t="s">
        <v>17</v>
      </c>
      <c r="B1" s="2" t="s">
        <v>18</v>
      </c>
      <c r="C1" s="2"/>
      <c r="D1" s="2"/>
      <c r="E1" s="2"/>
      <c r="H1" s="1" t="s">
        <v>19</v>
      </c>
      <c r="I1" t="s">
        <v>15</v>
      </c>
    </row>
    <row r="2" spans="1:16" x14ac:dyDescent="0.15">
      <c r="A2" s="5">
        <v>1</v>
      </c>
      <c r="B2" t="s">
        <v>0</v>
      </c>
      <c r="C2" t="s">
        <v>1</v>
      </c>
      <c r="D2" t="s">
        <v>2</v>
      </c>
      <c r="G2" t="s">
        <v>1</v>
      </c>
      <c r="H2">
        <f t="shared" ref="H2:H9" si="0">COUNTIF($B$2:$E$11,G2)</f>
        <v>7</v>
      </c>
      <c r="I2">
        <f>H2/MAX(A:A)</f>
        <v>0.7</v>
      </c>
      <c r="K2" t="s">
        <v>8</v>
      </c>
    </row>
    <row r="3" spans="1:16" x14ac:dyDescent="0.15">
      <c r="A3" s="5">
        <v>2</v>
      </c>
      <c r="B3" t="s">
        <v>3</v>
      </c>
      <c r="C3" t="s">
        <v>1</v>
      </c>
      <c r="G3" t="s">
        <v>2</v>
      </c>
      <c r="H3">
        <f t="shared" si="0"/>
        <v>6</v>
      </c>
      <c r="I3">
        <f t="shared" ref="I3:I12" si="1">H3/MAX(A:A)</f>
        <v>0.6</v>
      </c>
      <c r="K3" t="s">
        <v>9</v>
      </c>
    </row>
    <row r="4" spans="1:16" x14ac:dyDescent="0.15">
      <c r="A4" s="5">
        <v>3</v>
      </c>
      <c r="B4" t="s">
        <v>4</v>
      </c>
      <c r="C4" t="s">
        <v>5</v>
      </c>
      <c r="D4" t="s">
        <v>6</v>
      </c>
      <c r="G4" t="s">
        <v>4</v>
      </c>
      <c r="H4">
        <f t="shared" si="0"/>
        <v>4</v>
      </c>
      <c r="I4">
        <f t="shared" si="1"/>
        <v>0.4</v>
      </c>
      <c r="K4" t="s">
        <v>10</v>
      </c>
    </row>
    <row r="5" spans="1:16" x14ac:dyDescent="0.15">
      <c r="A5" s="5">
        <v>4</v>
      </c>
      <c r="B5" t="s">
        <v>7</v>
      </c>
      <c r="C5" t="s">
        <v>5</v>
      </c>
      <c r="D5" t="s">
        <v>4</v>
      </c>
      <c r="G5" t="s">
        <v>0</v>
      </c>
      <c r="H5">
        <f t="shared" si="0"/>
        <v>3</v>
      </c>
      <c r="I5">
        <f t="shared" si="1"/>
        <v>0.3</v>
      </c>
      <c r="K5" t="s">
        <v>11</v>
      </c>
    </row>
    <row r="6" spans="1:16" x14ac:dyDescent="0.15">
      <c r="A6" s="5">
        <v>5</v>
      </c>
      <c r="B6" t="s">
        <v>1</v>
      </c>
      <c r="C6" t="s">
        <v>0</v>
      </c>
      <c r="D6" t="s">
        <v>2</v>
      </c>
      <c r="G6" t="s">
        <v>3</v>
      </c>
      <c r="H6">
        <f t="shared" si="0"/>
        <v>3</v>
      </c>
      <c r="I6">
        <f t="shared" si="1"/>
        <v>0.3</v>
      </c>
      <c r="K6" t="s">
        <v>12</v>
      </c>
    </row>
    <row r="7" spans="1:16" x14ac:dyDescent="0.15">
      <c r="A7" s="5">
        <v>6</v>
      </c>
      <c r="B7" t="s">
        <v>1</v>
      </c>
      <c r="C7" t="s">
        <v>2</v>
      </c>
      <c r="D7" t="s">
        <v>3</v>
      </c>
      <c r="G7" t="s">
        <v>6</v>
      </c>
      <c r="H7">
        <f t="shared" si="0"/>
        <v>3</v>
      </c>
      <c r="I7">
        <f t="shared" si="1"/>
        <v>0.3</v>
      </c>
      <c r="K7" t="s">
        <v>13</v>
      </c>
    </row>
    <row r="8" spans="1:16" x14ac:dyDescent="0.15">
      <c r="A8" s="5">
        <v>7</v>
      </c>
      <c r="B8" t="s">
        <v>6</v>
      </c>
      <c r="C8" t="s">
        <v>2</v>
      </c>
      <c r="D8" t="s">
        <v>1</v>
      </c>
      <c r="G8" t="s">
        <v>5</v>
      </c>
      <c r="H8">
        <f t="shared" si="0"/>
        <v>2</v>
      </c>
      <c r="I8">
        <f t="shared" si="1"/>
        <v>0.2</v>
      </c>
    </row>
    <row r="9" spans="1:16" x14ac:dyDescent="0.15">
      <c r="A9" s="5">
        <v>8</v>
      </c>
      <c r="B9" t="s">
        <v>1</v>
      </c>
      <c r="C9" t="s">
        <v>3</v>
      </c>
      <c r="D9" t="s">
        <v>6</v>
      </c>
      <c r="G9" t="s">
        <v>7</v>
      </c>
      <c r="H9">
        <f t="shared" si="0"/>
        <v>2</v>
      </c>
      <c r="I9">
        <f t="shared" si="1"/>
        <v>0.2</v>
      </c>
    </row>
    <row r="10" spans="1:16" x14ac:dyDescent="0.15">
      <c r="A10" s="5">
        <v>9</v>
      </c>
      <c r="B10" t="s">
        <v>7</v>
      </c>
      <c r="C10" t="s">
        <v>1</v>
      </c>
      <c r="D10" t="s">
        <v>4</v>
      </c>
      <c r="E10" t="s">
        <v>2</v>
      </c>
      <c r="K10" t="s">
        <v>20</v>
      </c>
    </row>
    <row r="11" spans="1:16" x14ac:dyDescent="0.15">
      <c r="A11" s="6">
        <v>10</v>
      </c>
      <c r="B11" s="3" t="s">
        <v>2</v>
      </c>
      <c r="C11" s="3" t="s">
        <v>0</v>
      </c>
      <c r="D11" s="3" t="s">
        <v>4</v>
      </c>
      <c r="E11" s="3"/>
      <c r="G11" t="s">
        <v>23</v>
      </c>
      <c r="H11" cm="1">
        <f t="array" ref="H11">SUM(_xlfn.BYROW(B$2:E$11, _xlfn.LAMBDA(_xlpm.row, IF(COUNTIF(_xlpm.row,G2)&gt;0, IF(COUNTIF(_xlpm.row,G3)&gt;0,1,0),0))))</f>
        <v>5</v>
      </c>
      <c r="I11">
        <f t="shared" si="1"/>
        <v>0.5</v>
      </c>
      <c r="K11" s="7" t="str">
        <f ca="1">_xlfn.FORMULATEXT(H11)</f>
        <v>=SUM(BYROW(B$2:E$11, LAMBDA(row, IF(COUNTIF(row,G2)&gt;0, IF(COUNTIF(row,G3)&gt;0,1,0),0))))</v>
      </c>
      <c r="P11" t="s">
        <v>47</v>
      </c>
    </row>
    <row r="12" spans="1:16" x14ac:dyDescent="0.15">
      <c r="G12" s="10" t="s">
        <v>24</v>
      </c>
      <c r="H12" s="10" cm="1">
        <f t="array" ref="H12">SUM(_xlfn.BYROW(B$2:E$11, _xlfn.LAMBDA(_xlpm.row, IF(COUNTIF(_xlpm.row,G3)&gt;0, IF(COUNTIF(_xlpm.row,G4)&gt;0,1,0),0))))</f>
        <v>2</v>
      </c>
      <c r="I12" s="10">
        <f t="shared" si="1"/>
        <v>0.2</v>
      </c>
      <c r="K12" s="7" t="s">
        <v>25</v>
      </c>
    </row>
    <row r="13" spans="1:16" x14ac:dyDescent="0.15">
      <c r="K13" s="7"/>
    </row>
    <row r="14" spans="1:16" x14ac:dyDescent="0.15">
      <c r="G14" s="8" t="s">
        <v>14</v>
      </c>
      <c r="H14" s="8"/>
      <c r="I14" s="8">
        <f>I11/I2</f>
        <v>0.7142857142857143</v>
      </c>
      <c r="J14" s="8"/>
      <c r="K14" s="9" t="str">
        <f ca="1">_xlfn.FORMULATEXT(I14)</f>
        <v>=I11/I2</v>
      </c>
    </row>
    <row r="15" spans="1:16" x14ac:dyDescent="0.15">
      <c r="G15" s="8" t="s">
        <v>16</v>
      </c>
      <c r="H15" s="8"/>
      <c r="I15" s="8">
        <f>I14/I3</f>
        <v>1.1904761904761905</v>
      </c>
      <c r="J15" s="8"/>
      <c r="K15" s="9" t="str">
        <f ca="1">_xlfn.FORMULATEXT(I15)</f>
        <v>=I14/I3</v>
      </c>
      <c r="L15" t="s">
        <v>20</v>
      </c>
    </row>
    <row r="17" spans="2:12" x14ac:dyDescent="0.15">
      <c r="G17" t="s">
        <v>21</v>
      </c>
      <c r="I17">
        <f>I11/I3</f>
        <v>0.83333333333333337</v>
      </c>
      <c r="K17" t="str">
        <f ca="1">_xlfn.FORMULATEXT(I17)</f>
        <v>=I11/I3</v>
      </c>
    </row>
    <row r="19" spans="2:12" x14ac:dyDescent="0.15">
      <c r="B19" t="s">
        <v>45</v>
      </c>
      <c r="G19" t="s">
        <v>26</v>
      </c>
      <c r="I19">
        <f>(1-I3)/(1-I14)</f>
        <v>1.4000000000000001</v>
      </c>
      <c r="K19" t="str">
        <f ca="1">_xlfn.FORMULATEXT(I19)</f>
        <v>=(1-I3)/(1-I14)</v>
      </c>
      <c r="L19" s="19" t="s">
        <v>46</v>
      </c>
    </row>
    <row r="20" spans="2:12" x14ac:dyDescent="0.15">
      <c r="G20" t="s">
        <v>27</v>
      </c>
      <c r="I20">
        <f>(1-I2)/(1-I17)</f>
        <v>1.8000000000000007</v>
      </c>
      <c r="K20" t="str">
        <f ca="1">_xlfn.FORMULATEXT(I20)</f>
        <v>=(1-I2)/(1-I17)</v>
      </c>
      <c r="L20" s="19"/>
    </row>
  </sheetData>
  <sortState xmlns:xlrd2="http://schemas.microsoft.com/office/spreadsheetml/2017/richdata2" ref="G2:H9">
    <sortCondition descending="1" ref="H2:H9"/>
  </sortState>
  <mergeCells count="1">
    <mergeCell ref="L19:L20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85FE2E-A4B8-3346-8C5B-FD0B6857D93E}">
  <dimension ref="A1:N73"/>
  <sheetViews>
    <sheetView topLeftCell="A12" zoomScale="117" workbookViewId="0">
      <selection activeCell="B53" sqref="B53"/>
    </sheetView>
  </sheetViews>
  <sheetFormatPr baseColWidth="10" defaultRowHeight="15" x14ac:dyDescent="0.15"/>
  <cols>
    <col min="1" max="1" width="9.85546875" bestFit="1" customWidth="1"/>
    <col min="2" max="2" width="12.42578125" bestFit="1" customWidth="1"/>
  </cols>
  <sheetData>
    <row r="1" spans="1:14" x14ac:dyDescent="0.15">
      <c r="A1" s="4" t="s">
        <v>17</v>
      </c>
      <c r="B1" s="2" t="s">
        <v>18</v>
      </c>
      <c r="C1" s="2"/>
      <c r="D1" s="2"/>
      <c r="E1" s="2"/>
      <c r="F1" s="2"/>
      <c r="G1" s="2"/>
      <c r="H1" s="2"/>
      <c r="I1" s="2"/>
      <c r="L1" s="12" t="s">
        <v>59</v>
      </c>
      <c r="M1" s="13" t="s">
        <v>70</v>
      </c>
      <c r="N1" t="s">
        <v>15</v>
      </c>
    </row>
    <row r="2" spans="1:14" x14ac:dyDescent="0.15">
      <c r="A2" s="14">
        <v>1</v>
      </c>
      <c r="B2" s="14" t="s">
        <v>48</v>
      </c>
      <c r="C2" s="14" t="s">
        <v>49</v>
      </c>
      <c r="D2" s="14" t="s">
        <v>50</v>
      </c>
      <c r="E2" s="14" t="s">
        <v>51</v>
      </c>
      <c r="F2" s="14"/>
      <c r="G2" s="14"/>
      <c r="H2" s="14"/>
      <c r="I2" s="14"/>
      <c r="J2" s="14"/>
      <c r="K2" s="14"/>
      <c r="L2" s="14" t="s">
        <v>48</v>
      </c>
      <c r="M2" s="14">
        <f>COUNTIF($B$2:$J$26,L2)</f>
        <v>13</v>
      </c>
      <c r="N2" s="15">
        <f>M2/MAX(A:A)</f>
        <v>0.52</v>
      </c>
    </row>
    <row r="3" spans="1:14" x14ac:dyDescent="0.15">
      <c r="A3" s="14">
        <v>2</v>
      </c>
      <c r="B3" s="14" t="s">
        <v>52</v>
      </c>
      <c r="C3" s="14" t="s">
        <v>53</v>
      </c>
      <c r="D3" s="14" t="s">
        <v>49</v>
      </c>
      <c r="E3" s="14" t="s">
        <v>51</v>
      </c>
      <c r="F3" s="14"/>
      <c r="G3" s="14"/>
      <c r="H3" s="14"/>
      <c r="I3" s="14"/>
      <c r="J3" s="14"/>
      <c r="K3" s="14"/>
      <c r="L3" s="14" t="s">
        <v>54</v>
      </c>
      <c r="M3" s="14">
        <f t="shared" ref="M3:M12" si="0">COUNTIF($B$2:$J$26,L3)</f>
        <v>14</v>
      </c>
      <c r="N3" s="15">
        <f t="shared" ref="N3:N12" si="1">M3/MAX(A:A)</f>
        <v>0.56000000000000005</v>
      </c>
    </row>
    <row r="4" spans="1:14" x14ac:dyDescent="0.15">
      <c r="A4" s="14">
        <v>3</v>
      </c>
      <c r="B4" s="14" t="s">
        <v>48</v>
      </c>
      <c r="C4" s="14" t="s">
        <v>54</v>
      </c>
      <c r="D4" s="14" t="s">
        <v>52</v>
      </c>
      <c r="E4" s="14" t="s">
        <v>55</v>
      </c>
      <c r="F4" s="14" t="s">
        <v>49</v>
      </c>
      <c r="G4" s="14" t="s">
        <v>51</v>
      </c>
      <c r="H4" s="14"/>
      <c r="I4" s="14"/>
      <c r="J4" s="14"/>
      <c r="K4" s="14"/>
      <c r="L4" s="14" t="s">
        <v>52</v>
      </c>
      <c r="M4" s="14">
        <f t="shared" si="0"/>
        <v>16</v>
      </c>
      <c r="N4" s="15">
        <f t="shared" si="1"/>
        <v>0.64</v>
      </c>
    </row>
    <row r="5" spans="1:14" x14ac:dyDescent="0.15">
      <c r="A5" s="14">
        <v>4</v>
      </c>
      <c r="B5" s="14" t="s">
        <v>48</v>
      </c>
      <c r="C5" s="14" t="s">
        <v>54</v>
      </c>
      <c r="D5" s="14" t="s">
        <v>56</v>
      </c>
      <c r="E5" s="14" t="s">
        <v>55</v>
      </c>
      <c r="F5" s="14" t="s">
        <v>57</v>
      </c>
      <c r="G5" s="14" t="s">
        <v>49</v>
      </c>
      <c r="H5" s="14" t="s">
        <v>50</v>
      </c>
      <c r="I5" s="14"/>
      <c r="J5" s="14"/>
      <c r="K5" s="14"/>
      <c r="L5" s="14" t="s">
        <v>56</v>
      </c>
      <c r="M5" s="14">
        <f t="shared" si="0"/>
        <v>7</v>
      </c>
      <c r="N5" s="15">
        <f t="shared" si="1"/>
        <v>0.28000000000000003</v>
      </c>
    </row>
    <row r="6" spans="1:14" x14ac:dyDescent="0.15">
      <c r="A6" s="14">
        <v>5</v>
      </c>
      <c r="B6" s="14" t="s">
        <v>54</v>
      </c>
      <c r="C6" s="14" t="s">
        <v>56</v>
      </c>
      <c r="D6" s="14" t="s">
        <v>53</v>
      </c>
      <c r="E6" s="14"/>
      <c r="F6" s="14"/>
      <c r="G6" s="14"/>
      <c r="H6" s="14"/>
      <c r="I6" s="14"/>
      <c r="J6" s="14"/>
      <c r="K6" s="14"/>
      <c r="L6" s="14" t="s">
        <v>55</v>
      </c>
      <c r="M6" s="14">
        <f t="shared" si="0"/>
        <v>10</v>
      </c>
      <c r="N6" s="15">
        <f t="shared" si="1"/>
        <v>0.4</v>
      </c>
    </row>
    <row r="7" spans="1:14" x14ac:dyDescent="0.15">
      <c r="A7" s="14">
        <v>6</v>
      </c>
      <c r="B7" s="14" t="s">
        <v>54</v>
      </c>
      <c r="C7" s="14" t="s">
        <v>56</v>
      </c>
      <c r="D7" s="14" t="s">
        <v>53</v>
      </c>
      <c r="E7" s="14"/>
      <c r="F7" s="14"/>
      <c r="G7" s="14"/>
      <c r="H7" s="14"/>
      <c r="I7" s="14"/>
      <c r="J7" s="14"/>
      <c r="K7" s="14"/>
      <c r="L7" s="14" t="s">
        <v>57</v>
      </c>
      <c r="M7" s="14">
        <f t="shared" si="0"/>
        <v>10</v>
      </c>
      <c r="N7" s="15">
        <f t="shared" si="1"/>
        <v>0.4</v>
      </c>
    </row>
    <row r="8" spans="1:14" x14ac:dyDescent="0.15">
      <c r="A8" s="14">
        <v>7</v>
      </c>
      <c r="B8" s="14" t="s">
        <v>56</v>
      </c>
      <c r="C8" s="14" t="s">
        <v>53</v>
      </c>
      <c r="D8" s="14"/>
      <c r="E8" s="14"/>
      <c r="F8" s="14"/>
      <c r="G8" s="14"/>
      <c r="H8" s="14"/>
      <c r="I8" s="14"/>
      <c r="J8" s="14"/>
      <c r="K8" s="14"/>
      <c r="L8" s="14" t="s">
        <v>53</v>
      </c>
      <c r="M8" s="14">
        <f t="shared" si="0"/>
        <v>13</v>
      </c>
      <c r="N8" s="15">
        <f t="shared" si="1"/>
        <v>0.52</v>
      </c>
    </row>
    <row r="9" spans="1:14" x14ac:dyDescent="0.15">
      <c r="A9" s="14">
        <v>8</v>
      </c>
      <c r="B9" s="14" t="s">
        <v>48</v>
      </c>
      <c r="C9" s="14" t="s">
        <v>54</v>
      </c>
      <c r="D9" s="14" t="s">
        <v>52</v>
      </c>
      <c r="E9" s="14" t="s">
        <v>55</v>
      </c>
      <c r="F9" s="14" t="s">
        <v>57</v>
      </c>
      <c r="G9" s="14" t="s">
        <v>53</v>
      </c>
      <c r="H9" s="14"/>
      <c r="I9" s="14"/>
      <c r="J9" s="14"/>
      <c r="K9" s="14"/>
      <c r="L9" s="14" t="s">
        <v>58</v>
      </c>
      <c r="M9" s="14">
        <f t="shared" si="0"/>
        <v>4</v>
      </c>
      <c r="N9" s="15">
        <f t="shared" si="1"/>
        <v>0.16</v>
      </c>
    </row>
    <row r="10" spans="1:14" x14ac:dyDescent="0.15">
      <c r="A10" s="14">
        <v>9</v>
      </c>
      <c r="B10" s="14" t="s">
        <v>54</v>
      </c>
      <c r="C10" s="14" t="s">
        <v>52</v>
      </c>
      <c r="D10" s="14" t="s">
        <v>53</v>
      </c>
      <c r="E10" s="14"/>
      <c r="F10" s="14"/>
      <c r="G10" s="14"/>
      <c r="H10" s="14"/>
      <c r="I10" s="14"/>
      <c r="J10" s="14"/>
      <c r="K10" s="14"/>
      <c r="L10" s="14" t="s">
        <v>49</v>
      </c>
      <c r="M10" s="14">
        <f t="shared" si="0"/>
        <v>7</v>
      </c>
      <c r="N10" s="15">
        <f t="shared" si="1"/>
        <v>0.28000000000000003</v>
      </c>
    </row>
    <row r="11" spans="1:14" x14ac:dyDescent="0.15">
      <c r="A11" s="14">
        <v>10</v>
      </c>
      <c r="B11" s="14" t="s">
        <v>48</v>
      </c>
      <c r="C11" s="14" t="s">
        <v>52</v>
      </c>
      <c r="D11" s="14" t="s">
        <v>57</v>
      </c>
      <c r="E11" s="14" t="s">
        <v>50</v>
      </c>
      <c r="F11" s="14" t="s">
        <v>51</v>
      </c>
      <c r="G11" s="14"/>
      <c r="H11" s="14"/>
      <c r="I11" s="14"/>
      <c r="J11" s="14"/>
      <c r="K11" s="14"/>
      <c r="L11" s="14" t="s">
        <v>50</v>
      </c>
      <c r="M11" s="14">
        <f t="shared" si="0"/>
        <v>7</v>
      </c>
      <c r="N11" s="15">
        <f t="shared" si="1"/>
        <v>0.28000000000000003</v>
      </c>
    </row>
    <row r="12" spans="1:14" x14ac:dyDescent="0.15">
      <c r="A12" s="14">
        <v>11</v>
      </c>
      <c r="B12" s="14" t="s">
        <v>54</v>
      </c>
      <c r="C12" s="14" t="s">
        <v>52</v>
      </c>
      <c r="D12" s="14" t="s">
        <v>55</v>
      </c>
      <c r="E12" s="14" t="s">
        <v>57</v>
      </c>
      <c r="F12" s="14"/>
      <c r="G12" s="14"/>
      <c r="H12" s="14"/>
      <c r="I12" s="14"/>
      <c r="J12" s="14"/>
      <c r="K12" s="14"/>
      <c r="L12" s="14" t="s">
        <v>51</v>
      </c>
      <c r="M12" s="14">
        <f t="shared" si="0"/>
        <v>7</v>
      </c>
      <c r="N12" s="15">
        <f t="shared" si="1"/>
        <v>0.28000000000000003</v>
      </c>
    </row>
    <row r="13" spans="1:14" x14ac:dyDescent="0.15">
      <c r="A13" s="14">
        <v>12</v>
      </c>
      <c r="B13" s="14" t="s">
        <v>54</v>
      </c>
      <c r="C13" s="14" t="s">
        <v>52</v>
      </c>
      <c r="D13" s="14" t="s">
        <v>55</v>
      </c>
      <c r="E13" s="14"/>
      <c r="F13" s="14"/>
      <c r="G13" s="14"/>
      <c r="H13" s="14"/>
      <c r="I13" s="14"/>
      <c r="J13" s="14"/>
      <c r="K13" s="14"/>
      <c r="L13" s="12" t="s">
        <v>31</v>
      </c>
      <c r="M13" s="14"/>
      <c r="N13" s="14"/>
    </row>
    <row r="14" spans="1:14" x14ac:dyDescent="0.15">
      <c r="A14" s="14">
        <v>13</v>
      </c>
      <c r="B14" s="14" t="s">
        <v>48</v>
      </c>
      <c r="C14" s="14" t="s">
        <v>56</v>
      </c>
      <c r="D14" s="14" t="s">
        <v>58</v>
      </c>
      <c r="E14" s="14" t="s">
        <v>50</v>
      </c>
      <c r="F14" s="14" t="s">
        <v>51</v>
      </c>
      <c r="G14" s="14"/>
      <c r="H14" s="14"/>
      <c r="I14" s="14"/>
      <c r="J14" s="14"/>
      <c r="K14" s="14"/>
      <c r="L14" s="14" t="str">
        <f>$L$2&amp;L3</f>
        <v>ab</v>
      </c>
      <c r="M14" s="14" cm="1">
        <f t="array" ref="M14">SUM(_xlfn.BYROW(B$2:I$26, _xlfn.LAMBDA(_xlpm.row, IF(COUNTIF(_xlpm.row,MID(L14,1,1))&gt;0, IF(COUNTIF(_xlpm.row,MID(L14,2,1))&gt;0,1,0),0))))</f>
        <v>7</v>
      </c>
      <c r="N14" s="15">
        <f>M14/MAX(A:A)</f>
        <v>0.28000000000000003</v>
      </c>
    </row>
    <row r="15" spans="1:14" x14ac:dyDescent="0.15">
      <c r="A15" s="14">
        <v>14</v>
      </c>
      <c r="B15" s="14" t="s">
        <v>48</v>
      </c>
      <c r="C15" s="14" t="s">
        <v>54</v>
      </c>
      <c r="D15" s="14" t="s">
        <v>52</v>
      </c>
      <c r="E15" s="14" t="s">
        <v>53</v>
      </c>
      <c r="F15" s="14"/>
      <c r="G15" s="14"/>
      <c r="H15" s="14"/>
      <c r="I15" s="14"/>
      <c r="J15" s="14"/>
      <c r="K15" s="14"/>
      <c r="L15" s="14" t="str">
        <f t="shared" ref="L15:L23" si="2">$L$2&amp;L4</f>
        <v>ac</v>
      </c>
      <c r="M15" s="14" cm="1">
        <f t="array" ref="M15">SUM(_xlfn.BYROW(B$2:I$26, _xlfn.LAMBDA(_xlpm.row, IF(COUNTIF(_xlpm.row,MID(L15,1,1))&gt;0, IF(COUNTIF(_xlpm.row,MID(L15,2,1))&gt;0,1,0),0))))</f>
        <v>8</v>
      </c>
      <c r="N15" s="15">
        <f t="shared" ref="N15:N68" si="3">M15/MAX(A:A)</f>
        <v>0.32</v>
      </c>
    </row>
    <row r="16" spans="1:14" x14ac:dyDescent="0.15">
      <c r="A16" s="14">
        <v>15</v>
      </c>
      <c r="B16" s="14" t="s">
        <v>48</v>
      </c>
      <c r="C16" s="14" t="s">
        <v>54</v>
      </c>
      <c r="D16" s="14" t="s">
        <v>52</v>
      </c>
      <c r="E16" s="14" t="s">
        <v>49</v>
      </c>
      <c r="F16" s="14"/>
      <c r="G16" s="14"/>
      <c r="H16" s="14"/>
      <c r="I16" s="14"/>
      <c r="J16" s="14"/>
      <c r="K16" s="14"/>
      <c r="L16" s="14" t="str">
        <f t="shared" si="2"/>
        <v>ad</v>
      </c>
      <c r="M16" s="14" cm="1">
        <f t="array" ref="M16">SUM(_xlfn.BYROW(B$2:I$26, _xlfn.LAMBDA(_xlpm.row, IF(COUNTIF(_xlpm.row,MID(L16,1,1))&gt;0, IF(COUNTIF(_xlpm.row,MID(L16,2,1))&gt;0,1,0),0))))</f>
        <v>3</v>
      </c>
      <c r="N16" s="15">
        <f t="shared" si="3"/>
        <v>0.12</v>
      </c>
    </row>
    <row r="17" spans="1:14" x14ac:dyDescent="0.15">
      <c r="A17" s="14">
        <v>16</v>
      </c>
      <c r="B17" s="14" t="s">
        <v>48</v>
      </c>
      <c r="C17" s="14" t="s">
        <v>54</v>
      </c>
      <c r="D17" s="14" t="s">
        <v>52</v>
      </c>
      <c r="E17" s="14" t="s">
        <v>53</v>
      </c>
      <c r="F17" s="14"/>
      <c r="G17" s="14"/>
      <c r="H17" s="14"/>
      <c r="I17" s="14"/>
      <c r="J17" s="14"/>
      <c r="K17" s="14"/>
      <c r="L17" s="14" t="str">
        <f t="shared" si="2"/>
        <v>ae</v>
      </c>
      <c r="M17" s="14" cm="1">
        <f t="array" ref="M17">SUM(_xlfn.BYROW(B$2:I$26, _xlfn.LAMBDA(_xlpm.row, IF(COUNTIF(_xlpm.row,MID(L17,1,1))&gt;0, IF(COUNTIF(_xlpm.row,MID(L17,2,1))&gt;0,1,0),0))))</f>
        <v>6</v>
      </c>
      <c r="N17" s="15">
        <f t="shared" si="3"/>
        <v>0.24</v>
      </c>
    </row>
    <row r="18" spans="1:14" x14ac:dyDescent="0.15">
      <c r="A18" s="14">
        <v>17</v>
      </c>
      <c r="B18" s="14" t="s">
        <v>55</v>
      </c>
      <c r="C18" s="14" t="s">
        <v>57</v>
      </c>
      <c r="D18" s="14" t="s">
        <v>53</v>
      </c>
      <c r="E18" s="14"/>
      <c r="F18" s="14"/>
      <c r="G18" s="14"/>
      <c r="H18" s="14"/>
      <c r="I18" s="14"/>
      <c r="J18" s="14"/>
      <c r="K18" s="14"/>
      <c r="L18" s="14" t="str">
        <f t="shared" si="2"/>
        <v>af</v>
      </c>
      <c r="M18" s="14" cm="1">
        <f t="array" ref="M18">SUM(_xlfn.BYROW(B$2:I$26, _xlfn.LAMBDA(_xlpm.row, IF(COUNTIF(_xlpm.row,MID(L18,1,1))&gt;0, IF(COUNTIF(_xlpm.row,MID(L18,2,1))&gt;0,1,0),0))))</f>
        <v>6</v>
      </c>
      <c r="N18" s="15">
        <f t="shared" si="3"/>
        <v>0.24</v>
      </c>
    </row>
    <row r="19" spans="1:14" x14ac:dyDescent="0.15">
      <c r="A19" s="14">
        <v>18</v>
      </c>
      <c r="B19" s="14" t="s">
        <v>52</v>
      </c>
      <c r="C19" s="14" t="s">
        <v>55</v>
      </c>
      <c r="D19" s="14" t="s">
        <v>57</v>
      </c>
      <c r="E19" s="14" t="s">
        <v>53</v>
      </c>
      <c r="F19" s="14"/>
      <c r="G19" s="14"/>
      <c r="H19" s="14"/>
      <c r="I19" s="14"/>
      <c r="J19" s="14"/>
      <c r="K19" s="14"/>
      <c r="L19" s="14" t="str">
        <f t="shared" si="2"/>
        <v>ag</v>
      </c>
      <c r="M19" s="14" cm="1">
        <f t="array" ref="M19">SUM(_xlfn.BYROW(B$2:I$26, _xlfn.LAMBDA(_xlpm.row, IF(COUNTIF(_xlpm.row,MID(L19,1,1))&gt;0, IF(COUNTIF(_xlpm.row,MID(L19,2,1))&gt;0,1,0),0))))</f>
        <v>5</v>
      </c>
      <c r="N19" s="15">
        <f t="shared" si="3"/>
        <v>0.2</v>
      </c>
    </row>
    <row r="20" spans="1:14" x14ac:dyDescent="0.15">
      <c r="A20" s="14">
        <v>19</v>
      </c>
      <c r="B20" s="14" t="s">
        <v>52</v>
      </c>
      <c r="C20" s="14"/>
      <c r="D20" s="14"/>
      <c r="E20" s="14"/>
      <c r="F20" s="14"/>
      <c r="G20" s="14"/>
      <c r="H20" s="14"/>
      <c r="I20" s="14"/>
      <c r="J20" s="14"/>
      <c r="K20" s="14"/>
      <c r="L20" s="14" t="str">
        <f t="shared" si="2"/>
        <v>ah</v>
      </c>
      <c r="M20" s="14" cm="1">
        <f t="array" ref="M20">SUM(_xlfn.BYROW(B$2:I$26, _xlfn.LAMBDA(_xlpm.row, IF(COUNTIF(_xlpm.row,MID(L20,1,1))&gt;0, IF(COUNTIF(_xlpm.row,MID(L20,2,1))&gt;0,1,0),0))))</f>
        <v>3</v>
      </c>
      <c r="N20" s="15">
        <f t="shared" si="3"/>
        <v>0.12</v>
      </c>
    </row>
    <row r="21" spans="1:14" x14ac:dyDescent="0.15">
      <c r="A21" s="14">
        <v>20</v>
      </c>
      <c r="B21" s="14" t="s">
        <v>54</v>
      </c>
      <c r="C21" s="14" t="s">
        <v>52</v>
      </c>
      <c r="D21" s="14" t="s">
        <v>56</v>
      </c>
      <c r="E21" s="14" t="s">
        <v>57</v>
      </c>
      <c r="F21" s="14" t="s">
        <v>53</v>
      </c>
      <c r="G21" s="14" t="s">
        <v>50</v>
      </c>
      <c r="H21" s="14"/>
      <c r="I21" s="14"/>
      <c r="J21" s="14"/>
      <c r="K21" s="14"/>
      <c r="L21" s="14" t="str">
        <f t="shared" si="2"/>
        <v>ai</v>
      </c>
      <c r="M21" s="14" cm="1">
        <f t="array" ref="M21">SUM(_xlfn.BYROW(B$2:I$26, _xlfn.LAMBDA(_xlpm.row, IF(COUNTIF(_xlpm.row,MID(L21,1,1))&gt;0, IF(COUNTIF(_xlpm.row,MID(L21,2,1))&gt;0,1,0),0))))</f>
        <v>6</v>
      </c>
      <c r="N21" s="15">
        <f t="shared" si="3"/>
        <v>0.24</v>
      </c>
    </row>
    <row r="22" spans="1:14" x14ac:dyDescent="0.15">
      <c r="A22" s="14">
        <v>21</v>
      </c>
      <c r="B22" s="14" t="s">
        <v>48</v>
      </c>
      <c r="C22" s="14" t="s">
        <v>52</v>
      </c>
      <c r="D22" s="14" t="s">
        <v>56</v>
      </c>
      <c r="E22" s="14" t="s">
        <v>55</v>
      </c>
      <c r="F22" s="14" t="s">
        <v>57</v>
      </c>
      <c r="G22" s="14" t="s">
        <v>53</v>
      </c>
      <c r="H22" s="14" t="s">
        <v>58</v>
      </c>
      <c r="I22" s="14"/>
      <c r="J22" s="14"/>
      <c r="K22" s="14"/>
      <c r="L22" s="14" t="str">
        <f t="shared" si="2"/>
        <v>aj</v>
      </c>
      <c r="M22" s="14" cm="1">
        <f t="array" ref="M22">SUM(_xlfn.BYROW(B$2:I$26, _xlfn.LAMBDA(_xlpm.row, IF(COUNTIF(_xlpm.row,MID(L22,1,1))&gt;0, IF(COUNTIF(_xlpm.row,MID(L22,2,1))&gt;0,1,0),0))))</f>
        <v>5</v>
      </c>
      <c r="N22" s="15">
        <f t="shared" si="3"/>
        <v>0.2</v>
      </c>
    </row>
    <row r="23" spans="1:14" x14ac:dyDescent="0.15">
      <c r="A23" s="14">
        <v>22</v>
      </c>
      <c r="B23" s="14" t="s">
        <v>48</v>
      </c>
      <c r="C23" s="14" t="s">
        <v>49</v>
      </c>
      <c r="D23" s="14" t="s">
        <v>51</v>
      </c>
      <c r="E23" s="14"/>
      <c r="F23" s="14"/>
      <c r="G23" s="14"/>
      <c r="H23" s="14"/>
      <c r="I23" s="14"/>
      <c r="J23" s="14"/>
      <c r="K23" s="14"/>
      <c r="L23" s="14" t="str">
        <f t="shared" si="2"/>
        <v>ak</v>
      </c>
      <c r="M23" s="14" cm="1">
        <f t="array" ref="M23">SUM(_xlfn.BYROW(B$2:I$26, _xlfn.LAMBDA(_xlpm.row, IF(COUNTIF(_xlpm.row,MID(L23,1,1))&gt;0, IF(COUNTIF(_xlpm.row,MID(L23,2,1))&gt;0,1,0),0))))</f>
        <v>5</v>
      </c>
      <c r="N23" s="15">
        <f t="shared" si="3"/>
        <v>0.2</v>
      </c>
    </row>
    <row r="24" spans="1:14" x14ac:dyDescent="0.15">
      <c r="A24" s="14">
        <v>23</v>
      </c>
      <c r="B24" s="14" t="s">
        <v>48</v>
      </c>
      <c r="C24" s="14" t="s">
        <v>54</v>
      </c>
      <c r="D24" s="14" t="s">
        <v>52</v>
      </c>
      <c r="E24" s="14" t="s">
        <v>55</v>
      </c>
      <c r="F24" s="14" t="s">
        <v>57</v>
      </c>
      <c r="G24" s="14" t="s">
        <v>53</v>
      </c>
      <c r="H24" s="14" t="s">
        <v>58</v>
      </c>
      <c r="I24" s="14" t="s">
        <v>49</v>
      </c>
      <c r="J24" s="14" t="s">
        <v>50</v>
      </c>
      <c r="K24" s="14"/>
      <c r="L24" s="8" t="str">
        <f>$L$3&amp;L4</f>
        <v>bc</v>
      </c>
      <c r="M24" s="8" cm="1">
        <f t="array" ref="M24">SUM(_xlfn.BYROW(B$2:I$26, _xlfn.LAMBDA(_xlpm.row, IF(COUNTIF(_xlpm.row,MID(L24,1,1))&gt;0, IF(COUNTIF(_xlpm.row,MID(L24,2,1))&gt;0,1,0),0))))</f>
        <v>11</v>
      </c>
      <c r="N24" s="8">
        <f t="shared" si="3"/>
        <v>0.44</v>
      </c>
    </row>
    <row r="25" spans="1:14" x14ac:dyDescent="0.15">
      <c r="A25" s="14">
        <v>24</v>
      </c>
      <c r="B25" s="14" t="s">
        <v>54</v>
      </c>
      <c r="C25" s="14" t="s">
        <v>52</v>
      </c>
      <c r="D25" s="14" t="s">
        <v>58</v>
      </c>
      <c r="E25" s="14" t="s">
        <v>51</v>
      </c>
      <c r="F25" s="14"/>
      <c r="G25" s="14"/>
      <c r="H25" s="14"/>
      <c r="I25" s="14"/>
      <c r="J25" s="14"/>
      <c r="K25" s="14"/>
      <c r="L25" s="14" t="str">
        <f t="shared" ref="L25:L32" si="4">$L$3&amp;L5</f>
        <v>bd</v>
      </c>
      <c r="M25" s="14" cm="1">
        <f t="array" ref="M25">SUM(_xlfn.BYROW(B$2:I$26, _xlfn.LAMBDA(_xlpm.row, IF(COUNTIF(_xlpm.row,MID(L25,1,1))&gt;0, IF(COUNTIF(_xlpm.row,MID(L25,2,1))&gt;0,1,0),0))))</f>
        <v>4</v>
      </c>
      <c r="N25" s="15">
        <f t="shared" si="3"/>
        <v>0.16</v>
      </c>
    </row>
    <row r="26" spans="1:14" x14ac:dyDescent="0.15">
      <c r="A26" s="14">
        <v>25</v>
      </c>
      <c r="B26" s="14" t="s">
        <v>48</v>
      </c>
      <c r="C26" s="14" t="s">
        <v>55</v>
      </c>
      <c r="D26" s="14" t="s">
        <v>57</v>
      </c>
      <c r="E26" s="14" t="s">
        <v>50</v>
      </c>
      <c r="F26" s="14"/>
      <c r="G26" s="14"/>
      <c r="H26" s="14"/>
      <c r="I26" s="14"/>
      <c r="J26" s="14"/>
      <c r="K26" s="14"/>
      <c r="L26" s="14" t="str">
        <f t="shared" si="4"/>
        <v>be</v>
      </c>
      <c r="M26" s="14" cm="1">
        <f t="array" ref="M26">SUM(_xlfn.BYROW(B$2:I$26, _xlfn.LAMBDA(_xlpm.row, IF(COUNTIF(_xlpm.row,MID(L26,1,1))&gt;0, IF(COUNTIF(_xlpm.row,MID(L26,2,1))&gt;0,1,0),0))))</f>
        <v>6</v>
      </c>
      <c r="N26" s="15">
        <f t="shared" si="3"/>
        <v>0.24</v>
      </c>
    </row>
    <row r="27" spans="1:14" x14ac:dyDescent="0.1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 t="str">
        <f t="shared" si="4"/>
        <v>bf</v>
      </c>
      <c r="M27" s="14" cm="1">
        <f t="array" ref="M27">SUM(_xlfn.BYROW(B$2:I$26, _xlfn.LAMBDA(_xlpm.row, IF(COUNTIF(_xlpm.row,MID(L27,1,1))&gt;0, IF(COUNTIF(_xlpm.row,MID(L27,2,1))&gt;0,1,0),0))))</f>
        <v>5</v>
      </c>
      <c r="N27" s="15">
        <f t="shared" si="3"/>
        <v>0.2</v>
      </c>
    </row>
    <row r="28" spans="1:14" x14ac:dyDescent="0.15">
      <c r="L28" s="14" t="str">
        <f t="shared" si="4"/>
        <v>bg</v>
      </c>
      <c r="M28" s="14" cm="1">
        <f t="array" ref="M28">SUM(_xlfn.BYROW(B$2:I$26, _xlfn.LAMBDA(_xlpm.row, IF(COUNTIF(_xlpm.row,MID(L28,1,1))&gt;0, IF(COUNTIF(_xlpm.row,MID(L28,2,1))&gt;0,1,0),0))))</f>
        <v>8</v>
      </c>
      <c r="N28" s="15">
        <f t="shared" si="3"/>
        <v>0.32</v>
      </c>
    </row>
    <row r="29" spans="1:14" x14ac:dyDescent="0.15">
      <c r="L29" s="14" t="str">
        <f t="shared" si="4"/>
        <v>bh</v>
      </c>
      <c r="M29" s="14" cm="1">
        <f t="array" ref="M29">SUM(_xlfn.BYROW(B$2:I$26, _xlfn.LAMBDA(_xlpm.row, IF(COUNTIF(_xlpm.row,MID(L29,1,1))&gt;0, IF(COUNTIF(_xlpm.row,MID(L29,2,1))&gt;0,1,0),0))))</f>
        <v>2</v>
      </c>
      <c r="N29" s="15">
        <f t="shared" si="3"/>
        <v>0.08</v>
      </c>
    </row>
    <row r="30" spans="1:14" x14ac:dyDescent="0.15">
      <c r="B30" s="8" t="s">
        <v>60</v>
      </c>
      <c r="C30" s="8">
        <f>N24/N3</f>
        <v>0.7857142857142857</v>
      </c>
      <c r="D30" s="9" t="str">
        <f ca="1">_xlfn.FORMULATEXT(C30)</f>
        <v>=N24/N3</v>
      </c>
      <c r="L30" s="14" t="str">
        <f t="shared" si="4"/>
        <v>bi</v>
      </c>
      <c r="M30" s="14" cm="1">
        <f t="array" ref="M30">SUM(_xlfn.BYROW(B$2:I$26, _xlfn.LAMBDA(_xlpm.row, IF(COUNTIF(_xlpm.row,MID(L30,1,1))&gt;0, IF(COUNTIF(_xlpm.row,MID(L30,2,1))&gt;0,1,0),0))))</f>
        <v>4</v>
      </c>
      <c r="N30" s="15">
        <f t="shared" si="3"/>
        <v>0.16</v>
      </c>
    </row>
    <row r="31" spans="1:14" x14ac:dyDescent="0.15">
      <c r="B31" s="8" t="s">
        <v>64</v>
      </c>
      <c r="C31" s="8">
        <f>N24/(N3*N4)</f>
        <v>1.2276785714285712</v>
      </c>
      <c r="D31" s="9" t="str">
        <f ca="1">_xlfn.FORMULATEXT(C31)</f>
        <v>=N24/(N3*N4)</v>
      </c>
      <c r="L31" s="14" t="str">
        <f t="shared" si="4"/>
        <v>bj</v>
      </c>
      <c r="M31" s="14" cm="1">
        <f t="array" ref="M31">SUM(_xlfn.BYROW(B$2:I$26, _xlfn.LAMBDA(_xlpm.row, IF(COUNTIF(_xlpm.row,MID(L31,1,1))&gt;0, IF(COUNTIF(_xlpm.row,MID(L31,2,1))&gt;0,1,0),0))))</f>
        <v>2</v>
      </c>
      <c r="N31" s="15">
        <f t="shared" si="3"/>
        <v>0.08</v>
      </c>
    </row>
    <row r="32" spans="1:14" x14ac:dyDescent="0.15">
      <c r="B32" t="s">
        <v>64</v>
      </c>
      <c r="C32">
        <f>C30/N4</f>
        <v>1.2276785714285714</v>
      </c>
      <c r="D32" s="7" t="str">
        <f ca="1">_xlfn.FORMULATEXT(C32)</f>
        <v>=C30/N4</v>
      </c>
      <c r="L32" s="14" t="str">
        <f t="shared" si="4"/>
        <v>bk</v>
      </c>
      <c r="M32" s="14" cm="1">
        <f t="array" ref="M32">SUM(_xlfn.BYROW(B$2:I$26, _xlfn.LAMBDA(_xlpm.row, IF(COUNTIF(_xlpm.row,MID(L32,1,1))&gt;0, IF(COUNTIF(_xlpm.row,MID(L32,2,1))&gt;0,1,0),0))))</f>
        <v>2</v>
      </c>
      <c r="N32" s="15">
        <f t="shared" si="3"/>
        <v>0.08</v>
      </c>
    </row>
    <row r="33" spans="1:14" x14ac:dyDescent="0.15">
      <c r="L33" s="14" t="str">
        <f>$L$4&amp;L5</f>
        <v>cd</v>
      </c>
      <c r="M33" s="14" cm="1">
        <f t="array" ref="M33">SUM(_xlfn.BYROW(B$2:I$26, _xlfn.LAMBDA(_xlpm.row, IF(COUNTIF(_xlpm.row,MID(L33,1,1))&gt;0, IF(COUNTIF(_xlpm.row,MID(L33,2,1))&gt;0,1,0),0))))</f>
        <v>2</v>
      </c>
      <c r="N33" s="15">
        <f t="shared" si="3"/>
        <v>0.08</v>
      </c>
    </row>
    <row r="34" spans="1:14" x14ac:dyDescent="0.15">
      <c r="B34" t="s">
        <v>62</v>
      </c>
      <c r="C34">
        <f>N24/N4</f>
        <v>0.6875</v>
      </c>
      <c r="D34" t="str">
        <f ca="1">_xlfn.FORMULATEXT(C34)</f>
        <v>=N24/N4</v>
      </c>
      <c r="F34" s="14"/>
      <c r="L34" s="14" t="str">
        <f t="shared" ref="L34:L40" si="5">$L$4&amp;L6</f>
        <v>ce</v>
      </c>
      <c r="M34" s="14" cm="1">
        <f t="array" ref="M34">SUM(_xlfn.BYROW(B$2:I$26, _xlfn.LAMBDA(_xlpm.row, IF(COUNTIF(_xlpm.row,MID(L34,1,1))&gt;0, IF(COUNTIF(_xlpm.row,MID(L34,2,1))&gt;0,1,0),0))))</f>
        <v>7</v>
      </c>
      <c r="N34" s="15">
        <f t="shared" si="3"/>
        <v>0.28000000000000003</v>
      </c>
    </row>
    <row r="35" spans="1:14" x14ac:dyDescent="0.15">
      <c r="D35" s="14"/>
      <c r="E35" s="14"/>
      <c r="F35" s="14"/>
      <c r="L35" s="14" t="str">
        <f t="shared" si="5"/>
        <v>cf</v>
      </c>
      <c r="M35" s="14" cm="1">
        <f t="array" ref="M35">SUM(_xlfn.BYROW(B$2:I$26, _xlfn.LAMBDA(_xlpm.row, IF(COUNTIF(_xlpm.row,MID(L35,1,1))&gt;0, IF(COUNTIF(_xlpm.row,MID(L35,2,1))&gt;0,1,0),0))))</f>
        <v>7</v>
      </c>
      <c r="N35" s="15">
        <f t="shared" si="3"/>
        <v>0.28000000000000003</v>
      </c>
    </row>
    <row r="36" spans="1:14" x14ac:dyDescent="0.15">
      <c r="B36" t="s">
        <v>61</v>
      </c>
      <c r="C36">
        <f>(1-N4)/(1-C30)</f>
        <v>1.6799999999999997</v>
      </c>
      <c r="D36" s="7" t="str">
        <f ca="1">_xlfn.FORMULATEXT(C36)</f>
        <v>=(1-N4)/(1-C30)</v>
      </c>
      <c r="E36" s="14"/>
      <c r="F36" s="14"/>
      <c r="L36" s="14" t="str">
        <f t="shared" si="5"/>
        <v>cg</v>
      </c>
      <c r="M36" s="14" cm="1">
        <f t="array" ref="M36">SUM(_xlfn.BYROW(B$2:I$26, _xlfn.LAMBDA(_xlpm.row, IF(COUNTIF(_xlpm.row,MID(L36,1,1))&gt;0, IF(COUNTIF(_xlpm.row,MID(L36,2,1))&gt;0,1,0),0))))</f>
        <v>9</v>
      </c>
      <c r="N36" s="15">
        <f t="shared" si="3"/>
        <v>0.36</v>
      </c>
    </row>
    <row r="37" spans="1:14" x14ac:dyDescent="0.15">
      <c r="B37" t="s">
        <v>63</v>
      </c>
      <c r="C37">
        <f>(1-N3)/(1-C34)</f>
        <v>1.4079999999999999</v>
      </c>
      <c r="D37" s="7" t="str">
        <f ca="1">_xlfn.FORMULATEXT(C37)</f>
        <v>=(1-N3)/(1-C34)</v>
      </c>
      <c r="E37" s="14"/>
      <c r="F37" s="14"/>
      <c r="L37" s="14" t="str">
        <f t="shared" si="5"/>
        <v>ch</v>
      </c>
      <c r="M37" s="14" cm="1">
        <f t="array" ref="M37">SUM(_xlfn.BYROW(B$2:I$26, _xlfn.LAMBDA(_xlpm.row, IF(COUNTIF(_xlpm.row,MID(L37,1,1))&gt;0, IF(COUNTIF(_xlpm.row,MID(L37,2,1))&gt;0,1,0),0))))</f>
        <v>3</v>
      </c>
      <c r="N37" s="15">
        <f t="shared" si="3"/>
        <v>0.12</v>
      </c>
    </row>
    <row r="38" spans="1:14" x14ac:dyDescent="0.15">
      <c r="D38" s="14"/>
      <c r="E38" s="14"/>
      <c r="F38" s="14"/>
      <c r="L38" s="14" t="str">
        <f t="shared" si="5"/>
        <v>ci</v>
      </c>
      <c r="M38" s="14" cm="1">
        <f t="array" ref="M38">SUM(_xlfn.BYROW(B$2:I$26, _xlfn.LAMBDA(_xlpm.row, IF(COUNTIF(_xlpm.row,MID(L38,1,1))&gt;0, IF(COUNTIF(_xlpm.row,MID(L38,2,1))&gt;0,1,0),0))))</f>
        <v>4</v>
      </c>
      <c r="N38" s="15">
        <f t="shared" si="3"/>
        <v>0.16</v>
      </c>
    </row>
    <row r="39" spans="1:14" x14ac:dyDescent="0.15">
      <c r="D39" s="14"/>
      <c r="E39" s="14"/>
      <c r="F39" s="14"/>
      <c r="L39" s="14" t="str">
        <f t="shared" si="5"/>
        <v>cj</v>
      </c>
      <c r="M39" s="14" cm="1">
        <f t="array" ref="M39">SUM(_xlfn.BYROW(B$2:I$26, _xlfn.LAMBDA(_xlpm.row, IF(COUNTIF(_xlpm.row,MID(L39,1,1))&gt;0, IF(COUNTIF(_xlpm.row,MID(L39,2,1))&gt;0,1,0),0))))</f>
        <v>2</v>
      </c>
      <c r="N39" s="15">
        <f t="shared" si="3"/>
        <v>0.08</v>
      </c>
    </row>
    <row r="40" spans="1:14" x14ac:dyDescent="0.15">
      <c r="D40" s="14"/>
      <c r="E40" s="14"/>
      <c r="F40" s="14"/>
      <c r="L40" s="14" t="str">
        <f t="shared" si="5"/>
        <v>ck</v>
      </c>
      <c r="M40" s="14" cm="1">
        <f t="array" ref="M40">SUM(_xlfn.BYROW(B$2:I$26, _xlfn.LAMBDA(_xlpm.row, IF(COUNTIF(_xlpm.row,MID(L40,1,1))&gt;0, IF(COUNTIF(_xlpm.row,MID(L40,2,1))&gt;0,1,0),0))))</f>
        <v>4</v>
      </c>
      <c r="N40" s="15">
        <f t="shared" si="3"/>
        <v>0.16</v>
      </c>
    </row>
    <row r="41" spans="1:14" ht="16" x14ac:dyDescent="0.15">
      <c r="A41" s="17" t="s">
        <v>71</v>
      </c>
      <c r="B41" s="16" t="s">
        <v>65</v>
      </c>
      <c r="D41" s="14"/>
      <c r="E41" s="14"/>
      <c r="F41" s="14"/>
      <c r="L41" s="14" t="str">
        <f>$L$5&amp;L6</f>
        <v>de</v>
      </c>
      <c r="M41" s="14" cm="1">
        <f t="array" ref="M41">SUM(_xlfn.BYROW(B$2:I$26, _xlfn.LAMBDA(_xlpm.row, IF(COUNTIF(_xlpm.row,MID(L41,1,1))&gt;0, IF(COUNTIF(_xlpm.row,MID(L41,2,1))&gt;0,1,0),0))))</f>
        <v>2</v>
      </c>
      <c r="N41" s="15">
        <f t="shared" si="3"/>
        <v>0.08</v>
      </c>
    </row>
    <row r="42" spans="1:14" x14ac:dyDescent="0.15">
      <c r="B42" t="s">
        <v>66</v>
      </c>
      <c r="C42" s="13" t="s">
        <v>67</v>
      </c>
      <c r="D42" s="13" t="s">
        <v>68</v>
      </c>
      <c r="E42" s="13" t="s">
        <v>69</v>
      </c>
      <c r="F42" s="13" t="s">
        <v>70</v>
      </c>
      <c r="L42" s="14" t="str">
        <f t="shared" ref="L42:L47" si="6">$L$5&amp;L7</f>
        <v>df</v>
      </c>
      <c r="M42" s="14" cm="1">
        <f t="array" ref="M42">SUM(_xlfn.BYROW(B$2:I$26, _xlfn.LAMBDA(_xlpm.row, IF(COUNTIF(_xlpm.row,MID(L42,1,1))&gt;0, IF(COUNTIF(_xlpm.row,MID(L42,2,1))&gt;0,1,0),0))))</f>
        <v>3</v>
      </c>
      <c r="N42" s="15">
        <f t="shared" si="3"/>
        <v>0.12</v>
      </c>
    </row>
    <row r="43" spans="1:14" x14ac:dyDescent="0.15">
      <c r="C43" s="14">
        <f>N24</f>
        <v>0.44</v>
      </c>
      <c r="D43" s="14">
        <f>C30</f>
        <v>0.7857142857142857</v>
      </c>
      <c r="E43" s="14">
        <f>C31</f>
        <v>1.2276785714285712</v>
      </c>
      <c r="F43">
        <f>M24</f>
        <v>11</v>
      </c>
      <c r="L43" s="14" t="str">
        <f t="shared" si="6"/>
        <v>dg</v>
      </c>
      <c r="M43" s="14" cm="1">
        <f t="array" ref="M43">SUM(_xlfn.BYROW(B$2:I$26, _xlfn.LAMBDA(_xlpm.row, IF(COUNTIF(_xlpm.row,MID(L43,1,1))&gt;0, IF(COUNTIF(_xlpm.row,MID(L43,2,1))&gt;0,1,0),0))))</f>
        <v>5</v>
      </c>
      <c r="N43" s="15">
        <f t="shared" si="3"/>
        <v>0.2</v>
      </c>
    </row>
    <row r="44" spans="1:14" x14ac:dyDescent="0.15">
      <c r="L44" s="14" t="str">
        <f t="shared" si="6"/>
        <v>dh</v>
      </c>
      <c r="M44" s="14" cm="1">
        <f t="array" ref="M44">SUM(_xlfn.BYROW(B$2:I$26, _xlfn.LAMBDA(_xlpm.row, IF(COUNTIF(_xlpm.row,MID(L44,1,1))&gt;0, IF(COUNTIF(_xlpm.row,MID(L44,2,1))&gt;0,1,0),0))))</f>
        <v>2</v>
      </c>
      <c r="N44" s="15">
        <f t="shared" si="3"/>
        <v>0.08</v>
      </c>
    </row>
    <row r="45" spans="1:14" ht="16" x14ac:dyDescent="0.15">
      <c r="B45" s="16" t="s">
        <v>72</v>
      </c>
      <c r="L45" s="14" t="str">
        <f t="shared" si="6"/>
        <v>di</v>
      </c>
      <c r="M45" s="14" cm="1">
        <f t="array" ref="M45">SUM(_xlfn.BYROW(B$2:I$26, _xlfn.LAMBDA(_xlpm.row, IF(COUNTIF(_xlpm.row,MID(L45,1,1))&gt;0, IF(COUNTIF(_xlpm.row,MID(L45,2,1))&gt;0,1,0),0))))</f>
        <v>1</v>
      </c>
      <c r="N45" s="15">
        <f t="shared" si="3"/>
        <v>0.04</v>
      </c>
    </row>
    <row r="46" spans="1:14" ht="15" customHeight="1" x14ac:dyDescent="0.15">
      <c r="B46" s="20" t="s">
        <v>73</v>
      </c>
      <c r="C46" s="20"/>
      <c r="D46" s="20"/>
      <c r="E46" s="20"/>
      <c r="F46" s="20"/>
      <c r="G46" s="20"/>
      <c r="H46" s="20"/>
      <c r="I46" s="20"/>
      <c r="J46" s="16"/>
      <c r="L46" s="14" t="str">
        <f t="shared" si="6"/>
        <v>dj</v>
      </c>
      <c r="M46" s="14" cm="1">
        <f t="array" ref="M46">SUM(_xlfn.BYROW(B$2:I$26, _xlfn.LAMBDA(_xlpm.row, IF(COUNTIF(_xlpm.row,MID(L46,1,1))&gt;0, IF(COUNTIF(_xlpm.row,MID(L46,2,1))&gt;0,1,0),0))))</f>
        <v>3</v>
      </c>
      <c r="N46" s="15">
        <f t="shared" si="3"/>
        <v>0.12</v>
      </c>
    </row>
    <row r="47" spans="1:14" ht="16" x14ac:dyDescent="0.15">
      <c r="B47" s="20"/>
      <c r="C47" s="20"/>
      <c r="D47" s="20"/>
      <c r="E47" s="20"/>
      <c r="F47" s="20"/>
      <c r="G47" s="20"/>
      <c r="H47" s="20"/>
      <c r="I47" s="20"/>
      <c r="J47" s="16"/>
      <c r="L47" s="14" t="str">
        <f t="shared" si="6"/>
        <v>dk</v>
      </c>
      <c r="M47" s="14" cm="1">
        <f t="array" ref="M47">SUM(_xlfn.BYROW(B$2:I$26, _xlfn.LAMBDA(_xlpm.row, IF(COUNTIF(_xlpm.row,MID(L47,1,1))&gt;0, IF(COUNTIF(_xlpm.row,MID(L47,2,1))&gt;0,1,0),0))))</f>
        <v>1</v>
      </c>
      <c r="N47" s="15">
        <f t="shared" si="3"/>
        <v>0.04</v>
      </c>
    </row>
    <row r="48" spans="1:14" ht="16" x14ac:dyDescent="0.15">
      <c r="B48" s="16"/>
      <c r="C48" s="16"/>
      <c r="D48" s="16"/>
      <c r="E48" s="16"/>
      <c r="F48" s="16"/>
      <c r="G48" s="16"/>
      <c r="H48" s="16"/>
      <c r="I48" s="16"/>
      <c r="J48" s="16"/>
      <c r="L48" s="14" t="str">
        <f>$L$6&amp;L7</f>
        <v>ef</v>
      </c>
      <c r="M48" s="14" cm="1">
        <f t="array" ref="M48">SUM(_xlfn.BYROW(B$2:I$26, _xlfn.LAMBDA(_xlpm.row, IF(COUNTIF(_xlpm.row,MID(L48,1,1))&gt;0, IF(COUNTIF(_xlpm.row,MID(L48,2,1))&gt;0,1,0),0))))</f>
        <v>8</v>
      </c>
      <c r="N48" s="15">
        <f t="shared" si="3"/>
        <v>0.32</v>
      </c>
    </row>
    <row r="49" spans="2:14" ht="16" x14ac:dyDescent="0.15">
      <c r="B49" s="16"/>
      <c r="C49" s="16"/>
      <c r="D49" s="16"/>
      <c r="E49" s="16"/>
      <c r="F49" s="16"/>
      <c r="G49" s="16"/>
      <c r="H49" s="16"/>
      <c r="I49" s="16"/>
      <c r="J49" s="16"/>
      <c r="L49" s="14" t="str">
        <f t="shared" ref="L49:L53" si="7">$L$6&amp;L8</f>
        <v>eg</v>
      </c>
      <c r="M49" s="14" cm="1">
        <f t="array" ref="M49">SUM(_xlfn.BYROW(B$2:I$26, _xlfn.LAMBDA(_xlpm.row, IF(COUNTIF(_xlpm.row,MID(L49,1,1))&gt;0, IF(COUNTIF(_xlpm.row,MID(L49,2,1))&gt;0,1,0),0))))</f>
        <v>5</v>
      </c>
      <c r="N49" s="15">
        <f t="shared" si="3"/>
        <v>0.2</v>
      </c>
    </row>
    <row r="50" spans="2:14" ht="16" x14ac:dyDescent="0.15">
      <c r="B50" s="16"/>
      <c r="C50" s="16"/>
      <c r="D50" s="16"/>
      <c r="E50" s="16"/>
      <c r="F50" s="16"/>
      <c r="G50" s="16"/>
      <c r="H50" s="16"/>
      <c r="I50" s="16"/>
      <c r="J50" s="16"/>
      <c r="L50" s="14" t="str">
        <f t="shared" si="7"/>
        <v>eh</v>
      </c>
      <c r="M50" s="14" cm="1">
        <f t="array" ref="M50">SUM(_xlfn.BYROW(B$2:I$26, _xlfn.LAMBDA(_xlpm.row, IF(COUNTIF(_xlpm.row,MID(L50,1,1))&gt;0, IF(COUNTIF(_xlpm.row,MID(L50,2,1))&gt;0,1,0),0))))</f>
        <v>2</v>
      </c>
      <c r="N50" s="15">
        <f t="shared" si="3"/>
        <v>0.08</v>
      </c>
    </row>
    <row r="51" spans="2:14" x14ac:dyDescent="0.15">
      <c r="L51" s="14" t="str">
        <f t="shared" si="7"/>
        <v>ei</v>
      </c>
      <c r="M51" s="14" cm="1">
        <f t="array" ref="M51">SUM(_xlfn.BYROW(B$2:I$26, _xlfn.LAMBDA(_xlpm.row, IF(COUNTIF(_xlpm.row,MID(L51,1,1))&gt;0, IF(COUNTIF(_xlpm.row,MID(L51,2,1))&gt;0,1,0),0))))</f>
        <v>3</v>
      </c>
      <c r="N51" s="15">
        <f t="shared" si="3"/>
        <v>0.12</v>
      </c>
    </row>
    <row r="52" spans="2:14" x14ac:dyDescent="0.15">
      <c r="L52" s="14" t="str">
        <f t="shared" si="7"/>
        <v>ej</v>
      </c>
      <c r="M52" s="14" cm="1">
        <f t="array" ref="M52">SUM(_xlfn.BYROW(B$2:I$26, _xlfn.LAMBDA(_xlpm.row, IF(COUNTIF(_xlpm.row,MID(L52,1,1))&gt;0, IF(COUNTIF(_xlpm.row,MID(L52,2,1))&gt;0,1,0),0))))</f>
        <v>2</v>
      </c>
      <c r="N52" s="15">
        <f t="shared" si="3"/>
        <v>0.08</v>
      </c>
    </row>
    <row r="53" spans="2:14" x14ac:dyDescent="0.15">
      <c r="L53" s="14" t="str">
        <f t="shared" si="7"/>
        <v>ek</v>
      </c>
      <c r="M53" s="14" cm="1">
        <f t="array" ref="M53">SUM(_xlfn.BYROW(B$2:I$26, _xlfn.LAMBDA(_xlpm.row, IF(COUNTIF(_xlpm.row,MID(L53,1,1))&gt;0, IF(COUNTIF(_xlpm.row,MID(L53,2,1))&gt;0,1,0),0))))</f>
        <v>1</v>
      </c>
      <c r="N53" s="15">
        <f t="shared" si="3"/>
        <v>0.04</v>
      </c>
    </row>
    <row r="54" spans="2:14" x14ac:dyDescent="0.15">
      <c r="L54" s="14" t="str">
        <f>$L$7&amp;L8</f>
        <v>fg</v>
      </c>
      <c r="M54" s="14" cm="1">
        <f t="array" ref="M54">SUM(_xlfn.BYROW(B$2:I$26, _xlfn.LAMBDA(_xlpm.row, IF(COUNTIF(_xlpm.row,MID(L54,1,1))&gt;0, IF(COUNTIF(_xlpm.row,MID(L54,2,1))&gt;0,1,0),0))))</f>
        <v>6</v>
      </c>
      <c r="N54" s="15">
        <f t="shared" si="3"/>
        <v>0.24</v>
      </c>
    </row>
    <row r="55" spans="2:14" x14ac:dyDescent="0.15">
      <c r="L55" s="14" t="str">
        <f t="shared" ref="L55:L58" si="8">$L$7&amp;L9</f>
        <v>fh</v>
      </c>
      <c r="M55" s="14" cm="1">
        <f t="array" ref="M55">SUM(_xlfn.BYROW(B$2:I$26, _xlfn.LAMBDA(_xlpm.row, IF(COUNTIF(_xlpm.row,MID(L55,1,1))&gt;0, IF(COUNTIF(_xlpm.row,MID(L55,2,1))&gt;0,1,0),0))))</f>
        <v>2</v>
      </c>
      <c r="N55" s="15">
        <f t="shared" si="3"/>
        <v>0.08</v>
      </c>
    </row>
    <row r="56" spans="2:14" x14ac:dyDescent="0.15">
      <c r="L56" s="14" t="str">
        <f t="shared" si="8"/>
        <v>fi</v>
      </c>
      <c r="M56" s="14" cm="1">
        <f t="array" ref="M56">SUM(_xlfn.BYROW(B$2:I$26, _xlfn.LAMBDA(_xlpm.row, IF(COUNTIF(_xlpm.row,MID(L56,1,1))&gt;0, IF(COUNTIF(_xlpm.row,MID(L56,2,1))&gt;0,1,0),0))))</f>
        <v>2</v>
      </c>
      <c r="N56" s="15">
        <f t="shared" si="3"/>
        <v>0.08</v>
      </c>
    </row>
    <row r="57" spans="2:14" x14ac:dyDescent="0.15">
      <c r="L57" s="14" t="str">
        <f t="shared" si="8"/>
        <v>fj</v>
      </c>
      <c r="M57" s="14" cm="1">
        <f t="array" ref="M57">SUM(_xlfn.BYROW(B$2:I$26, _xlfn.LAMBDA(_xlpm.row, IF(COUNTIF(_xlpm.row,MID(L57,1,1))&gt;0, IF(COUNTIF(_xlpm.row,MID(L57,2,1))&gt;0,1,0),0))))</f>
        <v>4</v>
      </c>
      <c r="N57" s="15">
        <f t="shared" si="3"/>
        <v>0.16</v>
      </c>
    </row>
    <row r="58" spans="2:14" x14ac:dyDescent="0.15">
      <c r="L58" s="14" t="str">
        <f t="shared" si="8"/>
        <v>fk</v>
      </c>
      <c r="M58" s="14" cm="1">
        <f t="array" ref="M58">SUM(_xlfn.BYROW(B$2:I$26, _xlfn.LAMBDA(_xlpm.row, IF(COUNTIF(_xlpm.row,MID(L58,1,1))&gt;0, IF(COUNTIF(_xlpm.row,MID(L58,2,1))&gt;0,1,0),0))))</f>
        <v>1</v>
      </c>
      <c r="N58" s="15">
        <f t="shared" si="3"/>
        <v>0.04</v>
      </c>
    </row>
    <row r="59" spans="2:14" x14ac:dyDescent="0.15">
      <c r="L59" s="14" t="str">
        <f>$L$8&amp;L9</f>
        <v>gh</v>
      </c>
      <c r="M59" s="14" cm="1">
        <f t="array" ref="M59">SUM(_xlfn.BYROW(B$2:I$26, _xlfn.LAMBDA(_xlpm.row, IF(COUNTIF(_xlpm.row,MID(L59,1,1))&gt;0, IF(COUNTIF(_xlpm.row,MID(L59,2,1))&gt;0,1,0),0))))</f>
        <v>2</v>
      </c>
      <c r="N59" s="15">
        <f t="shared" si="3"/>
        <v>0.08</v>
      </c>
    </row>
    <row r="60" spans="2:14" x14ac:dyDescent="0.15">
      <c r="L60" s="14" t="str">
        <f t="shared" ref="L60:L62" si="9">$L$8&amp;L10</f>
        <v>gi</v>
      </c>
      <c r="M60" s="14" cm="1">
        <f t="array" ref="M60">SUM(_xlfn.BYROW(B$2:I$26, _xlfn.LAMBDA(_xlpm.row, IF(COUNTIF(_xlpm.row,MID(L60,1,1))&gt;0, IF(COUNTIF(_xlpm.row,MID(L60,2,1))&gt;0,1,0),0))))</f>
        <v>2</v>
      </c>
      <c r="N60" s="15">
        <f t="shared" si="3"/>
        <v>0.08</v>
      </c>
    </row>
    <row r="61" spans="2:14" x14ac:dyDescent="0.15">
      <c r="L61" s="14" t="str">
        <f t="shared" si="9"/>
        <v>gj</v>
      </c>
      <c r="M61" s="14" cm="1">
        <f t="array" ref="M61">SUM(_xlfn.BYROW(B$2:I$26, _xlfn.LAMBDA(_xlpm.row, IF(COUNTIF(_xlpm.row,MID(L61,1,1))&gt;0, IF(COUNTIF(_xlpm.row,MID(L61,2,1))&gt;0,1,0),0))))</f>
        <v>1</v>
      </c>
      <c r="N61" s="15">
        <f t="shared" si="3"/>
        <v>0.04</v>
      </c>
    </row>
    <row r="62" spans="2:14" x14ac:dyDescent="0.15">
      <c r="L62" s="14" t="str">
        <f t="shared" si="9"/>
        <v>gk</v>
      </c>
      <c r="M62" s="14" cm="1">
        <f t="array" ref="M62">SUM(_xlfn.BYROW(B$2:I$26, _xlfn.LAMBDA(_xlpm.row, IF(COUNTIF(_xlpm.row,MID(L62,1,1))&gt;0, IF(COUNTIF(_xlpm.row,MID(L62,2,1))&gt;0,1,0),0))))</f>
        <v>1</v>
      </c>
      <c r="N62" s="15">
        <f t="shared" si="3"/>
        <v>0.04</v>
      </c>
    </row>
    <row r="63" spans="2:14" x14ac:dyDescent="0.15">
      <c r="L63" s="14" t="str">
        <f>$L$9&amp;L10</f>
        <v>hi</v>
      </c>
      <c r="M63" s="14" cm="1">
        <f t="array" ref="M63">SUM(_xlfn.BYROW(B$2:I$26, _xlfn.LAMBDA(_xlpm.row, IF(COUNTIF(_xlpm.row,MID(L63,1,1))&gt;0, IF(COUNTIF(_xlpm.row,MID(L63,2,1))&gt;0,1,0),0))))</f>
        <v>1</v>
      </c>
      <c r="N63" s="15">
        <f t="shared" si="3"/>
        <v>0.04</v>
      </c>
    </row>
    <row r="64" spans="2:14" x14ac:dyDescent="0.15">
      <c r="L64" s="14" t="str">
        <f t="shared" ref="L64:L65" si="10">$L$9&amp;L11</f>
        <v>hj</v>
      </c>
      <c r="M64" s="14" cm="1">
        <f t="array" ref="M64">SUM(_xlfn.BYROW(B$2:I$26, _xlfn.LAMBDA(_xlpm.row, IF(COUNTIF(_xlpm.row,MID(L64,1,1))&gt;0, IF(COUNTIF(_xlpm.row,MID(L64,2,1))&gt;0,1,0),0))))</f>
        <v>1</v>
      </c>
      <c r="N64" s="15">
        <f t="shared" si="3"/>
        <v>0.04</v>
      </c>
    </row>
    <row r="65" spans="12:14" x14ac:dyDescent="0.15">
      <c r="L65" s="14" t="str">
        <f t="shared" si="10"/>
        <v>hk</v>
      </c>
      <c r="M65" s="14" cm="1">
        <f t="array" ref="M65">SUM(_xlfn.BYROW(B$2:I$26, _xlfn.LAMBDA(_xlpm.row, IF(COUNTIF(_xlpm.row,MID(L65,1,1))&gt;0, IF(COUNTIF(_xlpm.row,MID(L65,2,1))&gt;0,1,0),0))))</f>
        <v>2</v>
      </c>
      <c r="N65" s="15">
        <f t="shared" si="3"/>
        <v>0.08</v>
      </c>
    </row>
    <row r="66" spans="12:14" x14ac:dyDescent="0.15">
      <c r="L66" s="14" t="str">
        <f>$L$10&amp;L11</f>
        <v>ij</v>
      </c>
      <c r="M66" s="14" cm="1">
        <f t="array" ref="M66">SUM(_xlfn.BYROW(B$2:I$26, _xlfn.LAMBDA(_xlpm.row, IF(COUNTIF(_xlpm.row,MID(L66,1,1))&gt;0, IF(COUNTIF(_xlpm.row,MID(L66,2,1))&gt;0,1,0),0))))</f>
        <v>2</v>
      </c>
      <c r="N66" s="15">
        <f t="shared" si="3"/>
        <v>0.08</v>
      </c>
    </row>
    <row r="67" spans="12:14" x14ac:dyDescent="0.15">
      <c r="L67" s="14" t="str">
        <f t="shared" ref="L67" si="11">$L$10&amp;L12</f>
        <v>ik</v>
      </c>
      <c r="M67" s="14" cm="1">
        <f t="array" ref="M67">SUM(_xlfn.BYROW(B$2:I$26, _xlfn.LAMBDA(_xlpm.row, IF(COUNTIF(_xlpm.row,MID(L67,1,1))&gt;0, IF(COUNTIF(_xlpm.row,MID(L67,2,1))&gt;0,1,0),0))))</f>
        <v>4</v>
      </c>
      <c r="N67" s="15">
        <f t="shared" si="3"/>
        <v>0.16</v>
      </c>
    </row>
    <row r="68" spans="12:14" x14ac:dyDescent="0.15">
      <c r="L68" s="14" t="str">
        <f>$L$11&amp;L12</f>
        <v>jk</v>
      </c>
      <c r="M68" s="14" cm="1">
        <f t="array" ref="M68">SUM(_xlfn.BYROW(B$2:I$26, _xlfn.LAMBDA(_xlpm.row, IF(COUNTIF(_xlpm.row,MID(L68,1,1))&gt;0, IF(COUNTIF(_xlpm.row,MID(L68,2,1))&gt;0,1,0),0))))</f>
        <v>3</v>
      </c>
      <c r="N68" s="15">
        <f t="shared" si="3"/>
        <v>0.12</v>
      </c>
    </row>
    <row r="69" spans="12:14" x14ac:dyDescent="0.15">
      <c r="L69" s="14"/>
    </row>
    <row r="70" spans="12:14" x14ac:dyDescent="0.15">
      <c r="L70" s="14"/>
    </row>
    <row r="71" spans="12:14" x14ac:dyDescent="0.15">
      <c r="L71" s="14"/>
    </row>
    <row r="72" spans="12:14" x14ac:dyDescent="0.15">
      <c r="L72" s="14"/>
    </row>
    <row r="73" spans="12:14" x14ac:dyDescent="0.15">
      <c r="L73" s="14"/>
    </row>
  </sheetData>
  <mergeCells count="1">
    <mergeCell ref="B46:I4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01FC7ADD27A134B92D0C21C975B5030" ma:contentTypeVersion="8" ma:contentTypeDescription="Create a new document." ma:contentTypeScope="" ma:versionID="29b2d8f5016614ee7db90ae61d94d5a1">
  <xsd:schema xmlns:xsd="http://www.w3.org/2001/XMLSchema" xmlns:xs="http://www.w3.org/2001/XMLSchema" xmlns:p="http://schemas.microsoft.com/office/2006/metadata/properties" xmlns:ns2="89c7a8c3-a03a-420b-ac21-90cd38a91df7" targetNamespace="http://schemas.microsoft.com/office/2006/metadata/properties" ma:root="true" ma:fieldsID="230fff80464bdb34158622049499dd70" ns2:_="">
    <xsd:import namespace="89c7a8c3-a03a-420b-ac21-90cd38a91d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c7a8c3-a03a-420b-ac21-90cd38a91df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83FA78-7175-1D42-92B8-869C4BE924B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FCAB25D-15AD-4AD3-9FDB-9B081155D1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B44267-0D28-4490-9BE7-D22E4C772C1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c7a8c3-a03a-420b-ac21-90cd38a91d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02E2142C-8CED-426D-9AD4-4C56E032C8FD}">
  <ds:schemaRefs>
    <ds:schemaRef ds:uri="http://purl.org/dc/elements/1.1/"/>
    <ds:schemaRef ds:uri="http://schemas.microsoft.com/office/2006/documentManagement/types"/>
    <ds:schemaRef ds:uri="http://purl.org/dc/dcmitype/"/>
    <ds:schemaRef ds:uri="http://purl.org/dc/terms/"/>
    <ds:schemaRef ds:uri="http://schemas.openxmlformats.org/package/2006/metadata/core-properties"/>
    <ds:schemaRef ds:uri="89c7a8c3-a03a-420b-ac21-90cd38a91df7"/>
    <ds:schemaRef ds:uri="http://www.w3.org/XML/1998/namespace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3</vt:i4>
      </vt:variant>
    </vt:vector>
  </HeadingPairs>
  <TitlesOfParts>
    <vt:vector size="3" baseType="lpstr">
      <vt:lpstr>Simple Itemsets</vt:lpstr>
      <vt:lpstr>Cosmetic</vt:lpstr>
      <vt:lpstr>EX HW L13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KRISSANA PIPUTPRUEDTIGUL</cp:lastModifiedBy>
  <dcterms:created xsi:type="dcterms:W3CDTF">2023-04-22T13:42:34Z</dcterms:created>
  <dcterms:modified xsi:type="dcterms:W3CDTF">2025-05-06T07:41:59Z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0x010100501FC7ADD27A134B92D0C21C975B5030</vt:lpwstr>
  </property>
</Properties>
</file>