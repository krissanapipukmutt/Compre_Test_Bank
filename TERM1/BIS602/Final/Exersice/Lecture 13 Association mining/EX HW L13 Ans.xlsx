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3 Association mining/"/>
    </mc:Choice>
  </mc:AlternateContent>
  <xr:revisionPtr revIDLastSave="917" documentId="8_{CB839ABD-8374-034F-BD91-C2FC9A035AF4}" xr6:coauthVersionLast="47" xr6:coauthVersionMax="47" xr10:uidLastSave="{9D4EBCA0-EDE4-E945-A498-72053F236296}"/>
  <bookViews>
    <workbookView xWindow="0" yWindow="760" windowWidth="30240" windowHeight="17660" activeTab="3" xr2:uid="{634D9626-0E6E-BF42-881C-C98E447AD22F}"/>
  </bookViews>
  <sheets>
    <sheet name="EX HW L13" sheetId="4" r:id="rId1"/>
    <sheet name="Simple Itemsets" sheetId="7" r:id="rId2"/>
    <sheet name="Cosmetic" sheetId="8" r:id="rId3"/>
    <sheet name="Qoute" sheetId="5" r:id="rId4"/>
  </sheets>
  <definedNames>
    <definedName name="_xlnm._FilterDatabase" localSheetId="3" hidden="1">Qoute!$A$1:$E$129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8" l="1"/>
  <c r="C16" i="8"/>
  <c r="C17" i="8"/>
  <c r="C18" i="8"/>
  <c r="C19" i="8"/>
  <c r="C20" i="8"/>
  <c r="C21" i="8"/>
  <c r="C23" i="8"/>
  <c r="C24" i="8"/>
  <c r="C14" i="8"/>
  <c r="B24" i="8" a="1"/>
  <c r="B24" i="8" s="1"/>
  <c r="B23" i="8" a="1"/>
  <c r="B23" i="8" s="1"/>
  <c r="B21" i="8"/>
  <c r="B20" i="8"/>
  <c r="B19" i="8"/>
  <c r="B18" i="8"/>
  <c r="B17" i="8"/>
  <c r="B16" i="8"/>
  <c r="B15" i="8"/>
  <c r="B14" i="8"/>
  <c r="A49" i="7"/>
  <c r="C43" i="7"/>
  <c r="B43" i="7"/>
  <c r="C59" i="7" s="1"/>
  <c r="A43" i="7"/>
  <c r="F37" i="7"/>
  <c r="E37" i="7"/>
  <c r="D37" i="7"/>
  <c r="C37" i="7"/>
  <c r="B37" i="7"/>
  <c r="A37" i="7"/>
  <c r="C53" i="7" s="1"/>
  <c r="D29" i="7"/>
  <c r="D31" i="7" s="1"/>
  <c r="C29" i="7"/>
  <c r="C31" i="7" s="1"/>
  <c r="B29" i="7"/>
  <c r="B31" i="7" s="1"/>
  <c r="A29" i="7"/>
  <c r="A31" i="7" s="1"/>
  <c r="D18" i="8"/>
  <c r="D60" i="7"/>
  <c r="D32" i="8"/>
  <c r="B38" i="7"/>
  <c r="D19" i="8"/>
  <c r="F54" i="7"/>
  <c r="D14" i="8"/>
  <c r="A44" i="7"/>
  <c r="D30" i="7"/>
  <c r="D23" i="8"/>
  <c r="D32" i="7"/>
  <c r="C57" i="7"/>
  <c r="D20" i="8"/>
  <c r="B32" i="7"/>
  <c r="B44" i="7"/>
  <c r="D26" i="8"/>
  <c r="C30" i="7"/>
  <c r="F38" i="7"/>
  <c r="E57" i="7"/>
  <c r="C38" i="7"/>
  <c r="D38" i="7"/>
  <c r="C60" i="7"/>
  <c r="E23" i="8"/>
  <c r="F60" i="7"/>
  <c r="E60" i="7"/>
  <c r="D54" i="7"/>
  <c r="A50" i="7"/>
  <c r="C54" i="7"/>
  <c r="E54" i="7"/>
  <c r="D15" i="8"/>
  <c r="A32" i="7"/>
  <c r="D31" i="8"/>
  <c r="D29" i="8"/>
  <c r="D24" i="8"/>
  <c r="C44" i="7"/>
  <c r="D21" i="8"/>
  <c r="C32" i="7"/>
  <c r="D57" i="7"/>
  <c r="D16" i="8"/>
  <c r="A30" i="7"/>
  <c r="A38" i="7"/>
  <c r="D27" i="8"/>
  <c r="D17" i="8"/>
  <c r="E38" i="7"/>
  <c r="F57" i="7"/>
  <c r="B30" i="7"/>
  <c r="D53" i="7" l="1"/>
  <c r="F53" i="7" s="1"/>
  <c r="E56" i="7"/>
  <c r="D56" i="7"/>
  <c r="F56" i="7" s="1"/>
  <c r="C56" i="7"/>
  <c r="E53" i="7"/>
  <c r="D59" i="7"/>
  <c r="F59" i="7" s="1"/>
  <c r="C26" i="8"/>
  <c r="C27" i="8" s="1"/>
  <c r="C29" i="8"/>
  <c r="C32" i="8" s="1"/>
  <c r="E59" i="7"/>
  <c r="C31" i="8" l="1"/>
  <c r="Q10" i="5" l="1" a="1"/>
  <c r="Q10" i="5"/>
  <c r="Q11" i="5" a="1"/>
  <c r="Q11" i="5"/>
  <c r="Q12" i="5" a="1"/>
  <c r="Q12" i="5"/>
  <c r="Q13" i="5" a="1"/>
  <c r="Q13" i="5"/>
  <c r="Q14" i="5" a="1"/>
  <c r="Q14" i="5"/>
  <c r="Q15" i="5" a="1"/>
  <c r="Q15" i="5"/>
  <c r="Q16" i="5" a="1"/>
  <c r="Q16" i="5"/>
  <c r="Q17" i="5" a="1"/>
  <c r="Q17" i="5"/>
  <c r="Q18" i="5" a="1"/>
  <c r="Q18" i="5"/>
  <c r="Q19" i="5" a="1"/>
  <c r="Q19" i="5"/>
  <c r="Q20" i="5" a="1"/>
  <c r="Q20" i="5"/>
  <c r="Q21" i="5" a="1"/>
  <c r="Q21" i="5"/>
  <c r="Q22" i="5" a="1"/>
  <c r="Q22" i="5"/>
  <c r="Q23" i="5" a="1"/>
  <c r="Q23" i="5"/>
  <c r="Q24" i="5" a="1"/>
  <c r="Q24" i="5"/>
  <c r="Q25" i="5" a="1"/>
  <c r="Q25" i="5"/>
  <c r="Q26" i="5" a="1"/>
  <c r="Q26" i="5"/>
  <c r="Q27" i="5" a="1"/>
  <c r="Q27" i="5"/>
  <c r="Q28" i="5" a="1"/>
  <c r="Q28" i="5"/>
  <c r="Q29" i="5" a="1"/>
  <c r="Q29" i="5"/>
  <c r="Q30" i="5" a="1"/>
  <c r="Q30" i="5"/>
  <c r="Q31" i="5" a="1"/>
  <c r="Q31" i="5"/>
  <c r="Q32" i="5" a="1"/>
  <c r="Q32" i="5"/>
  <c r="Q9" i="5" a="1"/>
  <c r="Q9" i="5"/>
  <c r="J10" i="5" a="1"/>
  <c r="J10" i="5"/>
  <c r="J11" i="5" a="1"/>
  <c r="J11" i="5"/>
  <c r="J12" i="5" a="1"/>
  <c r="J12" i="5"/>
  <c r="J13" i="5" a="1"/>
  <c r="J13" i="5"/>
  <c r="J14" i="5" a="1"/>
  <c r="J14" i="5"/>
  <c r="J15" i="5" a="1"/>
  <c r="J15" i="5"/>
  <c r="J16" i="5" a="1"/>
  <c r="J16" i="5"/>
  <c r="J17" i="5" a="1"/>
  <c r="J17" i="5"/>
  <c r="J18" i="5" a="1"/>
  <c r="J18" i="5"/>
  <c r="J19" i="5" a="1"/>
  <c r="J19" i="5"/>
  <c r="J20" i="5" a="1"/>
  <c r="J20" i="5"/>
  <c r="J9" i="5" a="1"/>
  <c r="J9" i="5"/>
  <c r="Y10" i="5" a="1"/>
  <c r="Y10" i="5"/>
  <c r="Y11" i="5" a="1"/>
  <c r="Y11" i="5"/>
  <c r="Y12" i="5" a="1"/>
  <c r="Y12" i="5"/>
  <c r="Y13" i="5" a="1"/>
  <c r="Y13" i="5"/>
  <c r="Y14" i="5" a="1"/>
  <c r="Y14" i="5"/>
  <c r="Y15" i="5" a="1"/>
  <c r="Y15" i="5"/>
  <c r="Y16" i="5" a="1"/>
  <c r="Y16" i="5"/>
  <c r="Y17" i="5" a="1"/>
  <c r="Y17" i="5"/>
  <c r="Y18" i="5" a="1"/>
  <c r="Y18" i="5"/>
  <c r="Y19" i="5" a="1"/>
  <c r="Y19" i="5"/>
  <c r="Y20" i="5" a="1"/>
  <c r="Y20" i="5"/>
  <c r="Y21" i="5" a="1"/>
  <c r="Y21" i="5"/>
  <c r="Y22" i="5" a="1"/>
  <c r="Y22" i="5"/>
  <c r="Y23" i="5" a="1"/>
  <c r="Y23" i="5"/>
  <c r="Y24" i="5" a="1"/>
  <c r="Y24" i="5"/>
  <c r="Y25" i="5" a="1"/>
  <c r="Y25" i="5"/>
  <c r="Y26" i="5" a="1"/>
  <c r="Y26" i="5"/>
  <c r="Y27" i="5" a="1"/>
  <c r="Y27" i="5"/>
  <c r="Y28" i="5" a="1"/>
  <c r="Y28" i="5"/>
  <c r="Y29" i="5" a="1"/>
  <c r="Y29" i="5"/>
  <c r="Y30" i="5" a="1"/>
  <c r="Y30" i="5"/>
  <c r="Y31" i="5" a="1"/>
  <c r="Y31" i="5"/>
  <c r="Y32" i="5" a="1"/>
  <c r="Y32" i="5"/>
  <c r="Y33" i="5" a="1"/>
  <c r="Y33" i="5"/>
  <c r="Y34" i="5" a="1"/>
  <c r="Y34" i="5"/>
  <c r="Y35" i="5" a="1"/>
  <c r="Y35" i="5"/>
  <c r="Y36" i="5" a="1"/>
  <c r="Y36" i="5"/>
  <c r="Y37" i="5" a="1"/>
  <c r="Y37" i="5"/>
  <c r="Y38" i="5" a="1"/>
  <c r="Y38" i="5"/>
  <c r="Y39" i="5" a="1"/>
  <c r="Y39" i="5"/>
  <c r="Y40" i="5" a="1"/>
  <c r="Y40" i="5"/>
  <c r="Y41" i="5" a="1"/>
  <c r="Y41" i="5"/>
  <c r="Y42" i="5" a="1"/>
  <c r="Y42" i="5"/>
  <c r="Y43" i="5" a="1"/>
  <c r="Y43" i="5"/>
  <c r="Y44" i="5" a="1"/>
  <c r="Y44" i="5"/>
  <c r="Y45" i="5" a="1"/>
  <c r="Y45" i="5"/>
  <c r="Y46" i="5" a="1"/>
  <c r="Y46" i="5"/>
  <c r="Y47" i="5" a="1"/>
  <c r="Y47" i="5"/>
  <c r="Y48" i="5" a="1"/>
  <c r="Y48" i="5"/>
  <c r="Y49" i="5" a="1"/>
  <c r="Y49" i="5"/>
  <c r="Y50" i="5" a="1"/>
  <c r="Y50" i="5"/>
  <c r="Y51" i="5" a="1"/>
  <c r="Y51" i="5"/>
  <c r="Y52" i="5" a="1"/>
  <c r="Y52" i="5"/>
  <c r="Y53" i="5" a="1"/>
  <c r="Y53" i="5"/>
  <c r="Y54" i="5" a="1"/>
  <c r="Y54" i="5"/>
  <c r="Y55" i="5" a="1"/>
  <c r="Y55" i="5"/>
  <c r="Y56" i="5" a="1"/>
  <c r="Y56" i="5"/>
  <c r="Y57" i="5" a="1"/>
  <c r="Y57" i="5"/>
  <c r="Y58" i="5" a="1"/>
  <c r="Y58" i="5"/>
  <c r="Y59" i="5" a="1"/>
  <c r="Y59" i="5"/>
  <c r="Y60" i="5" a="1"/>
  <c r="Y60" i="5"/>
  <c r="Y61" i="5" a="1"/>
  <c r="Y61" i="5"/>
  <c r="Y62" i="5" a="1"/>
  <c r="Y62" i="5"/>
  <c r="Y63" i="5" a="1"/>
  <c r="Y63" i="5"/>
  <c r="Y64" i="5" a="1"/>
  <c r="Y64" i="5"/>
  <c r="Y65" i="5" a="1"/>
  <c r="Y65" i="5"/>
  <c r="Y66" i="5" a="1"/>
  <c r="Y66" i="5"/>
  <c r="Y67" i="5" a="1"/>
  <c r="Y67" i="5"/>
  <c r="Y68" i="5" a="1"/>
  <c r="Y68" i="5"/>
  <c r="Y69" i="5" a="1"/>
  <c r="Y69" i="5"/>
  <c r="Y70" i="5" a="1"/>
  <c r="Y70" i="5"/>
  <c r="Y71" i="5" a="1"/>
  <c r="Y71" i="5"/>
  <c r="Y72" i="5" a="1"/>
  <c r="Y72" i="5"/>
  <c r="Y73" i="5" a="1"/>
  <c r="Y73" i="5"/>
  <c r="Y74" i="5" a="1"/>
  <c r="Y74" i="5"/>
  <c r="Y75" i="5" a="1"/>
  <c r="Y75" i="5"/>
  <c r="Y76" i="5" a="1"/>
  <c r="Y76" i="5"/>
  <c r="Y77" i="5" a="1"/>
  <c r="Y77" i="5"/>
  <c r="Y78" i="5" a="1"/>
  <c r="Y78" i="5"/>
  <c r="Y79" i="5" a="1"/>
  <c r="Y79" i="5"/>
  <c r="Y80" i="5" a="1"/>
  <c r="Y80" i="5"/>
  <c r="Y81" i="5" a="1"/>
  <c r="Y81" i="5"/>
  <c r="Y82" i="5" a="1"/>
  <c r="Y82" i="5"/>
  <c r="Y83" i="5" a="1"/>
  <c r="Y83" i="5"/>
  <c r="Y84" i="5" a="1"/>
  <c r="Y84" i="5"/>
  <c r="Y85" i="5" a="1"/>
  <c r="Y85" i="5"/>
  <c r="Y86" i="5" a="1"/>
  <c r="Y86" i="5"/>
  <c r="Y87" i="5" a="1"/>
  <c r="Y87" i="5"/>
  <c r="Y88" i="5" a="1"/>
  <c r="Y88" i="5"/>
  <c r="Y89" i="5" a="1"/>
  <c r="Y89" i="5"/>
  <c r="Y90" i="5" a="1"/>
  <c r="Y90" i="5"/>
  <c r="Y91" i="5" a="1"/>
  <c r="Y91" i="5"/>
  <c r="Y92" i="5" a="1"/>
  <c r="Y92" i="5"/>
  <c r="Y93" i="5" a="1"/>
  <c r="Y93" i="5"/>
  <c r="Y94" i="5" a="1"/>
  <c r="Y94" i="5"/>
  <c r="Y95" i="5" a="1"/>
  <c r="Y95" i="5"/>
  <c r="Y96" i="5" a="1"/>
  <c r="Y96" i="5"/>
  <c r="Y97" i="5" a="1"/>
  <c r="Y97" i="5"/>
  <c r="Y98" i="5" a="1"/>
  <c r="Y98" i="5"/>
  <c r="Y99" i="5" a="1"/>
  <c r="Y99" i="5"/>
  <c r="Y100" i="5" a="1"/>
  <c r="Y100" i="5"/>
  <c r="Y101" i="5" a="1"/>
  <c r="Y101" i="5"/>
  <c r="Y102" i="5" a="1"/>
  <c r="Y102" i="5"/>
  <c r="Y103" i="5" a="1"/>
  <c r="Y103" i="5"/>
  <c r="Y104" i="5" a="1"/>
  <c r="Y104" i="5"/>
  <c r="Y105" i="5" a="1"/>
  <c r="Y105" i="5"/>
  <c r="Y106" i="5" a="1"/>
  <c r="Y106" i="5"/>
  <c r="Y107" i="5" a="1"/>
  <c r="Y107" i="5"/>
  <c r="Y108" i="5" a="1"/>
  <c r="Y108" i="5"/>
  <c r="Y109" i="5" a="1"/>
  <c r="Y109" i="5"/>
  <c r="Y110" i="5" a="1"/>
  <c r="Y110" i="5"/>
  <c r="Y111" i="5" a="1"/>
  <c r="Y111" i="5"/>
  <c r="Y112" i="5" a="1"/>
  <c r="Y112" i="5"/>
  <c r="Y113" i="5" a="1"/>
  <c r="Y113" i="5"/>
  <c r="Y114" i="5" a="1"/>
  <c r="Y114" i="5"/>
  <c r="Y115" i="5" a="1"/>
  <c r="Y115" i="5"/>
  <c r="Y116" i="5" a="1"/>
  <c r="Y116" i="5"/>
  <c r="Y117" i="5" a="1"/>
  <c r="Y117" i="5"/>
  <c r="Y118" i="5" a="1"/>
  <c r="Y118" i="5"/>
  <c r="Y119" i="5" a="1"/>
  <c r="Y119" i="5"/>
  <c r="Y120" i="5" a="1"/>
  <c r="Y120" i="5"/>
  <c r="Y121" i="5" a="1"/>
  <c r="Y121" i="5"/>
  <c r="Y122" i="5" a="1"/>
  <c r="Y122" i="5"/>
  <c r="Y123" i="5" a="1"/>
  <c r="Y123" i="5"/>
  <c r="Y124" i="5" a="1"/>
  <c r="Y124" i="5"/>
  <c r="Y125" i="5" a="1"/>
  <c r="Y125" i="5"/>
  <c r="Y126" i="5" a="1"/>
  <c r="Y126" i="5"/>
  <c r="Y127" i="5" a="1"/>
  <c r="Y127" i="5"/>
  <c r="Y128" i="5" a="1"/>
  <c r="Y128" i="5"/>
  <c r="Y9" i="5" a="1"/>
  <c r="Y9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36" i="5"/>
  <c r="R37" i="5"/>
  <c r="R38" i="5"/>
  <c r="R39" i="5"/>
  <c r="R40" i="5"/>
  <c r="R41" i="5"/>
  <c r="S41" i="5" s="1"/>
  <c r="R42" i="5"/>
  <c r="R43" i="5"/>
  <c r="R44" i="5"/>
  <c r="T44" i="5" s="1"/>
  <c r="R45" i="5"/>
  <c r="S45" i="5" s="1"/>
  <c r="R46" i="5"/>
  <c r="R47" i="5"/>
  <c r="S47" i="5" s="1"/>
  <c r="R48" i="5"/>
  <c r="S48" i="5" s="1"/>
  <c r="R49" i="5"/>
  <c r="R50" i="5"/>
  <c r="R51" i="5"/>
  <c r="R52" i="5"/>
  <c r="R53" i="5"/>
  <c r="R54" i="5"/>
  <c r="R55" i="5"/>
  <c r="S55" i="5" s="1"/>
  <c r="R56" i="5"/>
  <c r="S56" i="5" s="1"/>
  <c r="R57" i="5"/>
  <c r="S57" i="5" s="1"/>
  <c r="R58" i="5"/>
  <c r="AB54" i="5" s="1"/>
  <c r="R59" i="5"/>
  <c r="T59" i="5" s="1"/>
  <c r="R60" i="5"/>
  <c r="S60" i="5" s="1"/>
  <c r="R61" i="5"/>
  <c r="R62" i="5"/>
  <c r="R63" i="5"/>
  <c r="S63" i="5" s="1"/>
  <c r="R64" i="5"/>
  <c r="R65" i="5"/>
  <c r="R66" i="5"/>
  <c r="R67" i="5"/>
  <c r="R68" i="5"/>
  <c r="T68" i="5" s="1"/>
  <c r="R69" i="5"/>
  <c r="T69" i="5" s="1"/>
  <c r="R70" i="5"/>
  <c r="S70" i="5" s="1"/>
  <c r="R71" i="5"/>
  <c r="S71" i="5" s="1"/>
  <c r="R72" i="5"/>
  <c r="AA81" i="5" s="1"/>
  <c r="R73" i="5"/>
  <c r="R74" i="5"/>
  <c r="R75" i="5"/>
  <c r="R76" i="5"/>
  <c r="R77" i="5"/>
  <c r="R78" i="5"/>
  <c r="T78" i="5" s="1"/>
  <c r="R79" i="5"/>
  <c r="T79" i="5" s="1"/>
  <c r="R80" i="5"/>
  <c r="S80" i="5" s="1"/>
  <c r="R81" i="5"/>
  <c r="S81" i="5" s="1"/>
  <c r="R82" i="5"/>
  <c r="AA102" i="5" s="1"/>
  <c r="R83" i="5"/>
  <c r="AB103" i="5" s="1"/>
  <c r="R84" i="5"/>
  <c r="S84" i="5" s="1"/>
  <c r="R85" i="5"/>
  <c r="R86" i="5"/>
  <c r="R87" i="5"/>
  <c r="R88" i="5"/>
  <c r="R89" i="5"/>
  <c r="R90" i="5"/>
  <c r="T90" i="5" s="1"/>
  <c r="R91" i="5"/>
  <c r="R92" i="5"/>
  <c r="S92" i="5" s="1"/>
  <c r="R93" i="5"/>
  <c r="S93" i="5" s="1"/>
  <c r="R94" i="5"/>
  <c r="T94" i="5" s="1"/>
  <c r="R95" i="5"/>
  <c r="T95" i="5" s="1"/>
  <c r="R36" i="5"/>
  <c r="AA10" i="5" s="1"/>
  <c r="Q37" i="5" a="1"/>
  <c r="Q37" i="5"/>
  <c r="Q38" i="5" a="1"/>
  <c r="Q38" i="5"/>
  <c r="Q39" i="5" a="1"/>
  <c r="Q39" i="5"/>
  <c r="Q40" i="5" a="1"/>
  <c r="Q40" i="5"/>
  <c r="Q41" i="5" a="1"/>
  <c r="Q41" i="5"/>
  <c r="Q42" i="5" a="1"/>
  <c r="Q42" i="5"/>
  <c r="Q43" i="5" a="1"/>
  <c r="Q43" i="5"/>
  <c r="Q44" i="5" a="1"/>
  <c r="Q44" i="5"/>
  <c r="Q45" i="5" a="1"/>
  <c r="Q45" i="5"/>
  <c r="Q46" i="5" a="1"/>
  <c r="Q46" i="5"/>
  <c r="Q47" i="5" a="1"/>
  <c r="Q47" i="5"/>
  <c r="Q48" i="5" a="1"/>
  <c r="Q48" i="5"/>
  <c r="Q49" i="5" a="1"/>
  <c r="Q49" i="5"/>
  <c r="Q50" i="5" a="1"/>
  <c r="Q50" i="5"/>
  <c r="Q51" i="5" a="1"/>
  <c r="Q51" i="5"/>
  <c r="Q52" i="5" a="1"/>
  <c r="Q52" i="5"/>
  <c r="Q53" i="5" a="1"/>
  <c r="Q53" i="5"/>
  <c r="Q54" i="5" a="1"/>
  <c r="Q54" i="5"/>
  <c r="Q55" i="5" a="1"/>
  <c r="Q55" i="5"/>
  <c r="Q56" i="5" a="1"/>
  <c r="Q56" i="5"/>
  <c r="Q57" i="5" a="1"/>
  <c r="Q57" i="5"/>
  <c r="Q58" i="5" a="1"/>
  <c r="Q58" i="5"/>
  <c r="Q59" i="5" a="1"/>
  <c r="Q59" i="5"/>
  <c r="Q60" i="5" a="1"/>
  <c r="Q60" i="5"/>
  <c r="Q61" i="5" a="1"/>
  <c r="Q61" i="5"/>
  <c r="Q62" i="5" a="1"/>
  <c r="Q62" i="5"/>
  <c r="Q63" i="5" a="1"/>
  <c r="Q63" i="5"/>
  <c r="Q64" i="5" a="1"/>
  <c r="Q64" i="5"/>
  <c r="Q65" i="5" a="1"/>
  <c r="Q65" i="5"/>
  <c r="Q66" i="5" a="1"/>
  <c r="Q66" i="5"/>
  <c r="Q67" i="5" a="1"/>
  <c r="Q67" i="5"/>
  <c r="Q68" i="5" a="1"/>
  <c r="Q68" i="5"/>
  <c r="Q69" i="5" a="1"/>
  <c r="Q69" i="5"/>
  <c r="Q70" i="5" a="1"/>
  <c r="Q70" i="5"/>
  <c r="Q71" i="5" a="1"/>
  <c r="Q71" i="5"/>
  <c r="Q72" i="5" a="1"/>
  <c r="Q72" i="5"/>
  <c r="Q73" i="5" a="1"/>
  <c r="Q73" i="5"/>
  <c r="Q74" i="5" a="1"/>
  <c r="Q74" i="5"/>
  <c r="Q75" i="5" a="1"/>
  <c r="Q75" i="5"/>
  <c r="Q76" i="5" a="1"/>
  <c r="Q76" i="5"/>
  <c r="Q77" i="5" a="1"/>
  <c r="Q77" i="5"/>
  <c r="Q78" i="5" a="1"/>
  <c r="Q78" i="5"/>
  <c r="Q79" i="5" a="1"/>
  <c r="Q79" i="5"/>
  <c r="Q80" i="5" a="1"/>
  <c r="Q80" i="5"/>
  <c r="Q81" i="5" a="1"/>
  <c r="Q81" i="5"/>
  <c r="Q82" i="5" a="1"/>
  <c r="Q82" i="5"/>
  <c r="Q83" i="5" a="1"/>
  <c r="Q83" i="5"/>
  <c r="Q84" i="5" a="1"/>
  <c r="Q84" i="5"/>
  <c r="Q85" i="5" a="1"/>
  <c r="Q85" i="5"/>
  <c r="Q86" i="5" a="1"/>
  <c r="Q86" i="5"/>
  <c r="Q87" i="5" a="1"/>
  <c r="Q87" i="5"/>
  <c r="Q88" i="5" a="1"/>
  <c r="Q88" i="5"/>
  <c r="Q89" i="5" a="1"/>
  <c r="Q89" i="5"/>
  <c r="Q90" i="5" a="1"/>
  <c r="Q90" i="5"/>
  <c r="Q91" i="5" a="1"/>
  <c r="Q91" i="5"/>
  <c r="Q92" i="5" a="1"/>
  <c r="Q92" i="5"/>
  <c r="Q93" i="5" a="1"/>
  <c r="Q93" i="5"/>
  <c r="Q94" i="5" a="1"/>
  <c r="Q94" i="5"/>
  <c r="Q95" i="5" a="1"/>
  <c r="Q95" i="5"/>
  <c r="Q36" i="5" a="1"/>
  <c r="Q36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P21" i="5"/>
  <c r="P22" i="5"/>
  <c r="P23" i="5"/>
  <c r="P24" i="5"/>
  <c r="P25" i="5"/>
  <c r="P26" i="5"/>
  <c r="P27" i="5"/>
  <c r="P28" i="5"/>
  <c r="P29" i="5"/>
  <c r="P30" i="5"/>
  <c r="P31" i="5"/>
  <c r="P32" i="5"/>
  <c r="P11" i="5"/>
  <c r="P12" i="5"/>
  <c r="P13" i="5"/>
  <c r="P14" i="5"/>
  <c r="P15" i="5"/>
  <c r="P16" i="5"/>
  <c r="P17" i="5"/>
  <c r="P18" i="5"/>
  <c r="P19" i="5"/>
  <c r="P20" i="5"/>
  <c r="P10" i="5"/>
  <c r="P9" i="5"/>
  <c r="I19" i="5"/>
  <c r="I20" i="5"/>
  <c r="O32" i="5"/>
  <c r="I18" i="5"/>
  <c r="I16" i="5"/>
  <c r="O24" i="5"/>
  <c r="I17" i="5"/>
  <c r="O26" i="5"/>
  <c r="I15" i="5"/>
  <c r="O22" i="5"/>
  <c r="I13" i="5"/>
  <c r="O18" i="5"/>
  <c r="V58" i="5"/>
  <c r="I14" i="5"/>
  <c r="I12" i="5"/>
  <c r="O16" i="5"/>
  <c r="V44" i="5"/>
  <c r="I10" i="5"/>
  <c r="O12" i="5"/>
  <c r="I11" i="5"/>
  <c r="I9" i="5"/>
  <c r="O10" i="5"/>
  <c r="X3" i="5"/>
  <c r="Y3" i="5"/>
  <c r="AB120" i="5" s="1"/>
  <c r="X2" i="5"/>
  <c r="Y2" i="5"/>
  <c r="T2" i="5"/>
  <c r="U2" i="5"/>
  <c r="T6" i="5"/>
  <c r="U6" i="5"/>
  <c r="T5" i="5"/>
  <c r="U5" i="5"/>
  <c r="T39" i="5" s="1"/>
  <c r="T4" i="5"/>
  <c r="U4" i="5"/>
  <c r="T93" i="5" s="1"/>
  <c r="T3" i="5"/>
  <c r="U3" i="5"/>
  <c r="T37" i="5" s="1"/>
  <c r="P3" i="5"/>
  <c r="Q3" i="5"/>
  <c r="P4" i="5"/>
  <c r="Q4" i="5"/>
  <c r="P2" i="5"/>
  <c r="Q2" i="5"/>
  <c r="J3" i="5"/>
  <c r="K3" i="5"/>
  <c r="M13" i="5" s="1"/>
  <c r="J4" i="5"/>
  <c r="K4" i="5"/>
  <c r="L15" i="5" s="1"/>
  <c r="J5" i="5"/>
  <c r="K5" i="5"/>
  <c r="M20" i="5" s="1"/>
  <c r="J6" i="5"/>
  <c r="K6" i="5"/>
  <c r="J2" i="5"/>
  <c r="K2" i="5"/>
  <c r="R26" i="5"/>
  <c r="S26" i="5" s="1"/>
  <c r="R10" i="5"/>
  <c r="R24" i="5"/>
  <c r="R12" i="5"/>
  <c r="S12" i="5" s="1"/>
  <c r="K14" i="5"/>
  <c r="K11" i="5"/>
  <c r="M11" i="5" s="1"/>
  <c r="K18" i="5"/>
  <c r="S28" i="5" s="1"/>
  <c r="K19" i="5"/>
  <c r="T88" i="5" s="1"/>
  <c r="Z58" i="5"/>
  <c r="R32" i="5"/>
  <c r="V54" i="5"/>
  <c r="Z54" i="5"/>
  <c r="V70" i="5"/>
  <c r="Z70" i="5"/>
  <c r="V75" i="5"/>
  <c r="Z75" i="5"/>
  <c r="AA75" i="5" s="1"/>
  <c r="V72" i="5"/>
  <c r="Z72" i="5"/>
  <c r="AB72" i="5" s="1"/>
  <c r="V82" i="5"/>
  <c r="Z82" i="5"/>
  <c r="V109" i="5"/>
  <c r="Z109" i="5"/>
  <c r="V114" i="5"/>
  <c r="Z114" i="5"/>
  <c r="Z44" i="5"/>
  <c r="V115" i="5"/>
  <c r="Z115" i="5"/>
  <c r="AB115" i="5" s="1"/>
  <c r="V101" i="5"/>
  <c r="Z101" i="5"/>
  <c r="V74" i="5"/>
  <c r="Z74" i="5"/>
  <c r="AB74" i="5" s="1"/>
  <c r="V102" i="5"/>
  <c r="Z102" i="5"/>
  <c r="V117" i="5"/>
  <c r="Z117" i="5"/>
  <c r="V16" i="5"/>
  <c r="Z16" i="5"/>
  <c r="V48" i="5"/>
  <c r="Z48" i="5"/>
  <c r="AA48" i="5" s="1"/>
  <c r="V77" i="5"/>
  <c r="Z77" i="5"/>
  <c r="AA77" i="5" s="1"/>
  <c r="V106" i="5"/>
  <c r="Z106" i="5"/>
  <c r="AB106" i="5" s="1"/>
  <c r="V99" i="5"/>
  <c r="Z99" i="5"/>
  <c r="V104" i="5"/>
  <c r="Z104" i="5"/>
  <c r="V122" i="5"/>
  <c r="Z122" i="5"/>
  <c r="V50" i="5"/>
  <c r="Z50" i="5"/>
  <c r="AA50" i="5" s="1"/>
  <c r="V78" i="5"/>
  <c r="Z78" i="5"/>
  <c r="AB78" i="5" s="1"/>
  <c r="V107" i="5"/>
  <c r="Z107" i="5"/>
  <c r="AB107" i="5" s="1"/>
  <c r="V69" i="5"/>
  <c r="Z69" i="5"/>
  <c r="V85" i="5"/>
  <c r="Z85" i="5"/>
  <c r="V112" i="5"/>
  <c r="Z112" i="5"/>
  <c r="V18" i="5"/>
  <c r="Z18" i="5"/>
  <c r="V83" i="5"/>
  <c r="Z83" i="5"/>
  <c r="AA83" i="5" s="1"/>
  <c r="V91" i="5"/>
  <c r="Z91" i="5"/>
  <c r="AB91" i="5" s="1"/>
  <c r="V123" i="5"/>
  <c r="Z123" i="5"/>
  <c r="V20" i="5"/>
  <c r="Z20" i="5"/>
  <c r="V52" i="5"/>
  <c r="Z52" i="5"/>
  <c r="V76" i="5"/>
  <c r="Z76" i="5"/>
  <c r="AB76" i="5" s="1"/>
  <c r="V84" i="5"/>
  <c r="Z84" i="5"/>
  <c r="AB84" i="5" s="1"/>
  <c r="V92" i="5"/>
  <c r="Z92" i="5"/>
  <c r="AB92" i="5" s="1"/>
  <c r="V100" i="5"/>
  <c r="Z100" i="5"/>
  <c r="V108" i="5"/>
  <c r="Z108" i="5"/>
  <c r="V116" i="5"/>
  <c r="Z116" i="5"/>
  <c r="V124" i="5"/>
  <c r="Z124" i="5"/>
  <c r="AB124" i="5" s="1"/>
  <c r="V24" i="5"/>
  <c r="Z24" i="5"/>
  <c r="AA24" i="5" s="1"/>
  <c r="V40" i="5"/>
  <c r="Z40" i="5"/>
  <c r="AB40" i="5" s="1"/>
  <c r="V56" i="5"/>
  <c r="Z56" i="5"/>
  <c r="V86" i="5"/>
  <c r="Z86" i="5"/>
  <c r="V94" i="5"/>
  <c r="Z94" i="5"/>
  <c r="AA94" i="5" s="1"/>
  <c r="V110" i="5"/>
  <c r="Z110" i="5"/>
  <c r="V118" i="5"/>
  <c r="Z118" i="5"/>
  <c r="AB118" i="5" s="1"/>
  <c r="V126" i="5"/>
  <c r="Z126" i="5"/>
  <c r="AB126" i="5" s="1"/>
  <c r="V10" i="5"/>
  <c r="Z10" i="5"/>
  <c r="V26" i="5"/>
  <c r="Z26" i="5"/>
  <c r="V42" i="5"/>
  <c r="Z42" i="5"/>
  <c r="AB42" i="5" s="1"/>
  <c r="V71" i="5"/>
  <c r="Z71" i="5"/>
  <c r="AA71" i="5" s="1"/>
  <c r="V79" i="5"/>
  <c r="Z79" i="5"/>
  <c r="V87" i="5"/>
  <c r="Z87" i="5"/>
  <c r="AA87" i="5" s="1"/>
  <c r="V95" i="5"/>
  <c r="Z95" i="5"/>
  <c r="V103" i="5"/>
  <c r="Z103" i="5"/>
  <c r="V111" i="5"/>
  <c r="Z111" i="5"/>
  <c r="V119" i="5"/>
  <c r="Z119" i="5"/>
  <c r="AB119" i="5" s="1"/>
  <c r="V127" i="5"/>
  <c r="Z127" i="5"/>
  <c r="V90" i="5"/>
  <c r="Z90" i="5"/>
  <c r="AB90" i="5" s="1"/>
  <c r="V98" i="5"/>
  <c r="Z98" i="5"/>
  <c r="R18" i="5"/>
  <c r="S18" i="5" s="1"/>
  <c r="V12" i="5"/>
  <c r="Z12" i="5"/>
  <c r="V28" i="5"/>
  <c r="Z28" i="5"/>
  <c r="V80" i="5"/>
  <c r="Z80" i="5"/>
  <c r="V88" i="5"/>
  <c r="Z88" i="5"/>
  <c r="AB88" i="5" s="1"/>
  <c r="V96" i="5"/>
  <c r="Z96" i="5"/>
  <c r="V120" i="5"/>
  <c r="Z120" i="5"/>
  <c r="V128" i="5"/>
  <c r="Z128" i="5"/>
  <c r="V22" i="5"/>
  <c r="Z22" i="5"/>
  <c r="V93" i="5"/>
  <c r="Z93" i="5"/>
  <c r="V125" i="5"/>
  <c r="Z125" i="5"/>
  <c r="AB125" i="5" s="1"/>
  <c r="R16" i="5"/>
  <c r="T16" i="5" s="1"/>
  <c r="R22" i="5"/>
  <c r="V14" i="5"/>
  <c r="Z14" i="5"/>
  <c r="V46" i="5"/>
  <c r="Z46" i="5"/>
  <c r="V73" i="5"/>
  <c r="Z73" i="5"/>
  <c r="V81" i="5"/>
  <c r="Z81" i="5"/>
  <c r="V89" i="5"/>
  <c r="Z89" i="5"/>
  <c r="AA89" i="5" s="1"/>
  <c r="V97" i="5"/>
  <c r="Z97" i="5"/>
  <c r="V105" i="5"/>
  <c r="Z105" i="5"/>
  <c r="V113" i="5"/>
  <c r="Z113" i="5"/>
  <c r="V121" i="5"/>
  <c r="Z121" i="5"/>
  <c r="O19" i="5"/>
  <c r="V67" i="5"/>
  <c r="Z67" i="5"/>
  <c r="AB67" i="5" s="1"/>
  <c r="K16" i="5"/>
  <c r="T73" i="5" s="1"/>
  <c r="O13" i="5"/>
  <c r="O27" i="5"/>
  <c r="R27" i="5"/>
  <c r="K15" i="5"/>
  <c r="O14" i="5"/>
  <c r="O20" i="5"/>
  <c r="O28" i="5"/>
  <c r="R28" i="5"/>
  <c r="O9" i="5"/>
  <c r="O21" i="5"/>
  <c r="R21" i="5"/>
  <c r="T21" i="5" s="1"/>
  <c r="O29" i="5"/>
  <c r="R29" i="5"/>
  <c r="T29" i="5" s="1"/>
  <c r="K9" i="5"/>
  <c r="K13" i="5"/>
  <c r="O30" i="5"/>
  <c r="R30" i="5"/>
  <c r="S30" i="5" s="1"/>
  <c r="K20" i="5"/>
  <c r="K12" i="5"/>
  <c r="O15" i="5"/>
  <c r="O23" i="5"/>
  <c r="R23" i="5"/>
  <c r="O31" i="5"/>
  <c r="R31" i="5"/>
  <c r="S31" i="5" s="1"/>
  <c r="R19" i="5"/>
  <c r="T19" i="5" s="1"/>
  <c r="V61" i="5"/>
  <c r="Z61" i="5"/>
  <c r="K10" i="5"/>
  <c r="O11" i="5"/>
  <c r="O17" i="5"/>
  <c r="O25" i="5"/>
  <c r="R25" i="5"/>
  <c r="T25" i="5" s="1"/>
  <c r="V65" i="5"/>
  <c r="Z65" i="5"/>
  <c r="K17" i="5"/>
  <c r="T76" i="5" s="1"/>
  <c r="L68" i="4"/>
  <c r="M68" i="4" s="1" a="1"/>
  <c r="M68" i="4" s="1"/>
  <c r="N68" i="4" s="1"/>
  <c r="L67" i="4"/>
  <c r="M67" i="4" s="1" a="1"/>
  <c r="M67" i="4" s="1"/>
  <c r="N67" i="4" s="1"/>
  <c r="L66" i="4"/>
  <c r="M66" i="4" s="1" a="1"/>
  <c r="M66" i="4" s="1"/>
  <c r="N66" i="4" s="1"/>
  <c r="L64" i="4"/>
  <c r="M64" i="4" s="1" a="1"/>
  <c r="M64" i="4" s="1"/>
  <c r="N64" i="4" s="1"/>
  <c r="L65" i="4"/>
  <c r="M65" i="4" s="1" a="1"/>
  <c r="M65" i="4" s="1"/>
  <c r="N65" i="4" s="1"/>
  <c r="L63" i="4"/>
  <c r="M63" i="4" s="1" a="1"/>
  <c r="M63" i="4" s="1"/>
  <c r="N63" i="4" s="1"/>
  <c r="L60" i="4"/>
  <c r="M60" i="4" s="1" a="1"/>
  <c r="M60" i="4" s="1"/>
  <c r="N60" i="4" s="1"/>
  <c r="L61" i="4"/>
  <c r="M61" i="4" s="1" a="1"/>
  <c r="M61" i="4" s="1"/>
  <c r="N61" i="4" s="1"/>
  <c r="L62" i="4"/>
  <c r="M62" i="4" s="1" a="1"/>
  <c r="M62" i="4" s="1"/>
  <c r="N62" i="4" s="1"/>
  <c r="L59" i="4"/>
  <c r="M59" i="4" s="1" a="1"/>
  <c r="M59" i="4" s="1"/>
  <c r="N59" i="4" s="1"/>
  <c r="L55" i="4"/>
  <c r="M55" i="4" s="1" a="1"/>
  <c r="M55" i="4" s="1"/>
  <c r="N55" i="4" s="1"/>
  <c r="L56" i="4"/>
  <c r="M56" i="4" s="1" a="1"/>
  <c r="M56" i="4" s="1"/>
  <c r="N56" i="4" s="1"/>
  <c r="L57" i="4"/>
  <c r="M57" i="4" s="1" a="1"/>
  <c r="M57" i="4" s="1"/>
  <c r="N57" i="4" s="1"/>
  <c r="L58" i="4"/>
  <c r="M58" i="4" s="1" a="1"/>
  <c r="M58" i="4" s="1"/>
  <c r="N58" i="4" s="1"/>
  <c r="L54" i="4"/>
  <c r="M54" i="4" s="1" a="1"/>
  <c r="M54" i="4" s="1"/>
  <c r="N54" i="4" s="1"/>
  <c r="L49" i="4"/>
  <c r="M49" i="4" s="1" a="1"/>
  <c r="M49" i="4" s="1"/>
  <c r="N49" i="4" s="1"/>
  <c r="L50" i="4"/>
  <c r="M50" i="4" s="1" a="1"/>
  <c r="M50" i="4" s="1"/>
  <c r="N50" i="4" s="1"/>
  <c r="L51" i="4"/>
  <c r="M51" i="4" s="1" a="1"/>
  <c r="M51" i="4" s="1"/>
  <c r="N51" i="4" s="1"/>
  <c r="L52" i="4"/>
  <c r="M52" i="4" s="1" a="1"/>
  <c r="M52" i="4" s="1"/>
  <c r="N52" i="4" s="1"/>
  <c r="L53" i="4"/>
  <c r="M53" i="4" s="1" a="1"/>
  <c r="M53" i="4" s="1"/>
  <c r="N53" i="4" s="1"/>
  <c r="L48" i="4"/>
  <c r="M48" i="4" s="1" a="1"/>
  <c r="M48" i="4" s="1"/>
  <c r="N48" i="4" s="1"/>
  <c r="L42" i="4"/>
  <c r="M42" i="4" s="1" a="1"/>
  <c r="M42" i="4" s="1"/>
  <c r="N42" i="4" s="1"/>
  <c r="L43" i="4"/>
  <c r="M43" i="4" s="1" a="1"/>
  <c r="M43" i="4" s="1"/>
  <c r="N43" i="4" s="1"/>
  <c r="L44" i="4"/>
  <c r="M44" i="4" s="1" a="1"/>
  <c r="M44" i="4" s="1"/>
  <c r="N44" i="4" s="1"/>
  <c r="L45" i="4"/>
  <c r="M45" i="4" s="1" a="1"/>
  <c r="M45" i="4" s="1"/>
  <c r="N45" i="4" s="1"/>
  <c r="L46" i="4"/>
  <c r="M46" i="4" s="1" a="1"/>
  <c r="M46" i="4" s="1"/>
  <c r="N46" i="4" s="1"/>
  <c r="L47" i="4"/>
  <c r="M47" i="4" s="1" a="1"/>
  <c r="M47" i="4" s="1"/>
  <c r="N47" i="4" s="1"/>
  <c r="L41" i="4"/>
  <c r="M41" i="4" s="1" a="1"/>
  <c r="M41" i="4" s="1"/>
  <c r="N41" i="4" s="1"/>
  <c r="L34" i="4"/>
  <c r="M34" i="4" s="1" a="1"/>
  <c r="M34" i="4" s="1"/>
  <c r="N34" i="4" s="1"/>
  <c r="L35" i="4"/>
  <c r="M35" i="4" s="1" a="1"/>
  <c r="M35" i="4" s="1"/>
  <c r="N35" i="4" s="1"/>
  <c r="L36" i="4"/>
  <c r="M36" i="4" s="1" a="1"/>
  <c r="M36" i="4" s="1"/>
  <c r="N36" i="4" s="1"/>
  <c r="L37" i="4"/>
  <c r="M37" i="4" s="1" a="1"/>
  <c r="M37" i="4" s="1"/>
  <c r="N37" i="4" s="1"/>
  <c r="L38" i="4"/>
  <c r="M38" i="4" s="1" a="1"/>
  <c r="M38" i="4" s="1"/>
  <c r="N38" i="4" s="1"/>
  <c r="L39" i="4"/>
  <c r="M39" i="4" s="1" a="1"/>
  <c r="M39" i="4" s="1"/>
  <c r="N39" i="4" s="1"/>
  <c r="L40" i="4"/>
  <c r="M40" i="4" s="1" a="1"/>
  <c r="M40" i="4" s="1"/>
  <c r="N40" i="4" s="1"/>
  <c r="L33" i="4"/>
  <c r="M33" i="4" s="1" a="1"/>
  <c r="M33" i="4" s="1"/>
  <c r="N33" i="4" s="1"/>
  <c r="L32" i="4"/>
  <c r="M32" i="4" s="1" a="1"/>
  <c r="M32" i="4" s="1"/>
  <c r="N32" i="4" s="1"/>
  <c r="L25" i="4"/>
  <c r="M25" i="4" s="1" a="1"/>
  <c r="M25" i="4" s="1"/>
  <c r="N25" i="4" s="1"/>
  <c r="L26" i="4"/>
  <c r="M26" i="4" s="1" a="1"/>
  <c r="M26" i="4" s="1"/>
  <c r="N26" i="4" s="1"/>
  <c r="L27" i="4"/>
  <c r="M27" i="4" s="1" a="1"/>
  <c r="M27" i="4" s="1"/>
  <c r="N27" i="4" s="1"/>
  <c r="L28" i="4"/>
  <c r="M28" i="4" s="1" a="1"/>
  <c r="M28" i="4" s="1"/>
  <c r="N28" i="4" s="1"/>
  <c r="L29" i="4"/>
  <c r="M29" i="4" s="1" a="1"/>
  <c r="M29" i="4" s="1"/>
  <c r="N29" i="4" s="1"/>
  <c r="L30" i="4"/>
  <c r="M30" i="4" s="1" a="1"/>
  <c r="M30" i="4" s="1"/>
  <c r="N30" i="4" s="1"/>
  <c r="L31" i="4"/>
  <c r="M31" i="4" s="1" a="1"/>
  <c r="M31" i="4" s="1"/>
  <c r="N31" i="4" s="1"/>
  <c r="L24" i="4"/>
  <c r="M24" i="4" s="1" a="1"/>
  <c r="M24" i="4" s="1"/>
  <c r="L15" i="4"/>
  <c r="M15" i="4" s="1" a="1"/>
  <c r="M15" i="4" s="1"/>
  <c r="N15" i="4" s="1"/>
  <c r="L16" i="4"/>
  <c r="M16" i="4" s="1" a="1"/>
  <c r="M16" i="4" s="1"/>
  <c r="N16" i="4" s="1"/>
  <c r="L17" i="4"/>
  <c r="M17" i="4" s="1" a="1"/>
  <c r="M17" i="4" s="1"/>
  <c r="N17" i="4" s="1"/>
  <c r="L18" i="4"/>
  <c r="M18" i="4" s="1" a="1"/>
  <c r="M18" i="4" s="1"/>
  <c r="N18" i="4" s="1"/>
  <c r="L19" i="4"/>
  <c r="M19" i="4" s="1" a="1"/>
  <c r="M19" i="4" s="1"/>
  <c r="N19" i="4" s="1"/>
  <c r="L20" i="4"/>
  <c r="M20" i="4" s="1" a="1"/>
  <c r="M20" i="4" s="1"/>
  <c r="N20" i="4" s="1"/>
  <c r="L21" i="4"/>
  <c r="M21" i="4" s="1" a="1"/>
  <c r="M21" i="4" s="1"/>
  <c r="N21" i="4" s="1"/>
  <c r="L22" i="4"/>
  <c r="M22" i="4" s="1" a="1"/>
  <c r="M22" i="4" s="1"/>
  <c r="N22" i="4" s="1"/>
  <c r="L23" i="4"/>
  <c r="M23" i="4" s="1" a="1"/>
  <c r="M23" i="4" s="1"/>
  <c r="N23" i="4" s="1"/>
  <c r="L14" i="4"/>
  <c r="M14" i="4" s="1" a="1"/>
  <c r="M14" i="4" s="1"/>
  <c r="N14" i="4" s="1"/>
  <c r="M3" i="4"/>
  <c r="N3" i="4" s="1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2" i="4"/>
  <c r="N2" i="4" s="1"/>
  <c r="T56" i="5"/>
  <c r="S58" i="5"/>
  <c r="T58" i="5"/>
  <c r="S59" i="5"/>
  <c r="T65" i="5"/>
  <c r="S61" i="5"/>
  <c r="T61" i="5"/>
  <c r="S62" i="5"/>
  <c r="T62" i="5"/>
  <c r="S78" i="5"/>
  <c r="S25" i="5"/>
  <c r="T41" i="5"/>
  <c r="S42" i="5"/>
  <c r="S43" i="5"/>
  <c r="T43" i="5"/>
  <c r="S44" i="5"/>
  <c r="S53" i="5"/>
  <c r="S51" i="5"/>
  <c r="T51" i="5"/>
  <c r="S52" i="5"/>
  <c r="T53" i="5"/>
  <c r="S54" i="5"/>
  <c r="T54" i="5"/>
  <c r="S29" i="5"/>
  <c r="S73" i="5"/>
  <c r="S24" i="5"/>
  <c r="S91" i="5"/>
  <c r="T91" i="5"/>
  <c r="S32" i="5"/>
  <c r="M14" i="5"/>
  <c r="T83" i="5"/>
  <c r="S66" i="5"/>
  <c r="T66" i="5"/>
  <c r="S67" i="5"/>
  <c r="S22" i="5"/>
  <c r="S68" i="5"/>
  <c r="T40" i="5"/>
  <c r="S40" i="5"/>
  <c r="S10" i="5"/>
  <c r="S37" i="5"/>
  <c r="S38" i="5"/>
  <c r="S39" i="5"/>
  <c r="AA65" i="5"/>
  <c r="AB65" i="5"/>
  <c r="AA100" i="5"/>
  <c r="AA72" i="5"/>
  <c r="AA67" i="5"/>
  <c r="AA86" i="5"/>
  <c r="AA14" i="5"/>
  <c r="AA96" i="5"/>
  <c r="AA127" i="5"/>
  <c r="AB127" i="5"/>
  <c r="AA42" i="5"/>
  <c r="AA112" i="5"/>
  <c r="AA99" i="5"/>
  <c r="AB99" i="5"/>
  <c r="AA101" i="5"/>
  <c r="AB101" i="5"/>
  <c r="AB94" i="5"/>
  <c r="AA46" i="5"/>
  <c r="AA113" i="5"/>
  <c r="AB113" i="5"/>
  <c r="AA88" i="5"/>
  <c r="AA119" i="5"/>
  <c r="AA26" i="5"/>
  <c r="AA85" i="5"/>
  <c r="AB85" i="5"/>
  <c r="AA115" i="5"/>
  <c r="AA111" i="5"/>
  <c r="AB111" i="5"/>
  <c r="AB24" i="5"/>
  <c r="AA52" i="5"/>
  <c r="AA69" i="5"/>
  <c r="AB69" i="5"/>
  <c r="AA44" i="5"/>
  <c r="AA73" i="5"/>
  <c r="AB73" i="5"/>
  <c r="AA125" i="5"/>
  <c r="AA98" i="5"/>
  <c r="AA97" i="5"/>
  <c r="AB97" i="5"/>
  <c r="AA103" i="5"/>
  <c r="AA114" i="5"/>
  <c r="AA93" i="5"/>
  <c r="AB93" i="5"/>
  <c r="AA12" i="5"/>
  <c r="AA95" i="5"/>
  <c r="AB95" i="5"/>
  <c r="AA116" i="5"/>
  <c r="AA123" i="5"/>
  <c r="AB123" i="5"/>
  <c r="AA16" i="5"/>
  <c r="AA109" i="5"/>
  <c r="AB109" i="5"/>
  <c r="AA70" i="5"/>
  <c r="AA61" i="5"/>
  <c r="AB61" i="5"/>
  <c r="AA28" i="5"/>
  <c r="AA20" i="5"/>
  <c r="AB48" i="5"/>
  <c r="AA22" i="5"/>
  <c r="AB110" i="5"/>
  <c r="AA110" i="5"/>
  <c r="AA108" i="5"/>
  <c r="AA91" i="5"/>
  <c r="AA117" i="5"/>
  <c r="AB117" i="5"/>
  <c r="AB79" i="5"/>
  <c r="AB102" i="5"/>
  <c r="AA120" i="5"/>
  <c r="AA18" i="5"/>
  <c r="AA104" i="5"/>
  <c r="AA74" i="5"/>
  <c r="M9" i="5"/>
  <c r="L9" i="5"/>
  <c r="L17" i="5"/>
  <c r="M17" i="5"/>
  <c r="M16" i="5"/>
  <c r="M10" i="5"/>
  <c r="L10" i="5"/>
  <c r="V63" i="5"/>
  <c r="Z63" i="5"/>
  <c r="AA63" i="5" s="1"/>
  <c r="V59" i="5"/>
  <c r="Z59" i="5"/>
  <c r="AA59" i="5" s="1"/>
  <c r="R20" i="5"/>
  <c r="T20" i="5" s="1"/>
  <c r="V62" i="5"/>
  <c r="Z62" i="5"/>
  <c r="V60" i="5"/>
  <c r="Z60" i="5"/>
  <c r="V64" i="5"/>
  <c r="Z64" i="5"/>
  <c r="V68" i="5"/>
  <c r="Z68" i="5"/>
  <c r="V66" i="5"/>
  <c r="Z66" i="5"/>
  <c r="AB66" i="5" s="1"/>
  <c r="R14" i="5"/>
  <c r="S14" i="5" s="1"/>
  <c r="V30" i="5"/>
  <c r="Z30" i="5"/>
  <c r="V38" i="5"/>
  <c r="Z38" i="5"/>
  <c r="V32" i="5"/>
  <c r="Z32" i="5"/>
  <c r="AA32" i="5" s="1"/>
  <c r="V36" i="5"/>
  <c r="Z36" i="5"/>
  <c r="V34" i="5"/>
  <c r="Z34" i="5"/>
  <c r="AA34" i="5" s="1"/>
  <c r="V51" i="5"/>
  <c r="Z51" i="5"/>
  <c r="AB51" i="5" s="1"/>
  <c r="R17" i="5"/>
  <c r="S17" i="5" s="1"/>
  <c r="T17" i="5"/>
  <c r="V49" i="5"/>
  <c r="Z49" i="5"/>
  <c r="AA49" i="5" s="1"/>
  <c r="V57" i="5"/>
  <c r="Z57" i="5"/>
  <c r="V55" i="5"/>
  <c r="Z55" i="5"/>
  <c r="V53" i="5"/>
  <c r="Z53" i="5"/>
  <c r="AA53" i="5" s="1"/>
  <c r="V47" i="5"/>
  <c r="Z47" i="5"/>
  <c r="V45" i="5"/>
  <c r="Z45" i="5"/>
  <c r="AA45" i="5" s="1"/>
  <c r="V43" i="5"/>
  <c r="Z43" i="5"/>
  <c r="AA43" i="5" s="1"/>
  <c r="V41" i="5"/>
  <c r="Z41" i="5"/>
  <c r="AA41" i="5" s="1"/>
  <c r="R15" i="5"/>
  <c r="S15" i="5" s="1"/>
  <c r="T15" i="5"/>
  <c r="V39" i="5"/>
  <c r="Z39" i="5"/>
  <c r="AB39" i="5" s="1"/>
  <c r="V19" i="5"/>
  <c r="Z19" i="5"/>
  <c r="AB19" i="5" s="1"/>
  <c r="V27" i="5"/>
  <c r="Z27" i="5"/>
  <c r="AA27" i="5" s="1"/>
  <c r="V25" i="5"/>
  <c r="Z25" i="5"/>
  <c r="AB25" i="5" s="1"/>
  <c r="V23" i="5"/>
  <c r="Z23" i="5"/>
  <c r="AA23" i="5" s="1"/>
  <c r="V21" i="5"/>
  <c r="Z21" i="5"/>
  <c r="AA21" i="5" s="1"/>
  <c r="R11" i="5"/>
  <c r="S11" i="5" s="1"/>
  <c r="V17" i="5"/>
  <c r="Z17" i="5"/>
  <c r="AA17" i="5" s="1"/>
  <c r="V15" i="5"/>
  <c r="Z15" i="5"/>
  <c r="AA15" i="5" s="1"/>
  <c r="V13" i="5"/>
  <c r="Z13" i="5"/>
  <c r="AA13" i="5" s="1"/>
  <c r="V11" i="5"/>
  <c r="Z11" i="5"/>
  <c r="AB11" i="5" s="1"/>
  <c r="V9" i="5"/>
  <c r="Z9" i="5"/>
  <c r="R9" i="5"/>
  <c r="T9" i="5" s="1"/>
  <c r="V35" i="5"/>
  <c r="Z35" i="5"/>
  <c r="AA35" i="5" s="1"/>
  <c r="V33" i="5"/>
  <c r="Z33" i="5"/>
  <c r="V31" i="5"/>
  <c r="Z31" i="5"/>
  <c r="R13" i="5"/>
  <c r="V29" i="5"/>
  <c r="Z29" i="5"/>
  <c r="V37" i="5"/>
  <c r="Z37" i="5"/>
  <c r="AA37" i="5" s="1"/>
  <c r="AB13" i="5"/>
  <c r="AA19" i="5"/>
  <c r="AB55" i="5"/>
  <c r="AA57" i="5"/>
  <c r="AB57" i="5"/>
  <c r="AA31" i="5"/>
  <c r="AB31" i="5"/>
  <c r="AA51" i="5"/>
  <c r="AA64" i="5"/>
  <c r="AA25" i="5"/>
  <c r="AA47" i="5"/>
  <c r="AB47" i="5"/>
  <c r="AA11" i="5"/>
  <c r="D37" i="4"/>
  <c r="E44" i="4"/>
  <c r="F44" i="4"/>
  <c r="C44" i="4"/>
  <c r="D31" i="4"/>
  <c r="D30" i="4"/>
  <c r="D44" i="4"/>
  <c r="D32" i="4"/>
  <c r="D36" i="4"/>
  <c r="D34" i="4"/>
  <c r="N24" i="4" l="1"/>
  <c r="F43" i="4"/>
  <c r="T28" i="5"/>
  <c r="S36" i="5"/>
  <c r="T12" i="5"/>
  <c r="T82" i="5"/>
  <c r="S95" i="5"/>
  <c r="T24" i="5"/>
  <c r="S72" i="5"/>
  <c r="S89" i="5"/>
  <c r="T52" i="5"/>
  <c r="S77" i="5"/>
  <c r="T18" i="5"/>
  <c r="L19" i="5"/>
  <c r="L14" i="5"/>
  <c r="AA54" i="5"/>
  <c r="AB100" i="5"/>
  <c r="T42" i="5"/>
  <c r="AB37" i="5"/>
  <c r="AA66" i="5"/>
  <c r="S9" i="5"/>
  <c r="AB89" i="5"/>
  <c r="AB75" i="5"/>
  <c r="AB77" i="5"/>
  <c r="AA80" i="5"/>
  <c r="AA76" i="5"/>
  <c r="AB71" i="5"/>
  <c r="T36" i="5"/>
  <c r="S21" i="5"/>
  <c r="S82" i="5"/>
  <c r="T31" i="5"/>
  <c r="T23" i="5"/>
  <c r="S87" i="5"/>
  <c r="S88" i="5"/>
  <c r="S76" i="5"/>
  <c r="T50" i="5"/>
  <c r="AB44" i="5"/>
  <c r="AB82" i="5"/>
  <c r="AB87" i="5"/>
  <c r="AB41" i="5"/>
  <c r="T14" i="5"/>
  <c r="AB80" i="5"/>
  <c r="AB112" i="5"/>
  <c r="AB14" i="5"/>
  <c r="T81" i="5"/>
  <c r="S94" i="5"/>
  <c r="S23" i="5"/>
  <c r="T86" i="5"/>
  <c r="T87" i="5"/>
  <c r="T26" i="5"/>
  <c r="S65" i="5"/>
  <c r="S50" i="5"/>
  <c r="AB10" i="5"/>
  <c r="AA106" i="5"/>
  <c r="T67" i="5"/>
  <c r="AB108" i="5"/>
  <c r="AB16" i="5"/>
  <c r="S46" i="5"/>
  <c r="AB64" i="5"/>
  <c r="AA128" i="5"/>
  <c r="AB105" i="5"/>
  <c r="AA40" i="5"/>
  <c r="AA84" i="5"/>
  <c r="AB121" i="5"/>
  <c r="T38" i="5"/>
  <c r="T70" i="5"/>
  <c r="T22" i="5"/>
  <c r="S85" i="5"/>
  <c r="T75" i="5"/>
  <c r="S86" i="5"/>
  <c r="M19" i="5"/>
  <c r="T80" i="5"/>
  <c r="T64" i="5"/>
  <c r="T49" i="5"/>
  <c r="AB104" i="5"/>
  <c r="T89" i="5"/>
  <c r="AA55" i="5"/>
  <c r="T71" i="5"/>
  <c r="AB34" i="5"/>
  <c r="AB128" i="5"/>
  <c r="AB116" i="5"/>
  <c r="AB114" i="5"/>
  <c r="AA107" i="5"/>
  <c r="AA105" i="5"/>
  <c r="AB46" i="5"/>
  <c r="AA121" i="5"/>
  <c r="S69" i="5"/>
  <c r="S75" i="5"/>
  <c r="T30" i="5"/>
  <c r="L11" i="5"/>
  <c r="T55" i="5"/>
  <c r="S19" i="5"/>
  <c r="S49" i="5"/>
  <c r="L18" i="5"/>
  <c r="AA79" i="5"/>
  <c r="AB20" i="5"/>
  <c r="AB12" i="5"/>
  <c r="T32" i="5"/>
  <c r="T72" i="5"/>
  <c r="AA39" i="5"/>
  <c r="AB68" i="5"/>
  <c r="AB18" i="5"/>
  <c r="AA78" i="5"/>
  <c r="AA9" i="5"/>
  <c r="AB28" i="5"/>
  <c r="T27" i="5"/>
  <c r="L20" i="5"/>
  <c r="M15" i="5"/>
  <c r="AA92" i="5"/>
  <c r="AA29" i="5"/>
  <c r="AB38" i="5"/>
  <c r="AB32" i="5"/>
  <c r="AA68" i="5"/>
  <c r="AB17" i="5"/>
  <c r="M12" i="5"/>
  <c r="L13" i="5"/>
  <c r="AA90" i="5"/>
  <c r="AB22" i="5"/>
  <c r="AB53" i="5"/>
  <c r="AB50" i="5"/>
  <c r="AB81" i="5"/>
  <c r="AA118" i="5"/>
  <c r="AA124" i="5"/>
  <c r="AA126" i="5"/>
  <c r="AB83" i="5"/>
  <c r="AB26" i="5"/>
  <c r="AA122" i="5"/>
  <c r="AA56" i="5"/>
  <c r="T85" i="5"/>
  <c r="T92" i="5"/>
  <c r="T74" i="5"/>
  <c r="S16" i="5"/>
  <c r="T45" i="5"/>
  <c r="S64" i="5"/>
  <c r="S90" i="5"/>
  <c r="T77" i="5"/>
  <c r="AB36" i="5"/>
  <c r="AB98" i="5"/>
  <c r="AB96" i="5"/>
  <c r="T10" i="5"/>
  <c r="AA82" i="5"/>
  <c r="AB60" i="5"/>
  <c r="L12" i="5"/>
  <c r="AB58" i="5"/>
  <c r="AB43" i="5"/>
  <c r="AB59" i="5"/>
  <c r="AA58" i="5"/>
  <c r="AB70" i="5"/>
  <c r="AB52" i="5"/>
  <c r="AB122" i="5"/>
  <c r="AB56" i="5"/>
  <c r="AB86" i="5"/>
  <c r="T84" i="5"/>
  <c r="S27" i="5"/>
  <c r="S74" i="5"/>
  <c r="S79" i="5"/>
  <c r="T63" i="5"/>
  <c r="S83" i="5"/>
  <c r="T11" i="5"/>
  <c r="T13" i="5"/>
  <c r="AB30" i="5"/>
  <c r="AB62" i="5"/>
  <c r="AB35" i="5"/>
  <c r="AA33" i="5"/>
  <c r="S20" i="5"/>
  <c r="L16" i="5"/>
  <c r="M18" i="5"/>
  <c r="S13" i="5"/>
  <c r="AB27" i="5"/>
  <c r="AA30" i="5"/>
  <c r="T57" i="5"/>
  <c r="T48" i="5"/>
  <c r="AB21" i="5"/>
  <c r="T47" i="5"/>
  <c r="AB29" i="5"/>
  <c r="AB9" i="5"/>
  <c r="AA60" i="5"/>
  <c r="AB45" i="5"/>
  <c r="AA62" i="5"/>
  <c r="AA36" i="5"/>
  <c r="AB23" i="5"/>
  <c r="AB49" i="5"/>
  <c r="AB63" i="5"/>
  <c r="AA38" i="5"/>
  <c r="T60" i="5"/>
  <c r="T46" i="5"/>
  <c r="AB33" i="5"/>
  <c r="AB15" i="5"/>
  <c r="C43" i="4" l="1"/>
  <c r="C31" i="4"/>
  <c r="E43" i="4" s="1"/>
  <c r="C30" i="4"/>
  <c r="C34" i="4"/>
  <c r="C37" i="4" s="1"/>
  <c r="D43" i="4" l="1"/>
  <c r="C32" i="4"/>
  <c r="C3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คิวรี - EX HW L13" description="การเชื่อมต่อกับแบบสอบถาม 'EX HW L13' ในสมุดงาน" type="5" refreshedVersion="0" background="1" saveData="1">
    <dbPr connection="Provider=Microsoft.Mashup.OleDb.1;Data Source=$Workbook$;Location=&quot;EX HW L13&quot;;Extended Properties=&quot;&quot;" command="SELECT * FROM [EX HW L1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<sst xmlns="http://schemas.openxmlformats.org/spreadsheetml/2006/main" count="1057" uniqueCount="137">
  <si>
    <t>Transaction</t>
  </si>
  <si>
    <t>Items</t>
  </si>
  <si>
    <t>1 Item</t>
  </si>
  <si>
    <t>Frequency
COUNTIF($B$2:$J$26,L2)</t>
  </si>
  <si>
    <t>Support
M2/MAX(A:A)</t>
  </si>
  <si>
    <t>a</t>
  </si>
  <si>
    <t>i</t>
  </si>
  <si>
    <t>j</t>
  </si>
  <si>
    <t>k</t>
  </si>
  <si>
    <t>c</t>
  </si>
  <si>
    <t>g</t>
  </si>
  <si>
    <t>b</t>
  </si>
  <si>
    <t>e</t>
  </si>
  <si>
    <t>d</t>
  </si>
  <si>
    <t>f</t>
  </si>
  <si>
    <t>h</t>
  </si>
  <si>
    <t>2 Item</t>
  </si>
  <si>
    <t>Support &gt;= 10</t>
  </si>
  <si>
    <t>Conf(b -&gt; c)</t>
  </si>
  <si>
    <t>support bc / support b</t>
  </si>
  <si>
    <t>Lift(b -&gt; c)</t>
  </si>
  <si>
    <t>support bc / (support b*support c)</t>
  </si>
  <si>
    <t>Conf(b -&gt; c) / support c</t>
  </si>
  <si>
    <t>Conf(c -&gt; b)</t>
  </si>
  <si>
    <t>support bc / support c</t>
  </si>
  <si>
    <t>Conviction(b,c)</t>
  </si>
  <si>
    <t>(1-support c)/(1-Conf(b -&gt; c))</t>
  </si>
  <si>
    <t>Conviction(c,b)</t>
  </si>
  <si>
    <t>(1-support b)/(1-Conf(c -&gt; b))</t>
  </si>
  <si>
    <t>Answer</t>
  </si>
  <si>
    <t>a.Generate association rules with a minimum support of 10 transactions and minimum confidence of 75%. Sort the rules by lift ratio. What is the lift ratio for the top rule?</t>
  </si>
  <si>
    <t>b-&gt;c</t>
  </si>
  <si>
    <t>support(b,c)</t>
  </si>
  <si>
    <t>Confident(b,c)</t>
  </si>
  <si>
    <t>Left(b,c)</t>
  </si>
  <si>
    <t>Frequency</t>
  </si>
  <si>
    <t>b. Interpret the support measures of the top rule.</t>
  </si>
  <si>
    <t>จากรายการซื้อทั้งหมด 25 Transaction พบว่ามีลูกค้าที่ซื้อสินค้า b และ c พร้อมกัน 11 รายการ หรือ Support = 0.44 ของTransactionทั้งหมด
ดังนั้น สินค้าสองตัวนี้มีแนวโน้มที่ลูกค้าจะเลือกซื้อคู่กันค่อนข้างบ่อยเมื่อเทียบกับรายการซื้อสินค้าทั้งหมดที่มีอยู่ในข้อมูลชุดนี้</t>
  </si>
  <si>
    <t>support</t>
  </si>
  <si>
    <t>เปอร์เซนFrequencyจากทั้งหมด</t>
  </si>
  <si>
    <t>confidence</t>
  </si>
  <si>
    <t>ความเชื่อมั่นที่จะเกิด RHS(consequents)ใดๆ ถ้า เกิดLHS(antecedents) ใดๆ มีโอกาสเกิดขึ้นเท่าไร เช่น ถ้าเกิด x y z พร้อมกันกี่%</t>
  </si>
  <si>
    <t>lift</t>
  </si>
  <si>
    <t>ค่าความบังเอิญ</t>
  </si>
  <si>
    <t>=1 ต่างคนต่างเกิด แม้ว่าconfidentสูง ก็เป็นแค่เรื่องบังเอิญ ไม่ได้มีความสัมพันกันโดยตรง</t>
  </si>
  <si>
    <t>&gt;1 มีความสัมพันซึ่งกันและกัน</t>
  </si>
  <si>
    <t>&lt;1 มีแนวโน้มว่าจะไม่เกิดพร้อมกันระหว่า LHS และ RHS หมายความว่าถ้ามีX yจะลดลง</t>
  </si>
  <si>
    <t>conviction</t>
  </si>
  <si>
    <t>ถ้า A เกิดแล้ว B ไม่เกิด” เป็นเรื่อง ผิดปกติมากแค่ไหน 
ยิ่ง conviction สูง → ความเชื่อมั่นในกฎยิ่งมาก
(สลับ LHS-&gt;RHS เป็น RHS-&gt;LHS)</t>
  </si>
  <si>
    <t>ทุกตัวต้องตอบเป็น%</t>
  </si>
  <si>
    <t>Assume Support &gt;= 2/6</t>
  </si>
  <si>
    <t>6 คือ Transaction</t>
  </si>
  <si>
    <t>k=1</t>
  </si>
  <si>
    <t>Frequrncy</t>
  </si>
  <si>
    <t>Support</t>
  </si>
  <si>
    <t>k=2</t>
  </si>
  <si>
    <t>3 Item</t>
  </si>
  <si>
    <t>k=3</t>
  </si>
  <si>
    <t>k=4</t>
  </si>
  <si>
    <t>1-&gt;2</t>
  </si>
  <si>
    <t>support(1,2)</t>
  </si>
  <si>
    <t>Confident(1,2)</t>
  </si>
  <si>
    <t>Left(1,2)</t>
  </si>
  <si>
    <t>2-&gt;3</t>
  </si>
  <si>
    <t>support(2,3)</t>
  </si>
  <si>
    <t>Confident(2,3)</t>
  </si>
  <si>
    <t>Left(2,3)</t>
  </si>
  <si>
    <t>1,2-&gt;4</t>
  </si>
  <si>
    <t>support({1,2},{4})</t>
  </si>
  <si>
    <t>Confident({1,2},{4})</t>
  </si>
  <si>
    <t>Left({1,2},{4})</t>
  </si>
  <si>
    <t>lipstick</t>
  </si>
  <si>
    <t>mascara</t>
  </si>
  <si>
    <t>eye liner</t>
  </si>
  <si>
    <t>eye shadow</t>
  </si>
  <si>
    <t>primer</t>
  </si>
  <si>
    <t>concealer</t>
  </si>
  <si>
    <t>lip gloss</t>
  </si>
  <si>
    <t>face brush</t>
  </si>
  <si>
    <t>Frequent</t>
  </si>
  <si>
    <t>Steps</t>
  </si>
  <si>
    <t>1. List of items</t>
  </si>
  <si>
    <t>2. Countif() and sort all.</t>
  </si>
  <si>
    <t>3. Select the first two items with the most frequency (highest support)</t>
  </si>
  <si>
    <t>4. Calculate the Confidence</t>
  </si>
  <si>
    <t>5. Calculate Lift</t>
  </si>
  <si>
    <t xml:space="preserve"> </t>
  </si>
  <si>
    <t>mascara and eye liner</t>
  </si>
  <si>
    <t>eye liner and primer</t>
  </si>
  <si>
    <t>sample for more support calc.</t>
  </si>
  <si>
    <t>Conf(mascara -&gt; eye liner)</t>
  </si>
  <si>
    <t>Lift</t>
  </si>
  <si>
    <t>Conf(eye liner -&gt; mascara)</t>
  </si>
  <si>
    <t>Conviction(mascara,eye liner)</t>
  </si>
  <si>
    <t>ตัวไหนสูงกว่าแปลว่ามีความสัมพันธ์มากว่า</t>
  </si>
  <si>
    <t>Conviction(eye liner, mascara)</t>
  </si>
  <si>
    <t>P = Support</t>
  </si>
  <si>
    <t>Transection</t>
  </si>
  <si>
    <t>New_rental</t>
  </si>
  <si>
    <t>New_Discount</t>
  </si>
  <si>
    <t>RV</t>
  </si>
  <si>
    <t>New_status</t>
  </si>
  <si>
    <t>Rental</t>
  </si>
  <si>
    <t>Discount</t>
  </si>
  <si>
    <t>Status</t>
  </si>
  <si>
    <t>Level 5</t>
  </si>
  <si>
    <t>ไม่ได้ส่วนลด</t>
  </si>
  <si>
    <t>tier 5</t>
  </si>
  <si>
    <t>Not Converted</t>
  </si>
  <si>
    <t>Level 1</t>
  </si>
  <si>
    <t>tier 1</t>
  </si>
  <si>
    <t>Converted</t>
  </si>
  <si>
    <t>tier 4</t>
  </si>
  <si>
    <t>Level 2</t>
  </si>
  <si>
    <t>ส่วนลดน้อย</t>
  </si>
  <si>
    <t>tier 2</t>
  </si>
  <si>
    <t>Level 3</t>
  </si>
  <si>
    <t>ได้ส่วนลดมาก</t>
  </si>
  <si>
    <t>tier 3</t>
  </si>
  <si>
    <t>Level 4</t>
  </si>
  <si>
    <t>Confident</t>
  </si>
  <si>
    <t>2 ITEM</t>
  </si>
  <si>
    <t>3 Item(RV)</t>
  </si>
  <si>
    <t>3 ITEM</t>
  </si>
  <si>
    <t>Level 1 ไม่ได้ส่วนลด</t>
  </si>
  <si>
    <t>Level 1 ส่วนลดน้อย</t>
  </si>
  <si>
    <t>Level 1 ได้ส่วนลดมาก</t>
  </si>
  <si>
    <t>Level 2 ไม่ได้ส่วนลด</t>
  </si>
  <si>
    <t>Level 2 ส่วนลดน้อย</t>
  </si>
  <si>
    <t>Level 2 ได้ส่วนลดมาก</t>
  </si>
  <si>
    <t>Level 3 ไม่ได้ส่วนลด</t>
  </si>
  <si>
    <t>Level 3 ส่วนลดน้อย</t>
  </si>
  <si>
    <t>Level 3 ได้ส่วนลดมาก</t>
  </si>
  <si>
    <t>Level 4 ไม่ได้ส่วนลด</t>
  </si>
  <si>
    <t>Level 4 ส่วนลดน้อย</t>
  </si>
  <si>
    <t>Level 4 ได้ส่วนลดมาก</t>
  </si>
  <si>
    <t>Lift(mascara -&gt; eye liner)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</si>
</sst>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"/>
    <numFmt numFmtId="188" formatCode="0.000000"/>
  </numFmts>
  <fonts count="16" x14ac:knownFonts="1">
    <font>
      <sz val="12"/>
      <color theme="1"/>
      <name val="Tahoma"/>
      <family val="2"/>
      <scheme val="minor"/>
    </font>
    <font>
      <sz val="12"/>
      <color rgb="FF00B0F0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rgb="FF000000"/>
      <name val="Helvetica Neue"/>
      <family val="2"/>
    </font>
    <font>
      <sz val="12"/>
      <color theme="1"/>
      <name val="Cordia New"/>
      <family val="2"/>
    </font>
    <font>
      <sz val="8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2"/>
      <color theme="0"/>
      <name val="Tahoma"/>
      <family val="2"/>
      <scheme val="minor"/>
    </font>
    <font>
      <sz val="12"/>
      <color rgb="FFFF0000"/>
      <name val="Tahoma"/>
      <family val="2"/>
      <scheme val="minor"/>
    </font>
    <font>
      <sz val="9"/>
      <color theme="1"/>
      <name val="Tahoma"/>
      <family val="2"/>
      <scheme val="minor"/>
    </font>
    <font>
      <sz val="20"/>
      <color theme="1"/>
      <name val="Cordia New"/>
      <family val="2"/>
    </font>
    <font>
      <b/>
      <sz val="9"/>
      <color theme="1"/>
      <name val="Tahoma"/>
      <family val="2"/>
      <scheme val="minor"/>
    </font>
    <font>
      <b/>
      <sz val="10"/>
      <color rgb="FF000000"/>
      <name val="Tahoma"/>
      <family val="2"/>
      <scheme val="minor"/>
    </font>
    <font>
      <b/>
      <sz val="10"/>
      <color theme="1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187" fontId="4" fillId="0" borderId="0" xfId="0" applyNumberFormat="1" applyFont="1"/>
    <xf numFmtId="0" fontId="5" fillId="0" borderId="0" xfId="0" applyFont="1" applyAlignment="1">
      <alignment vertical="center"/>
    </xf>
    <xf numFmtId="2" fontId="4" fillId="0" borderId="0" xfId="0" applyNumberFormat="1" applyFont="1"/>
    <xf numFmtId="188" fontId="0" fillId="0" borderId="0" xfId="0" applyNumberFormat="1"/>
    <xf numFmtId="0" fontId="7" fillId="0" borderId="0" xfId="0" applyFont="1"/>
    <xf numFmtId="2" fontId="0" fillId="0" borderId="0" xfId="0" applyNumberFormat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7" xfId="0" applyBorder="1"/>
    <xf numFmtId="0" fontId="0" fillId="2" borderId="7" xfId="0" applyFill="1" applyBorder="1"/>
    <xf numFmtId="0" fontId="4" fillId="0" borderId="7" xfId="0" applyFont="1" applyBorder="1"/>
    <xf numFmtId="0" fontId="2" fillId="0" borderId="7" xfId="0" applyFont="1" applyBorder="1"/>
    <xf numFmtId="0" fontId="8" fillId="0" borderId="7" xfId="0" applyFont="1" applyBorder="1" applyAlignment="1">
      <alignment horizontal="center" vertical="center" wrapText="1"/>
    </xf>
    <xf numFmtId="187" fontId="4" fillId="0" borderId="7" xfId="0" applyNumberFormat="1" applyFont="1" applyBorder="1"/>
    <xf numFmtId="0" fontId="0" fillId="3" borderId="7" xfId="0" applyFill="1" applyBorder="1"/>
    <xf numFmtId="0" fontId="1" fillId="3" borderId="7" xfId="0" applyFont="1" applyFill="1" applyBorder="1"/>
    <xf numFmtId="0" fontId="1" fillId="0" borderId="7" xfId="0" applyFont="1" applyBorder="1"/>
    <xf numFmtId="0" fontId="2" fillId="4" borderId="7" xfId="0" applyFont="1" applyFill="1" applyBorder="1"/>
    <xf numFmtId="0" fontId="5" fillId="0" borderId="7" xfId="0" applyFont="1" applyBorder="1" applyAlignment="1">
      <alignment vertical="center"/>
    </xf>
    <xf numFmtId="0" fontId="3" fillId="0" borderId="7" xfId="0" applyFont="1" applyBorder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" fillId="0" borderId="0" xfId="0" applyFont="1"/>
    <xf numFmtId="0" fontId="10" fillId="7" borderId="0" xfId="0" applyFont="1" applyFill="1"/>
    <xf numFmtId="0" fontId="8" fillId="0" borderId="0" xfId="0" applyFont="1"/>
    <xf numFmtId="0" fontId="11" fillId="0" borderId="0" xfId="0" applyFont="1"/>
    <xf numFmtId="0" fontId="9" fillId="6" borderId="7" xfId="0" applyFont="1" applyFill="1" applyBorder="1"/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7" xfId="0" quotePrefix="1" applyBorder="1"/>
    <xf numFmtId="0" fontId="12" fillId="0" borderId="0" xfId="0" applyFont="1" applyAlignment="1">
      <alignment vertical="center"/>
    </xf>
    <xf numFmtId="0" fontId="0" fillId="0" borderId="8" xfId="0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7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187" fontId="4" fillId="0" borderId="7" xfId="0" applyNumberFormat="1" applyFont="1" applyBorder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14166</xdr:colOff>
      <xdr:row>34</xdr:row>
      <xdr:rowOff>134306</xdr:rowOff>
    </xdr:from>
    <xdr:to>
      <xdr:col>9</xdr:col>
      <xdr:colOff>417502</xdr:colOff>
      <xdr:row>38</xdr:row>
      <xdr:rowOff>25959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815C20-5D7E-814F-A409-7895C5FB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0025" y="6869154"/>
          <a:ext cx="3482123" cy="661350"/>
        </a:xfrm>
        <a:prstGeom prst="rect">
          <a:avLst/>
        </a:prstGeom>
      </xdr:spPr>
    </xdr:pic>
    <xdr:clientData/>
  </xdr:twoCellAnchor>
  <xdr:twoCellAnchor>
    <xdr:from>
      <xdr:col>0</xdr:col>
      <xdr:colOff>817217</xdr:colOff>
      <xdr:row>50</xdr:row>
      <xdr:rowOff>33130</xdr:rowOff>
    </xdr:from>
    <xdr:to>
      <xdr:col>9</xdr:col>
      <xdr:colOff>309217</xdr:colOff>
      <xdr:row>58</xdr:row>
      <xdr:rowOff>77305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FACC0C63-A442-811C-410B-513105C646D7}"/>
            </a:ext>
          </a:extLst>
        </xdr:cNvPr>
        <xdr:cNvSpPr txBox="1"/>
      </xdr:nvSpPr>
      <xdr:spPr>
        <a:xfrm>
          <a:off x="817217" y="9287565"/>
          <a:ext cx="8680174" cy="15571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for L13 Association rules mining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 the file EX HW L13.csv, consider the accompanying data file consisting of 25 transactions: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Manually computing on Excel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Generate association rules with a minimum support of 10 transactions and minimum confidence of 75%. Sort the rules by lift ratio. What is the lift ratio for the top rule?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 the support measures of the top rule.</a:t>
          </a:r>
        </a:p>
        <a:p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505012</xdr:colOff>
      <xdr:row>17</xdr:row>
      <xdr:rowOff>21590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7DE34-DE38-474A-8A6C-F44F0186C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296400" cy="307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54540</xdr:colOff>
      <xdr:row>63</xdr:row>
      <xdr:rowOff>116871</xdr:rowOff>
    </xdr:from>
    <xdr:to>
      <xdr:col>3</xdr:col>
      <xdr:colOff>724601</xdr:colOff>
      <xdr:row>64</xdr:row>
      <xdr:rowOff>93497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57E2F0D8-2117-4B47-8162-EE86483A60FF}"/>
            </a:ext>
          </a:extLst>
        </xdr:cNvPr>
        <xdr:cNvCxnSpPr/>
      </xdr:nvCxnSpPr>
      <xdr:spPr>
        <a:xfrm>
          <a:off x="9579540" y="6593871"/>
          <a:ext cx="1622561" cy="167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54540</xdr:colOff>
      <xdr:row>63</xdr:row>
      <xdr:rowOff>116871</xdr:rowOff>
    </xdr:from>
    <xdr:to>
      <xdr:col>3</xdr:col>
      <xdr:colOff>724601</xdr:colOff>
      <xdr:row>65</xdr:row>
      <xdr:rowOff>101288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id="{59B4A9F3-2920-B941-B936-8E584F9BDB03}"/>
            </a:ext>
          </a:extLst>
        </xdr:cNvPr>
        <xdr:cNvCxnSpPr/>
      </xdr:nvCxnSpPr>
      <xdr:spPr>
        <a:xfrm>
          <a:off x="9579540" y="6593871"/>
          <a:ext cx="1622561" cy="3654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62331</xdr:colOff>
      <xdr:row>63</xdr:row>
      <xdr:rowOff>116871</xdr:rowOff>
    </xdr:from>
    <xdr:to>
      <xdr:col>3</xdr:col>
      <xdr:colOff>740184</xdr:colOff>
      <xdr:row>66</xdr:row>
      <xdr:rowOff>109080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id="{BEE7D7C0-655C-E64F-956E-30A6823A89F4}"/>
            </a:ext>
          </a:extLst>
        </xdr:cNvPr>
        <xdr:cNvCxnSpPr/>
      </xdr:nvCxnSpPr>
      <xdr:spPr>
        <a:xfrm>
          <a:off x="9587331" y="6593871"/>
          <a:ext cx="1630353" cy="5637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70123</xdr:colOff>
      <xdr:row>64</xdr:row>
      <xdr:rowOff>101288</xdr:rowOff>
    </xdr:from>
    <xdr:to>
      <xdr:col>3</xdr:col>
      <xdr:colOff>732393</xdr:colOff>
      <xdr:row>65</xdr:row>
      <xdr:rowOff>85705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B02E7118-F360-8140-B732-88A65ADE4C7E}"/>
            </a:ext>
          </a:extLst>
        </xdr:cNvPr>
        <xdr:cNvCxnSpPr/>
      </xdr:nvCxnSpPr>
      <xdr:spPr>
        <a:xfrm>
          <a:off x="9595123" y="6768788"/>
          <a:ext cx="1614770" cy="1749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62331</xdr:colOff>
      <xdr:row>64</xdr:row>
      <xdr:rowOff>93497</xdr:rowOff>
    </xdr:from>
    <xdr:to>
      <xdr:col>3</xdr:col>
      <xdr:colOff>740184</xdr:colOff>
      <xdr:row>66</xdr:row>
      <xdr:rowOff>101289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id="{172AC4CD-37B7-224F-8D5D-3711D743BB08}"/>
            </a:ext>
          </a:extLst>
        </xdr:cNvPr>
        <xdr:cNvCxnSpPr/>
      </xdr:nvCxnSpPr>
      <xdr:spPr>
        <a:xfrm>
          <a:off x="9587331" y="6760997"/>
          <a:ext cx="1630353" cy="3887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62331</xdr:colOff>
      <xdr:row>65</xdr:row>
      <xdr:rowOff>85705</xdr:rowOff>
    </xdr:from>
    <xdr:to>
      <xdr:col>3</xdr:col>
      <xdr:colOff>740184</xdr:colOff>
      <xdr:row>66</xdr:row>
      <xdr:rowOff>93497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1ADE92A6-AFE2-5449-951E-0ECA2E322E6E}"/>
            </a:ext>
          </a:extLst>
        </xdr:cNvPr>
        <xdr:cNvCxnSpPr/>
      </xdr:nvCxnSpPr>
      <xdr:spPr>
        <a:xfrm>
          <a:off x="9587331" y="6943705"/>
          <a:ext cx="1630353" cy="1982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360283</xdr:colOff>
      <xdr:row>33</xdr:row>
      <xdr:rowOff>108087</xdr:rowOff>
    </xdr:from>
    <xdr:to>
      <xdr:col>4</xdr:col>
      <xdr:colOff>1107797</xdr:colOff>
      <xdr:row>36</xdr:row>
      <xdr:rowOff>168674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071F3-E74C-F84A-86DB-2A32771CE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5283" y="3346587"/>
          <a:ext cx="3252552" cy="624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FE2E-A4B8-3346-8C5B-FD0B6857D93E}">
  <sheetPr>
    <pageSetUpPr fitToPage="1"/>
  </sheetPr>
  <dimension ref="A1:N73"/>
  <sheetViews>
    <sheetView showGridLines="0" topLeftCell="A56" zoomScale="178" zoomScaleNormal="200" workbookViewId="0">
      <selection activeCell="I78" sqref="I78"/>
    </sheetView>
  </sheetViews>
  <sheetFormatPr baseColWidth="10" defaultColWidth="11.5703125" defaultRowHeight="15" x14ac:dyDescent="0.15"/>
  <cols>
    <col min="1" max="1" width="10" bestFit="1" customWidth="1"/>
    <col min="2" max="2" width="12.42578125" bestFit="1" customWidth="1"/>
    <col min="4" max="4" width="13.5703125" bestFit="1" customWidth="1"/>
    <col min="13" max="13" width="18" bestFit="1" customWidth="1"/>
  </cols>
  <sheetData>
    <row r="1" spans="1:14" ht="30" customHeight="1" x14ac:dyDescent="0.15">
      <c r="A1" s="15" t="s">
        <v>0</v>
      </c>
      <c r="B1" s="16" t="s">
        <v>1</v>
      </c>
      <c r="C1" s="16"/>
      <c r="D1" s="16"/>
      <c r="E1" s="16"/>
      <c r="F1" s="16"/>
      <c r="G1" s="16"/>
      <c r="H1" s="16"/>
      <c r="I1" s="16"/>
      <c r="J1" s="15"/>
      <c r="L1" s="18" t="s">
        <v>2</v>
      </c>
      <c r="M1" s="19" t="s">
        <v>3</v>
      </c>
      <c r="N1" s="19" t="s">
        <v>4</v>
      </c>
    </row>
    <row r="2" spans="1:14" x14ac:dyDescent="0.15">
      <c r="A2" s="17">
        <v>1</v>
      </c>
      <c r="B2" s="17" t="s">
        <v>5</v>
      </c>
      <c r="C2" s="17" t="s">
        <v>6</v>
      </c>
      <c r="D2" s="17" t="s">
        <v>7</v>
      </c>
      <c r="E2" s="17" t="s">
        <v>8</v>
      </c>
      <c r="F2" s="17"/>
      <c r="G2" s="17"/>
      <c r="H2" s="17"/>
      <c r="I2" s="17"/>
      <c r="J2" s="17"/>
      <c r="K2" s="2"/>
      <c r="L2" s="17" t="s">
        <v>5</v>
      </c>
      <c r="M2" s="17">
        <f>COUNTIF($B$2:$J$26,L2)</f>
        <v>13</v>
      </c>
      <c r="N2" s="20">
        <f t="shared" ref="N2:N12" si="0">M2/MAX(A:A)</f>
        <v>0.52</v>
      </c>
    </row>
    <row r="3" spans="1:14" x14ac:dyDescent="0.15">
      <c r="A3" s="17">
        <v>2</v>
      </c>
      <c r="B3" s="17" t="s">
        <v>9</v>
      </c>
      <c r="C3" s="17" t="s">
        <v>10</v>
      </c>
      <c r="D3" s="17" t="s">
        <v>6</v>
      </c>
      <c r="E3" s="17" t="s">
        <v>8</v>
      </c>
      <c r="F3" s="17"/>
      <c r="G3" s="17"/>
      <c r="H3" s="17"/>
      <c r="I3" s="17"/>
      <c r="J3" s="17"/>
      <c r="K3" s="2"/>
      <c r="L3" s="17" t="s">
        <v>11</v>
      </c>
      <c r="M3" s="17">
        <f t="shared" ref="M3:M12" si="1">COUNTIF($B$2:$J$26,L3)</f>
        <v>14</v>
      </c>
      <c r="N3" s="20">
        <f t="shared" si="0"/>
        <v>0.56000000000000005</v>
      </c>
    </row>
    <row r="4" spans="1:14" x14ac:dyDescent="0.15">
      <c r="A4" s="17">
        <v>3</v>
      </c>
      <c r="B4" s="17" t="s">
        <v>5</v>
      </c>
      <c r="C4" s="17" t="s">
        <v>11</v>
      </c>
      <c r="D4" s="17" t="s">
        <v>9</v>
      </c>
      <c r="E4" s="17" t="s">
        <v>12</v>
      </c>
      <c r="F4" s="17" t="s">
        <v>6</v>
      </c>
      <c r="G4" s="17" t="s">
        <v>8</v>
      </c>
      <c r="H4" s="17"/>
      <c r="I4" s="17"/>
      <c r="J4" s="17"/>
      <c r="K4" s="2"/>
      <c r="L4" s="17" t="s">
        <v>9</v>
      </c>
      <c r="M4" s="17">
        <f t="shared" si="1"/>
        <v>16</v>
      </c>
      <c r="N4" s="20">
        <f t="shared" si="0"/>
        <v>0.64</v>
      </c>
    </row>
    <row r="5" spans="1:14" x14ac:dyDescent="0.15">
      <c r="A5" s="17">
        <v>4</v>
      </c>
      <c r="B5" s="17" t="s">
        <v>5</v>
      </c>
      <c r="C5" s="17" t="s">
        <v>11</v>
      </c>
      <c r="D5" s="17" t="s">
        <v>13</v>
      </c>
      <c r="E5" s="17" t="s">
        <v>12</v>
      </c>
      <c r="F5" s="17" t="s">
        <v>14</v>
      </c>
      <c r="G5" s="17" t="s">
        <v>6</v>
      </c>
      <c r="H5" s="17" t="s">
        <v>7</v>
      </c>
      <c r="I5" s="17"/>
      <c r="J5" s="17"/>
      <c r="K5" s="2"/>
      <c r="L5" s="17" t="s">
        <v>13</v>
      </c>
      <c r="M5" s="17">
        <f t="shared" si="1"/>
        <v>7</v>
      </c>
      <c r="N5" s="20">
        <f t="shared" si="0"/>
        <v>0.28000000000000003</v>
      </c>
    </row>
    <row r="6" spans="1:14" x14ac:dyDescent="0.15">
      <c r="A6" s="17">
        <v>5</v>
      </c>
      <c r="B6" s="17" t="s">
        <v>11</v>
      </c>
      <c r="C6" s="17" t="s">
        <v>13</v>
      </c>
      <c r="D6" s="17" t="s">
        <v>10</v>
      </c>
      <c r="E6" s="17"/>
      <c r="F6" s="17"/>
      <c r="G6" s="17"/>
      <c r="H6" s="17"/>
      <c r="I6" s="17"/>
      <c r="J6" s="17"/>
      <c r="K6" s="2"/>
      <c r="L6" s="17" t="s">
        <v>12</v>
      </c>
      <c r="M6" s="17">
        <f t="shared" si="1"/>
        <v>10</v>
      </c>
      <c r="N6" s="20">
        <f t="shared" si="0"/>
        <v>0.4</v>
      </c>
    </row>
    <row r="7" spans="1:14" x14ac:dyDescent="0.15">
      <c r="A7" s="17">
        <v>6</v>
      </c>
      <c r="B7" s="17" t="s">
        <v>11</v>
      </c>
      <c r="C7" s="17" t="s">
        <v>13</v>
      </c>
      <c r="D7" s="17" t="s">
        <v>10</v>
      </c>
      <c r="E7" s="17"/>
      <c r="F7" s="17"/>
      <c r="G7" s="17"/>
      <c r="H7" s="17"/>
      <c r="I7" s="17"/>
      <c r="J7" s="17"/>
      <c r="K7" s="2"/>
      <c r="L7" s="17" t="s">
        <v>14</v>
      </c>
      <c r="M7" s="17">
        <f t="shared" si="1"/>
        <v>10</v>
      </c>
      <c r="N7" s="20">
        <f t="shared" si="0"/>
        <v>0.4</v>
      </c>
    </row>
    <row r="8" spans="1:14" x14ac:dyDescent="0.15">
      <c r="A8" s="17">
        <v>7</v>
      </c>
      <c r="B8" s="17" t="s">
        <v>13</v>
      </c>
      <c r="C8" s="17" t="s">
        <v>10</v>
      </c>
      <c r="D8" s="17"/>
      <c r="E8" s="17"/>
      <c r="F8" s="17"/>
      <c r="G8" s="17"/>
      <c r="H8" s="17"/>
      <c r="I8" s="17"/>
      <c r="J8" s="17"/>
      <c r="K8" s="2"/>
      <c r="L8" s="17" t="s">
        <v>10</v>
      </c>
      <c r="M8" s="17">
        <f t="shared" si="1"/>
        <v>13</v>
      </c>
      <c r="N8" s="20">
        <f t="shared" si="0"/>
        <v>0.52</v>
      </c>
    </row>
    <row r="9" spans="1:14" x14ac:dyDescent="0.15">
      <c r="A9" s="17">
        <v>8</v>
      </c>
      <c r="B9" s="17" t="s">
        <v>5</v>
      </c>
      <c r="C9" s="17" t="s">
        <v>11</v>
      </c>
      <c r="D9" s="17" t="s">
        <v>9</v>
      </c>
      <c r="E9" s="17" t="s">
        <v>12</v>
      </c>
      <c r="F9" s="17" t="s">
        <v>14</v>
      </c>
      <c r="G9" s="17" t="s">
        <v>10</v>
      </c>
      <c r="H9" s="17"/>
      <c r="I9" s="17"/>
      <c r="J9" s="17"/>
      <c r="K9" s="2"/>
      <c r="L9" s="17" t="s">
        <v>15</v>
      </c>
      <c r="M9" s="17">
        <f t="shared" si="1"/>
        <v>4</v>
      </c>
      <c r="N9" s="20">
        <f t="shared" si="0"/>
        <v>0.16</v>
      </c>
    </row>
    <row r="10" spans="1:14" x14ac:dyDescent="0.15">
      <c r="A10" s="17">
        <v>9</v>
      </c>
      <c r="B10" s="17" t="s">
        <v>11</v>
      </c>
      <c r="C10" s="17" t="s">
        <v>9</v>
      </c>
      <c r="D10" s="17" t="s">
        <v>10</v>
      </c>
      <c r="E10" s="17"/>
      <c r="F10" s="17"/>
      <c r="G10" s="17"/>
      <c r="H10" s="17"/>
      <c r="I10" s="17"/>
      <c r="J10" s="17"/>
      <c r="K10" s="2"/>
      <c r="L10" s="17" t="s">
        <v>6</v>
      </c>
      <c r="M10" s="17">
        <f t="shared" si="1"/>
        <v>7</v>
      </c>
      <c r="N10" s="20">
        <f t="shared" si="0"/>
        <v>0.28000000000000003</v>
      </c>
    </row>
    <row r="11" spans="1:14" x14ac:dyDescent="0.15">
      <c r="A11" s="17">
        <v>10</v>
      </c>
      <c r="B11" s="17" t="s">
        <v>5</v>
      </c>
      <c r="C11" s="17" t="s">
        <v>9</v>
      </c>
      <c r="D11" s="17" t="s">
        <v>14</v>
      </c>
      <c r="E11" s="17" t="s">
        <v>7</v>
      </c>
      <c r="F11" s="17" t="s">
        <v>8</v>
      </c>
      <c r="G11" s="17"/>
      <c r="H11" s="17"/>
      <c r="I11" s="17"/>
      <c r="J11" s="17"/>
      <c r="K11" s="2"/>
      <c r="L11" s="17" t="s">
        <v>7</v>
      </c>
      <c r="M11" s="17">
        <f t="shared" si="1"/>
        <v>7</v>
      </c>
      <c r="N11" s="20">
        <f t="shared" si="0"/>
        <v>0.28000000000000003</v>
      </c>
    </row>
    <row r="12" spans="1:14" x14ac:dyDescent="0.15">
      <c r="A12" s="17">
        <v>11</v>
      </c>
      <c r="B12" s="17" t="s">
        <v>11</v>
      </c>
      <c r="C12" s="17" t="s">
        <v>9</v>
      </c>
      <c r="D12" s="17" t="s">
        <v>12</v>
      </c>
      <c r="E12" s="17" t="s">
        <v>14</v>
      </c>
      <c r="F12" s="17"/>
      <c r="G12" s="17"/>
      <c r="H12" s="17"/>
      <c r="I12" s="17"/>
      <c r="J12" s="17"/>
      <c r="K12" s="2"/>
      <c r="L12" s="17" t="s">
        <v>8</v>
      </c>
      <c r="M12" s="17">
        <f t="shared" si="1"/>
        <v>7</v>
      </c>
      <c r="N12" s="20">
        <f t="shared" si="0"/>
        <v>0.28000000000000003</v>
      </c>
    </row>
    <row r="13" spans="1:14" x14ac:dyDescent="0.15">
      <c r="A13" s="17">
        <v>12</v>
      </c>
      <c r="B13" s="17" t="s">
        <v>11</v>
      </c>
      <c r="C13" s="17" t="s">
        <v>9</v>
      </c>
      <c r="D13" s="17" t="s">
        <v>12</v>
      </c>
      <c r="E13" s="17"/>
      <c r="F13" s="17"/>
      <c r="G13" s="17"/>
      <c r="H13" s="17"/>
      <c r="I13" s="17"/>
      <c r="J13" s="17"/>
      <c r="K13" s="2"/>
      <c r="L13" s="18" t="s">
        <v>16</v>
      </c>
      <c r="M13" s="17"/>
      <c r="N13" s="17"/>
    </row>
    <row r="14" spans="1:14" x14ac:dyDescent="0.15">
      <c r="A14" s="17">
        <v>13</v>
      </c>
      <c r="B14" s="17" t="s">
        <v>5</v>
      </c>
      <c r="C14" s="17" t="s">
        <v>13</v>
      </c>
      <c r="D14" s="17" t="s">
        <v>15</v>
      </c>
      <c r="E14" s="17" t="s">
        <v>7</v>
      </c>
      <c r="F14" s="17" t="s">
        <v>8</v>
      </c>
      <c r="G14" s="17"/>
      <c r="H14" s="17"/>
      <c r="I14" s="17"/>
      <c r="J14" s="17"/>
      <c r="K14" s="2"/>
      <c r="L14" s="17" t="str">
        <f>$L$2&amp;L3</f>
        <v>ab</v>
      </c>
      <c r="M14" s="17" cm="1">
        <f t="array" ref="M14">SUM(_xlfn.BYROW(B$2:I$26, _xlfn.LAMBDA(_xlpm.row, IF(COUNTIF(_xlpm.row,MID(L14,1,1))&gt;0, IF(COUNTIF(_xlpm.row,MID(L14,2,1))&gt;0,1,0),0))))</f>
        <v>7</v>
      </c>
      <c r="N14" s="58">
        <f t="shared" ref="N14:N45" si="2">M14/MAX(A:A)</f>
        <v>0.28000000000000003</v>
      </c>
    </row>
    <row r="15" spans="1:14" x14ac:dyDescent="0.15">
      <c r="A15" s="17">
        <v>14</v>
      </c>
      <c r="B15" s="17" t="s">
        <v>5</v>
      </c>
      <c r="C15" s="17" t="s">
        <v>11</v>
      </c>
      <c r="D15" s="17" t="s">
        <v>9</v>
      </c>
      <c r="E15" s="17" t="s">
        <v>10</v>
      </c>
      <c r="F15" s="17"/>
      <c r="G15" s="17"/>
      <c r="H15" s="17"/>
      <c r="I15" s="17"/>
      <c r="J15" s="17"/>
      <c r="K15" s="2"/>
      <c r="L15" s="17" t="str">
        <f t="shared" ref="L15:L23" si="3">$L$2&amp;L4</f>
        <v>ac</v>
      </c>
      <c r="M15" s="17" cm="1">
        <f t="array" ref="M15">SUM(_xlfn.BYROW(B$2:I$26, _xlfn.LAMBDA(_xlpm.row, IF(COUNTIF(_xlpm.row,MID(L15,1,1))&gt;0, IF(COUNTIF(_xlpm.row,MID(L15,2,1))&gt;0,1,0),0))))</f>
        <v>8</v>
      </c>
      <c r="N15" s="58">
        <f t="shared" si="2"/>
        <v>0.32</v>
      </c>
    </row>
    <row r="16" spans="1:14" x14ac:dyDescent="0.15">
      <c r="A16" s="17">
        <v>15</v>
      </c>
      <c r="B16" s="17" t="s">
        <v>5</v>
      </c>
      <c r="C16" s="17" t="s">
        <v>11</v>
      </c>
      <c r="D16" s="17" t="s">
        <v>9</v>
      </c>
      <c r="E16" s="17" t="s">
        <v>6</v>
      </c>
      <c r="F16" s="17"/>
      <c r="G16" s="17"/>
      <c r="H16" s="17"/>
      <c r="I16" s="17"/>
      <c r="J16" s="17"/>
      <c r="K16" s="2"/>
      <c r="L16" s="17" t="str">
        <f t="shared" si="3"/>
        <v>ad</v>
      </c>
      <c r="M16" s="17" cm="1">
        <f t="array" ref="M16">SUM(_xlfn.BYROW(B$2:I$26, _xlfn.LAMBDA(_xlpm.row, IF(COUNTIF(_xlpm.row,MID(L16,1,1))&gt;0, IF(COUNTIF(_xlpm.row,MID(L16,2,1))&gt;0,1,0),0))))</f>
        <v>3</v>
      </c>
      <c r="N16" s="20">
        <f t="shared" si="2"/>
        <v>0.12</v>
      </c>
    </row>
    <row r="17" spans="1:14" x14ac:dyDescent="0.15">
      <c r="A17" s="17">
        <v>16</v>
      </c>
      <c r="B17" s="17" t="s">
        <v>5</v>
      </c>
      <c r="C17" s="17" t="s">
        <v>11</v>
      </c>
      <c r="D17" s="17" t="s">
        <v>9</v>
      </c>
      <c r="E17" s="17" t="s">
        <v>10</v>
      </c>
      <c r="F17" s="17"/>
      <c r="G17" s="17"/>
      <c r="H17" s="17"/>
      <c r="I17" s="17"/>
      <c r="J17" s="17"/>
      <c r="K17" s="2"/>
      <c r="L17" s="17" t="str">
        <f t="shared" si="3"/>
        <v>ae</v>
      </c>
      <c r="M17" s="17" cm="1">
        <f t="array" ref="M17">SUM(_xlfn.BYROW(B$2:I$26, _xlfn.LAMBDA(_xlpm.row, IF(COUNTIF(_xlpm.row,MID(L17,1,1))&gt;0, IF(COUNTIF(_xlpm.row,MID(L17,2,1))&gt;0,1,0),0))))</f>
        <v>6</v>
      </c>
      <c r="N17" s="20">
        <f t="shared" si="2"/>
        <v>0.24</v>
      </c>
    </row>
    <row r="18" spans="1:14" x14ac:dyDescent="0.15">
      <c r="A18" s="17">
        <v>17</v>
      </c>
      <c r="B18" s="17" t="s">
        <v>12</v>
      </c>
      <c r="C18" s="17" t="s">
        <v>14</v>
      </c>
      <c r="D18" s="17" t="s">
        <v>10</v>
      </c>
      <c r="E18" s="17"/>
      <c r="F18" s="17"/>
      <c r="G18" s="17"/>
      <c r="H18" s="17"/>
      <c r="I18" s="17"/>
      <c r="J18" s="17"/>
      <c r="K18" s="2"/>
      <c r="L18" s="17" t="str">
        <f t="shared" si="3"/>
        <v>af</v>
      </c>
      <c r="M18" s="17" cm="1">
        <f t="array" ref="M18">SUM(_xlfn.BYROW(B$2:I$26, _xlfn.LAMBDA(_xlpm.row, IF(COUNTIF(_xlpm.row,MID(L18,1,1))&gt;0, IF(COUNTIF(_xlpm.row,MID(L18,2,1))&gt;0,1,0),0))))</f>
        <v>6</v>
      </c>
      <c r="N18" s="20">
        <f t="shared" si="2"/>
        <v>0.24</v>
      </c>
    </row>
    <row r="19" spans="1:14" x14ac:dyDescent="0.15">
      <c r="A19" s="17">
        <v>18</v>
      </c>
      <c r="B19" s="17" t="s">
        <v>9</v>
      </c>
      <c r="C19" s="17" t="s">
        <v>12</v>
      </c>
      <c r="D19" s="17" t="s">
        <v>14</v>
      </c>
      <c r="E19" s="17" t="s">
        <v>10</v>
      </c>
      <c r="F19" s="17"/>
      <c r="G19" s="17"/>
      <c r="H19" s="17"/>
      <c r="I19" s="17"/>
      <c r="J19" s="17"/>
      <c r="K19" s="2"/>
      <c r="L19" s="17" t="str">
        <f t="shared" si="3"/>
        <v>ag</v>
      </c>
      <c r="M19" s="17" cm="1">
        <f t="array" ref="M19">SUM(_xlfn.BYROW(B$2:I$26, _xlfn.LAMBDA(_xlpm.row, IF(COUNTIF(_xlpm.row,MID(L19,1,1))&gt;0, IF(COUNTIF(_xlpm.row,MID(L19,2,1))&gt;0,1,0),0))))</f>
        <v>5</v>
      </c>
      <c r="N19" s="20">
        <f t="shared" si="2"/>
        <v>0.2</v>
      </c>
    </row>
    <row r="20" spans="1:14" x14ac:dyDescent="0.15">
      <c r="A20" s="17">
        <v>19</v>
      </c>
      <c r="B20" s="17" t="s">
        <v>9</v>
      </c>
      <c r="C20" s="17"/>
      <c r="D20" s="17"/>
      <c r="E20" s="17"/>
      <c r="F20" s="17"/>
      <c r="G20" s="17"/>
      <c r="H20" s="17"/>
      <c r="I20" s="17"/>
      <c r="J20" s="17"/>
      <c r="K20" s="2"/>
      <c r="L20" s="17" t="str">
        <f t="shared" si="3"/>
        <v>ah</v>
      </c>
      <c r="M20" s="17" cm="1">
        <f t="array" ref="M20">SUM(_xlfn.BYROW(B$2:I$26, _xlfn.LAMBDA(_xlpm.row, IF(COUNTIF(_xlpm.row,MID(L20,1,1))&gt;0, IF(COUNTIF(_xlpm.row,MID(L20,2,1))&gt;0,1,0),0))))</f>
        <v>3</v>
      </c>
      <c r="N20" s="20">
        <f t="shared" si="2"/>
        <v>0.12</v>
      </c>
    </row>
    <row r="21" spans="1:14" x14ac:dyDescent="0.15">
      <c r="A21" s="17">
        <v>20</v>
      </c>
      <c r="B21" s="17" t="s">
        <v>11</v>
      </c>
      <c r="C21" s="17" t="s">
        <v>9</v>
      </c>
      <c r="D21" s="17" t="s">
        <v>13</v>
      </c>
      <c r="E21" s="17" t="s">
        <v>14</v>
      </c>
      <c r="F21" s="17" t="s">
        <v>10</v>
      </c>
      <c r="G21" s="17" t="s">
        <v>7</v>
      </c>
      <c r="H21" s="17"/>
      <c r="I21" s="17"/>
      <c r="J21" s="17"/>
      <c r="K21" s="2"/>
      <c r="L21" s="17" t="str">
        <f t="shared" si="3"/>
        <v>ai</v>
      </c>
      <c r="M21" s="17" cm="1">
        <f t="array" ref="M21">SUM(_xlfn.BYROW(B$2:I$26, _xlfn.LAMBDA(_xlpm.row, IF(COUNTIF(_xlpm.row,MID(L21,1,1))&gt;0, IF(COUNTIF(_xlpm.row,MID(L21,2,1))&gt;0,1,0),0))))</f>
        <v>6</v>
      </c>
      <c r="N21" s="20">
        <f t="shared" si="2"/>
        <v>0.24</v>
      </c>
    </row>
    <row r="22" spans="1:14" x14ac:dyDescent="0.15">
      <c r="A22" s="17">
        <v>21</v>
      </c>
      <c r="B22" s="17" t="s">
        <v>5</v>
      </c>
      <c r="C22" s="17" t="s">
        <v>9</v>
      </c>
      <c r="D22" s="17" t="s">
        <v>13</v>
      </c>
      <c r="E22" s="17" t="s">
        <v>12</v>
      </c>
      <c r="F22" s="17" t="s">
        <v>14</v>
      </c>
      <c r="G22" s="17" t="s">
        <v>10</v>
      </c>
      <c r="H22" s="17" t="s">
        <v>15</v>
      </c>
      <c r="I22" s="17"/>
      <c r="J22" s="17"/>
      <c r="K22" s="2"/>
      <c r="L22" s="17" t="str">
        <f t="shared" si="3"/>
        <v>aj</v>
      </c>
      <c r="M22" s="17" cm="1">
        <f t="array" ref="M22">SUM(_xlfn.BYROW(B$2:I$26, _xlfn.LAMBDA(_xlpm.row, IF(COUNTIF(_xlpm.row,MID(L22,1,1))&gt;0, IF(COUNTIF(_xlpm.row,MID(L22,2,1))&gt;0,1,0),0))))</f>
        <v>5</v>
      </c>
      <c r="N22" s="20">
        <f t="shared" si="2"/>
        <v>0.2</v>
      </c>
    </row>
    <row r="23" spans="1:14" x14ac:dyDescent="0.15">
      <c r="A23" s="17">
        <v>22</v>
      </c>
      <c r="B23" s="17" t="s">
        <v>5</v>
      </c>
      <c r="C23" s="17" t="s">
        <v>6</v>
      </c>
      <c r="D23" s="17" t="s">
        <v>8</v>
      </c>
      <c r="E23" s="17"/>
      <c r="F23" s="17"/>
      <c r="G23" s="17"/>
      <c r="H23" s="17"/>
      <c r="I23" s="17"/>
      <c r="J23" s="17"/>
      <c r="K23" s="2"/>
      <c r="L23" s="17" t="str">
        <f t="shared" si="3"/>
        <v>ak</v>
      </c>
      <c r="M23" s="17" cm="1">
        <f t="array" ref="M23">SUM(_xlfn.BYROW(B$2:I$26, _xlfn.LAMBDA(_xlpm.row, IF(COUNTIF(_xlpm.row,MID(L23,1,1))&gt;0, IF(COUNTIF(_xlpm.row,MID(L23,2,1))&gt;0,1,0),0))))</f>
        <v>5</v>
      </c>
      <c r="N23" s="20">
        <f t="shared" si="2"/>
        <v>0.2</v>
      </c>
    </row>
    <row r="24" spans="1:14" x14ac:dyDescent="0.15">
      <c r="A24" s="17">
        <v>23</v>
      </c>
      <c r="B24" s="17" t="s">
        <v>5</v>
      </c>
      <c r="C24" s="17" t="s">
        <v>11</v>
      </c>
      <c r="D24" s="17" t="s">
        <v>9</v>
      </c>
      <c r="E24" s="17" t="s">
        <v>12</v>
      </c>
      <c r="F24" s="17" t="s">
        <v>14</v>
      </c>
      <c r="G24" s="17" t="s">
        <v>10</v>
      </c>
      <c r="H24" s="17" t="s">
        <v>15</v>
      </c>
      <c r="I24" s="17" t="s">
        <v>6</v>
      </c>
      <c r="J24" s="17" t="s">
        <v>7</v>
      </c>
      <c r="K24" s="2"/>
      <c r="L24" s="21" t="str">
        <f>$L$3&amp;L4</f>
        <v>bc</v>
      </c>
      <c r="M24" s="21" cm="1">
        <f t="array" ref="M24">SUM(_xlfn.BYROW(B$2:I$26, _xlfn.LAMBDA(_xlpm.row, IF(COUNTIF(_xlpm.row,MID(L24,1,1))&gt;0, IF(COUNTIF(_xlpm.row,MID(L24,2,1))&gt;0,1,0),0))))</f>
        <v>11</v>
      </c>
      <c r="N24" s="21">
        <f t="shared" si="2"/>
        <v>0.44</v>
      </c>
    </row>
    <row r="25" spans="1:14" x14ac:dyDescent="0.15">
      <c r="A25" s="17">
        <v>24</v>
      </c>
      <c r="B25" s="17" t="s">
        <v>11</v>
      </c>
      <c r="C25" s="17" t="s">
        <v>9</v>
      </c>
      <c r="D25" s="17" t="s">
        <v>15</v>
      </c>
      <c r="E25" s="17" t="s">
        <v>8</v>
      </c>
      <c r="F25" s="17"/>
      <c r="G25" s="17"/>
      <c r="H25" s="17"/>
      <c r="I25" s="17"/>
      <c r="J25" s="17"/>
      <c r="K25" s="2"/>
      <c r="L25" s="17" t="str">
        <f t="shared" ref="L25:L32" si="4">$L$3&amp;L5</f>
        <v>bd</v>
      </c>
      <c r="M25" s="17" cm="1">
        <f t="array" ref="M25">SUM(_xlfn.BYROW(B$2:I$26, _xlfn.LAMBDA(_xlpm.row, IF(COUNTIF(_xlpm.row,MID(L25,1,1))&gt;0, IF(COUNTIF(_xlpm.row,MID(L25,2,1))&gt;0,1,0),0))))</f>
        <v>4</v>
      </c>
      <c r="N25" s="20">
        <f t="shared" si="2"/>
        <v>0.16</v>
      </c>
    </row>
    <row r="26" spans="1:14" x14ac:dyDescent="0.15">
      <c r="A26" s="17">
        <v>25</v>
      </c>
      <c r="B26" s="17" t="s">
        <v>5</v>
      </c>
      <c r="C26" s="17" t="s">
        <v>12</v>
      </c>
      <c r="D26" s="17" t="s">
        <v>14</v>
      </c>
      <c r="E26" s="17" t="s">
        <v>7</v>
      </c>
      <c r="F26" s="17"/>
      <c r="G26" s="17"/>
      <c r="H26" s="17"/>
      <c r="I26" s="17"/>
      <c r="J26" s="17"/>
      <c r="K26" s="2"/>
      <c r="L26" s="17" t="str">
        <f t="shared" si="4"/>
        <v>be</v>
      </c>
      <c r="M26" s="17" cm="1">
        <f t="array" ref="M26">SUM(_xlfn.BYROW(B$2:I$26, _xlfn.LAMBDA(_xlpm.row, IF(COUNTIF(_xlpm.row,MID(L26,1,1))&gt;0, IF(COUNTIF(_xlpm.row,MID(L26,2,1))&gt;0,1,0),0))))</f>
        <v>6</v>
      </c>
      <c r="N26" s="20">
        <f t="shared" si="2"/>
        <v>0.24</v>
      </c>
    </row>
    <row r="27" spans="1:14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7" t="str">
        <f t="shared" si="4"/>
        <v>bf</v>
      </c>
      <c r="M27" s="17" cm="1">
        <f t="array" ref="M27">SUM(_xlfn.BYROW(B$2:I$26, _xlfn.LAMBDA(_xlpm.row, IF(COUNTIF(_xlpm.row,MID(L27,1,1))&gt;0, IF(COUNTIF(_xlpm.row,MID(L27,2,1))&gt;0,1,0),0))))</f>
        <v>5</v>
      </c>
      <c r="N27" s="20">
        <f t="shared" si="2"/>
        <v>0.2</v>
      </c>
    </row>
    <row r="28" spans="1:14" x14ac:dyDescent="0.15">
      <c r="L28" s="17" t="str">
        <f t="shared" si="4"/>
        <v>bg</v>
      </c>
      <c r="M28" s="17" cm="1">
        <f t="array" ref="M28">SUM(_xlfn.BYROW(B$2:I$26, _xlfn.LAMBDA(_xlpm.row, IF(COUNTIF(_xlpm.row,MID(L28,1,1))&gt;0, IF(COUNTIF(_xlpm.row,MID(L28,2,1))&gt;0,1,0),0))))</f>
        <v>8</v>
      </c>
      <c r="N28" s="20">
        <f t="shared" si="2"/>
        <v>0.32</v>
      </c>
    </row>
    <row r="29" spans="1:14" x14ac:dyDescent="0.15">
      <c r="C29" s="2" t="s">
        <v>17</v>
      </c>
      <c r="L29" s="17" t="str">
        <f t="shared" si="4"/>
        <v>bh</v>
      </c>
      <c r="M29" s="17" cm="1">
        <f t="array" ref="M29">SUM(_xlfn.BYROW(B$2:I$26, _xlfn.LAMBDA(_xlpm.row, IF(COUNTIF(_xlpm.row,MID(L29,1,1))&gt;0, IF(COUNTIF(_xlpm.row,MID(L29,2,1))&gt;0,1,0),0))))</f>
        <v>2</v>
      </c>
      <c r="N29" s="20">
        <f t="shared" si="2"/>
        <v>0.08</v>
      </c>
    </row>
    <row r="30" spans="1:14" x14ac:dyDescent="0.15">
      <c r="B30" s="21" t="s">
        <v>18</v>
      </c>
      <c r="C30" s="21">
        <f>N24/N3</f>
        <v>0.7857142857142857</v>
      </c>
      <c r="D30" s="22" t="str">
        <f ca="1">_xlfn.FORMULATEXT(C30)</f>
        <v>=N24/N3</v>
      </c>
      <c r="E30" t="s">
        <v>19</v>
      </c>
      <c r="L30" s="17" t="str">
        <f t="shared" si="4"/>
        <v>bi</v>
      </c>
      <c r="M30" s="17" cm="1">
        <f t="array" ref="M30">SUM(_xlfn.BYROW(B$2:I$26, _xlfn.LAMBDA(_xlpm.row, IF(COUNTIF(_xlpm.row,MID(L30,1,1))&gt;0, IF(COUNTIF(_xlpm.row,MID(L30,2,1))&gt;0,1,0),0))))</f>
        <v>4</v>
      </c>
      <c r="N30" s="20">
        <f t="shared" si="2"/>
        <v>0.16</v>
      </c>
    </row>
    <row r="31" spans="1:14" x14ac:dyDescent="0.15">
      <c r="B31" s="21" t="s">
        <v>20</v>
      </c>
      <c r="C31" s="21">
        <f>N24/(N3*N4)</f>
        <v>1.2276785714285712</v>
      </c>
      <c r="D31" s="22" t="str">
        <f ca="1">_xlfn.FORMULATEXT(C31)</f>
        <v>=N24/(N3*N4)</v>
      </c>
      <c r="E31" t="s">
        <v>21</v>
      </c>
      <c r="L31" s="17" t="str">
        <f t="shared" si="4"/>
        <v>bj</v>
      </c>
      <c r="M31" s="17" cm="1">
        <f t="array" ref="M31">SUM(_xlfn.BYROW(B$2:I$26, _xlfn.LAMBDA(_xlpm.row, IF(COUNTIF(_xlpm.row,MID(L31,1,1))&gt;0, IF(COUNTIF(_xlpm.row,MID(L31,2,1))&gt;0,1,0),0))))</f>
        <v>2</v>
      </c>
      <c r="N31" s="20">
        <f t="shared" si="2"/>
        <v>0.08</v>
      </c>
    </row>
    <row r="32" spans="1:14" x14ac:dyDescent="0.15">
      <c r="B32" s="15" t="s">
        <v>20</v>
      </c>
      <c r="C32" s="15">
        <f>C30/N4</f>
        <v>1.2276785714285714</v>
      </c>
      <c r="D32" s="23" t="str">
        <f ca="1">_xlfn.FORMULATEXT(C32)</f>
        <v>=C30/N4</v>
      </c>
      <c r="E32" t="s">
        <v>22</v>
      </c>
      <c r="L32" s="17" t="str">
        <f t="shared" si="4"/>
        <v>bk</v>
      </c>
      <c r="M32" s="17" cm="1">
        <f t="array" ref="M32">SUM(_xlfn.BYROW(B$2:I$26, _xlfn.LAMBDA(_xlpm.row, IF(COUNTIF(_xlpm.row,MID(L32,1,1))&gt;0, IF(COUNTIF(_xlpm.row,MID(L32,2,1))&gt;0,1,0),0))))</f>
        <v>2</v>
      </c>
      <c r="N32" s="20">
        <f t="shared" si="2"/>
        <v>0.08</v>
      </c>
    </row>
    <row r="33" spans="1:14" x14ac:dyDescent="0.15">
      <c r="L33" s="17" t="str">
        <f>$L$4&amp;L5</f>
        <v>cd</v>
      </c>
      <c r="M33" s="17" cm="1">
        <f t="array" ref="M33">SUM(_xlfn.BYROW(B$2:I$26, _xlfn.LAMBDA(_xlpm.row, IF(COUNTIF(_xlpm.row,MID(L33,1,1))&gt;0, IF(COUNTIF(_xlpm.row,MID(L33,2,1))&gt;0,1,0),0))))</f>
        <v>2</v>
      </c>
      <c r="N33" s="20">
        <f t="shared" si="2"/>
        <v>0.08</v>
      </c>
    </row>
    <row r="34" spans="1:14" x14ac:dyDescent="0.15">
      <c r="B34" s="15" t="s">
        <v>23</v>
      </c>
      <c r="C34" s="15">
        <f>N24/N4</f>
        <v>0.6875</v>
      </c>
      <c r="D34" s="15" t="str">
        <f ca="1">_xlfn.FORMULATEXT(C34)</f>
        <v>=N24/N4</v>
      </c>
      <c r="E34" t="s">
        <v>24</v>
      </c>
      <c r="F34" s="2"/>
      <c r="L34" s="17" t="str">
        <f t="shared" ref="L34:L40" si="5">$L$4&amp;L6</f>
        <v>ce</v>
      </c>
      <c r="M34" s="17" cm="1">
        <f t="array" ref="M34">SUM(_xlfn.BYROW(B$2:I$26, _xlfn.LAMBDA(_xlpm.row, IF(COUNTIF(_xlpm.row,MID(L34,1,1))&gt;0, IF(COUNTIF(_xlpm.row,MID(L34,2,1))&gt;0,1,0),0))))</f>
        <v>7</v>
      </c>
      <c r="N34" s="20">
        <f t="shared" si="2"/>
        <v>0.28000000000000003</v>
      </c>
    </row>
    <row r="35" spans="1:14" x14ac:dyDescent="0.15">
      <c r="D35" s="2"/>
      <c r="E35" s="2"/>
      <c r="F35" s="2"/>
      <c r="L35" s="17" t="str">
        <f t="shared" si="5"/>
        <v>cf</v>
      </c>
      <c r="M35" s="17" cm="1">
        <f t="array" ref="M35">SUM(_xlfn.BYROW(B$2:I$26, _xlfn.LAMBDA(_xlpm.row, IF(COUNTIF(_xlpm.row,MID(L35,1,1))&gt;0, IF(COUNTIF(_xlpm.row,MID(L35,2,1))&gt;0,1,0),0))))</f>
        <v>7</v>
      </c>
      <c r="N35" s="20">
        <f t="shared" si="2"/>
        <v>0.28000000000000003</v>
      </c>
    </row>
    <row r="36" spans="1:14" x14ac:dyDescent="0.15">
      <c r="B36" s="15" t="s">
        <v>25</v>
      </c>
      <c r="C36" s="15">
        <f>(1-N4)/(1-C30)</f>
        <v>1.6799999999999997</v>
      </c>
      <c r="D36" s="23" t="str">
        <f ca="1">_xlfn.FORMULATEXT(C36)</f>
        <v>=(1-N4)/(1-C30)</v>
      </c>
      <c r="E36" s="2" t="s">
        <v>26</v>
      </c>
      <c r="F36" s="2"/>
      <c r="L36" s="17" t="str">
        <f t="shared" si="5"/>
        <v>cg</v>
      </c>
      <c r="M36" s="17" cm="1">
        <f t="array" ref="M36">SUM(_xlfn.BYROW(B$2:I$26, _xlfn.LAMBDA(_xlpm.row, IF(COUNTIF(_xlpm.row,MID(L36,1,1))&gt;0, IF(COUNTIF(_xlpm.row,MID(L36,2,1))&gt;0,1,0),0))))</f>
        <v>9</v>
      </c>
      <c r="N36" s="20">
        <f t="shared" si="2"/>
        <v>0.36</v>
      </c>
    </row>
    <row r="37" spans="1:14" x14ac:dyDescent="0.15">
      <c r="B37" s="15" t="s">
        <v>27</v>
      </c>
      <c r="C37" s="15">
        <f>(1-N3)/(1-C34)</f>
        <v>1.4079999999999999</v>
      </c>
      <c r="D37" s="23" t="str">
        <f ca="1">_xlfn.FORMULATEXT(C37)</f>
        <v>=(1-N3)/(1-C34)</v>
      </c>
      <c r="E37" s="2" t="s">
        <v>28</v>
      </c>
      <c r="F37" s="2"/>
      <c r="L37" s="17" t="str">
        <f t="shared" si="5"/>
        <v>ch</v>
      </c>
      <c r="M37" s="17" cm="1">
        <f t="array" ref="M37">SUM(_xlfn.BYROW(B$2:I$26, _xlfn.LAMBDA(_xlpm.row, IF(COUNTIF(_xlpm.row,MID(L37,1,1))&gt;0, IF(COUNTIF(_xlpm.row,MID(L37,2,1))&gt;0,1,0),0))))</f>
        <v>3</v>
      </c>
      <c r="N37" s="20">
        <f t="shared" si="2"/>
        <v>0.12</v>
      </c>
    </row>
    <row r="38" spans="1:14" x14ac:dyDescent="0.15">
      <c r="D38" s="2"/>
      <c r="E38" s="2"/>
      <c r="F38" s="2"/>
      <c r="L38" s="17" t="str">
        <f t="shared" si="5"/>
        <v>ci</v>
      </c>
      <c r="M38" s="17" cm="1">
        <f t="array" ref="M38">SUM(_xlfn.BYROW(B$2:I$26, _xlfn.LAMBDA(_xlpm.row, IF(COUNTIF(_xlpm.row,MID(L38,1,1))&gt;0, IF(COUNTIF(_xlpm.row,MID(L38,2,1))&gt;0,1,0),0))))</f>
        <v>4</v>
      </c>
      <c r="N38" s="20">
        <f t="shared" si="2"/>
        <v>0.16</v>
      </c>
    </row>
    <row r="39" spans="1:14" x14ac:dyDescent="0.15">
      <c r="D39" s="2"/>
      <c r="E39" s="2"/>
      <c r="F39" s="2"/>
      <c r="L39" s="17" t="str">
        <f t="shared" si="5"/>
        <v>cj</v>
      </c>
      <c r="M39" s="17" cm="1">
        <f t="array" ref="M39">SUM(_xlfn.BYROW(B$2:I$26, _xlfn.LAMBDA(_xlpm.row, IF(COUNTIF(_xlpm.row,MID(L39,1,1))&gt;0, IF(COUNTIF(_xlpm.row,MID(L39,2,1))&gt;0,1,0),0))))</f>
        <v>2</v>
      </c>
      <c r="N39" s="20">
        <f t="shared" si="2"/>
        <v>0.08</v>
      </c>
    </row>
    <row r="40" spans="1:14" x14ac:dyDescent="0.15">
      <c r="D40" s="2"/>
      <c r="E40" s="2"/>
      <c r="F40" s="2"/>
      <c r="L40" s="17" t="str">
        <f t="shared" si="5"/>
        <v>ck</v>
      </c>
      <c r="M40" s="17" cm="1">
        <f t="array" ref="M40">SUM(_xlfn.BYROW(B$2:I$26, _xlfn.LAMBDA(_xlpm.row, IF(COUNTIF(_xlpm.row,MID(L40,1,1))&gt;0, IF(COUNTIF(_xlpm.row,MID(L40,2,1))&gt;0,1,0),0))))</f>
        <v>4</v>
      </c>
      <c r="N40" s="20">
        <f t="shared" si="2"/>
        <v>0.16</v>
      </c>
    </row>
    <row r="41" spans="1:14" ht="16" x14ac:dyDescent="0.15">
      <c r="A41" s="24" t="s">
        <v>29</v>
      </c>
      <c r="B41" s="25" t="s">
        <v>30</v>
      </c>
      <c r="C41" s="15"/>
      <c r="D41" s="17"/>
      <c r="E41" s="17"/>
      <c r="F41" s="17"/>
      <c r="L41" s="17" t="str">
        <f>$L$5&amp;L6</f>
        <v>de</v>
      </c>
      <c r="M41" s="17" cm="1">
        <f t="array" ref="M41">SUM(_xlfn.BYROW(B$2:I$26, _xlfn.LAMBDA(_xlpm.row, IF(COUNTIF(_xlpm.row,MID(L41,1,1))&gt;0, IF(COUNTIF(_xlpm.row,MID(L41,2,1))&gt;0,1,0),0))))</f>
        <v>2</v>
      </c>
      <c r="N41" s="20">
        <f t="shared" si="2"/>
        <v>0.08</v>
      </c>
    </row>
    <row r="42" spans="1:14" x14ac:dyDescent="0.15">
      <c r="A42" s="15"/>
      <c r="B42" s="15" t="s">
        <v>31</v>
      </c>
      <c r="C42" s="26" t="s">
        <v>32</v>
      </c>
      <c r="D42" s="26" t="s">
        <v>33</v>
      </c>
      <c r="E42" s="26" t="s">
        <v>34</v>
      </c>
      <c r="F42" s="26" t="s">
        <v>35</v>
      </c>
      <c r="L42" s="17" t="str">
        <f t="shared" ref="L42:L47" si="6">$L$5&amp;L7</f>
        <v>df</v>
      </c>
      <c r="M42" s="17" cm="1">
        <f t="array" ref="M42">SUM(_xlfn.BYROW(B$2:I$26, _xlfn.LAMBDA(_xlpm.row, IF(COUNTIF(_xlpm.row,MID(L42,1,1))&gt;0, IF(COUNTIF(_xlpm.row,MID(L42,2,1))&gt;0,1,0),0))))</f>
        <v>3</v>
      </c>
      <c r="N42" s="20">
        <f t="shared" si="2"/>
        <v>0.12</v>
      </c>
    </row>
    <row r="43" spans="1:14" x14ac:dyDescent="0.15">
      <c r="A43" s="15"/>
      <c r="B43" s="15"/>
      <c r="C43" s="17">
        <f>N24</f>
        <v>0.44</v>
      </c>
      <c r="D43" s="17">
        <f>C30</f>
        <v>0.7857142857142857</v>
      </c>
      <c r="E43" s="17">
        <f>C31</f>
        <v>1.2276785714285712</v>
      </c>
      <c r="F43" s="15">
        <f>M24</f>
        <v>11</v>
      </c>
      <c r="L43" s="17" t="str">
        <f t="shared" si="6"/>
        <v>dg</v>
      </c>
      <c r="M43" s="17" cm="1">
        <f t="array" ref="M43">SUM(_xlfn.BYROW(B$2:I$26, _xlfn.LAMBDA(_xlpm.row, IF(COUNTIF(_xlpm.row,MID(L43,1,1))&gt;0, IF(COUNTIF(_xlpm.row,MID(L43,2,1))&gt;0,1,0),0))))</f>
        <v>5</v>
      </c>
      <c r="N43" s="20">
        <f t="shared" si="2"/>
        <v>0.2</v>
      </c>
    </row>
    <row r="44" spans="1:14" x14ac:dyDescent="0.15">
      <c r="C44" s="29" t="str">
        <f ca="1">_xlfn.FORMULATEXT(C43)</f>
        <v>=N24</v>
      </c>
      <c r="D44" s="29" t="str">
        <f t="shared" ref="D44:F44" ca="1" si="7">_xlfn.FORMULATEXT(D43)</f>
        <v>=C30</v>
      </c>
      <c r="E44" s="29" t="str">
        <f t="shared" ca="1" si="7"/>
        <v>=C31</v>
      </c>
      <c r="F44" s="29" t="str">
        <f t="shared" ca="1" si="7"/>
        <v>=M24</v>
      </c>
      <c r="L44" s="17" t="str">
        <f t="shared" si="6"/>
        <v>dh</v>
      </c>
      <c r="M44" s="17" cm="1">
        <f t="array" ref="M44">SUM(_xlfn.BYROW(B$2:I$26, _xlfn.LAMBDA(_xlpm.row, IF(COUNTIF(_xlpm.row,MID(L44,1,1))&gt;0, IF(COUNTIF(_xlpm.row,MID(L44,2,1))&gt;0,1,0),0))))</f>
        <v>2</v>
      </c>
      <c r="N44" s="20">
        <f t="shared" si="2"/>
        <v>0.08</v>
      </c>
    </row>
    <row r="45" spans="1:14" x14ac:dyDescent="0.15">
      <c r="C45" s="30"/>
      <c r="D45" s="30"/>
      <c r="E45" s="30"/>
      <c r="F45" s="30"/>
      <c r="L45" s="17" t="str">
        <f t="shared" si="6"/>
        <v>di</v>
      </c>
      <c r="M45" s="17" cm="1">
        <f t="array" ref="M45">SUM(_xlfn.BYROW(B$2:I$26, _xlfn.LAMBDA(_xlpm.row, IF(COUNTIF(_xlpm.row,MID(L45,1,1))&gt;0, IF(COUNTIF(_xlpm.row,MID(L45,2,1))&gt;0,1,0),0))))</f>
        <v>1</v>
      </c>
      <c r="N45" s="20">
        <f t="shared" si="2"/>
        <v>0.04</v>
      </c>
    </row>
    <row r="46" spans="1:14" ht="15" customHeight="1" x14ac:dyDescent="0.15">
      <c r="B46" s="39" t="s">
        <v>36</v>
      </c>
      <c r="L46" s="17" t="str">
        <f t="shared" si="6"/>
        <v>dj</v>
      </c>
      <c r="M46" s="17" cm="1">
        <f t="array" ref="M46">SUM(_xlfn.BYROW(B$2:I$26, _xlfn.LAMBDA(_xlpm.row, IF(COUNTIF(_xlpm.row,MID(L46,1,1))&gt;0, IF(COUNTIF(_xlpm.row,MID(L46,2,1))&gt;0,1,0),0))))</f>
        <v>3</v>
      </c>
      <c r="N46" s="20">
        <f t="shared" ref="N46:N68" si="8">M46/MAX(A:A)</f>
        <v>0.12</v>
      </c>
    </row>
    <row r="47" spans="1:14" ht="16" x14ac:dyDescent="0.15">
      <c r="B47" s="53" t="s">
        <v>37</v>
      </c>
      <c r="C47" s="53"/>
      <c r="D47" s="53"/>
      <c r="E47" s="53"/>
      <c r="F47" s="53"/>
      <c r="G47" s="53"/>
      <c r="H47" s="53"/>
      <c r="I47" s="53"/>
      <c r="J47" s="4"/>
      <c r="L47" s="17" t="str">
        <f t="shared" si="6"/>
        <v>dk</v>
      </c>
      <c r="M47" s="17" cm="1">
        <f t="array" ref="M47">SUM(_xlfn.BYROW(B$2:I$26, _xlfn.LAMBDA(_xlpm.row, IF(COUNTIF(_xlpm.row,MID(L47,1,1))&gt;0, IF(COUNTIF(_xlpm.row,MID(L47,2,1))&gt;0,1,0),0))))</f>
        <v>1</v>
      </c>
      <c r="N47" s="20">
        <f t="shared" si="8"/>
        <v>0.04</v>
      </c>
    </row>
    <row r="48" spans="1:14" ht="16" x14ac:dyDescent="0.15">
      <c r="B48" s="53"/>
      <c r="C48" s="53"/>
      <c r="D48" s="53"/>
      <c r="E48" s="53"/>
      <c r="F48" s="53"/>
      <c r="G48" s="53"/>
      <c r="H48" s="53"/>
      <c r="I48" s="53"/>
      <c r="J48" s="4"/>
      <c r="L48" s="17" t="str">
        <f>$L$6&amp;L7</f>
        <v>ef</v>
      </c>
      <c r="M48" s="17" cm="1">
        <f t="array" ref="M48">SUM(_xlfn.BYROW(B$2:I$26, _xlfn.LAMBDA(_xlpm.row, IF(COUNTIF(_xlpm.row,MID(L48,1,1))&gt;0, IF(COUNTIF(_xlpm.row,MID(L48,2,1))&gt;0,1,0),0))))</f>
        <v>8</v>
      </c>
      <c r="N48" s="20">
        <f t="shared" si="8"/>
        <v>0.32</v>
      </c>
    </row>
    <row r="49" spans="2:14" ht="16" x14ac:dyDescent="0.15">
      <c r="B49" s="4"/>
      <c r="C49" s="4"/>
      <c r="D49" s="4"/>
      <c r="E49" s="4"/>
      <c r="F49" s="4"/>
      <c r="G49" s="4"/>
      <c r="H49" s="4"/>
      <c r="I49" s="4"/>
      <c r="J49" s="4"/>
      <c r="L49" s="17" t="str">
        <f t="shared" ref="L49:L53" si="9">$L$6&amp;L8</f>
        <v>eg</v>
      </c>
      <c r="M49" s="17" cm="1">
        <f t="array" ref="M49">SUM(_xlfn.BYROW(B$2:I$26, _xlfn.LAMBDA(_xlpm.row, IF(COUNTIF(_xlpm.row,MID(L49,1,1))&gt;0, IF(COUNTIF(_xlpm.row,MID(L49,2,1))&gt;0,1,0),0))))</f>
        <v>5</v>
      </c>
      <c r="N49" s="20">
        <f t="shared" si="8"/>
        <v>0.2</v>
      </c>
    </row>
    <row r="50" spans="2:14" ht="16" x14ac:dyDescent="0.15">
      <c r="B50" s="4"/>
      <c r="C50" s="4"/>
      <c r="D50" s="4"/>
      <c r="E50" s="4"/>
      <c r="F50" s="4"/>
      <c r="G50" s="4"/>
      <c r="H50" s="4"/>
      <c r="I50" s="4"/>
      <c r="J50" s="4"/>
      <c r="L50" s="17" t="str">
        <f t="shared" si="9"/>
        <v>eh</v>
      </c>
      <c r="M50" s="17" cm="1">
        <f t="array" ref="M50">SUM(_xlfn.BYROW(B$2:I$26, _xlfn.LAMBDA(_xlpm.row, IF(COUNTIF(_xlpm.row,MID(L50,1,1))&gt;0, IF(COUNTIF(_xlpm.row,MID(L50,2,1))&gt;0,1,0),0))))</f>
        <v>2</v>
      </c>
      <c r="N50" s="20">
        <f t="shared" si="8"/>
        <v>0.08</v>
      </c>
    </row>
    <row r="51" spans="2:14" ht="16" x14ac:dyDescent="0.15">
      <c r="B51" s="4"/>
      <c r="C51" s="4"/>
      <c r="D51" s="4"/>
      <c r="E51" s="4"/>
      <c r="F51" s="4"/>
      <c r="G51" s="4"/>
      <c r="H51" s="4"/>
      <c r="I51" s="4"/>
      <c r="J51" s="4"/>
      <c r="L51" s="17" t="str">
        <f t="shared" si="9"/>
        <v>ei</v>
      </c>
      <c r="M51" s="17" cm="1">
        <f t="array" ref="M51">SUM(_xlfn.BYROW(B$2:I$26, _xlfn.LAMBDA(_xlpm.row, IF(COUNTIF(_xlpm.row,MID(L51,1,1))&gt;0, IF(COUNTIF(_xlpm.row,MID(L51,2,1))&gt;0,1,0),0))))</f>
        <v>3</v>
      </c>
      <c r="N51" s="20">
        <f t="shared" si="8"/>
        <v>0.12</v>
      </c>
    </row>
    <row r="52" spans="2:14" x14ac:dyDescent="0.15">
      <c r="L52" s="17" t="str">
        <f t="shared" si="9"/>
        <v>ej</v>
      </c>
      <c r="M52" s="17" cm="1">
        <f t="array" ref="M52">SUM(_xlfn.BYROW(B$2:I$26, _xlfn.LAMBDA(_xlpm.row, IF(COUNTIF(_xlpm.row,MID(L52,1,1))&gt;0, IF(COUNTIF(_xlpm.row,MID(L52,2,1))&gt;0,1,0),0))))</f>
        <v>2</v>
      </c>
      <c r="N52" s="20">
        <f t="shared" si="8"/>
        <v>0.08</v>
      </c>
    </row>
    <row r="53" spans="2:14" x14ac:dyDescent="0.15">
      <c r="L53" s="17" t="str">
        <f t="shared" si="9"/>
        <v>ek</v>
      </c>
      <c r="M53" s="17" cm="1">
        <f t="array" ref="M53">SUM(_xlfn.BYROW(B$2:I$26, _xlfn.LAMBDA(_xlpm.row, IF(COUNTIF(_xlpm.row,MID(L53,1,1))&gt;0, IF(COUNTIF(_xlpm.row,MID(L53,2,1))&gt;0,1,0),0))))</f>
        <v>1</v>
      </c>
      <c r="N53" s="20">
        <f t="shared" si="8"/>
        <v>0.04</v>
      </c>
    </row>
    <row r="54" spans="2:14" x14ac:dyDescent="0.15">
      <c r="L54" s="17" t="str">
        <f>$L$7&amp;L8</f>
        <v>fg</v>
      </c>
      <c r="M54" s="17" cm="1">
        <f t="array" ref="M54">SUM(_xlfn.BYROW(B$2:I$26, _xlfn.LAMBDA(_xlpm.row, IF(COUNTIF(_xlpm.row,MID(L54,1,1))&gt;0, IF(COUNTIF(_xlpm.row,MID(L54,2,1))&gt;0,1,0),0))))</f>
        <v>6</v>
      </c>
      <c r="N54" s="20">
        <f t="shared" si="8"/>
        <v>0.24</v>
      </c>
    </row>
    <row r="55" spans="2:14" x14ac:dyDescent="0.15">
      <c r="L55" s="17" t="str">
        <f t="shared" ref="L55:L58" si="10">$L$7&amp;L9</f>
        <v>fh</v>
      </c>
      <c r="M55" s="17" cm="1">
        <f t="array" ref="M55">SUM(_xlfn.BYROW(B$2:I$26, _xlfn.LAMBDA(_xlpm.row, IF(COUNTIF(_xlpm.row,MID(L55,1,1))&gt;0, IF(COUNTIF(_xlpm.row,MID(L55,2,1))&gt;0,1,0),0))))</f>
        <v>2</v>
      </c>
      <c r="N55" s="20">
        <f t="shared" si="8"/>
        <v>0.08</v>
      </c>
    </row>
    <row r="56" spans="2:14" x14ac:dyDescent="0.15">
      <c r="L56" s="17" t="str">
        <f t="shared" si="10"/>
        <v>fi</v>
      </c>
      <c r="M56" s="17" cm="1">
        <f t="array" ref="M56">SUM(_xlfn.BYROW(B$2:I$26, _xlfn.LAMBDA(_xlpm.row, IF(COUNTIF(_xlpm.row,MID(L56,1,1))&gt;0, IF(COUNTIF(_xlpm.row,MID(L56,2,1))&gt;0,1,0),0))))</f>
        <v>2</v>
      </c>
      <c r="N56" s="20">
        <f t="shared" si="8"/>
        <v>0.08</v>
      </c>
    </row>
    <row r="57" spans="2:14" x14ac:dyDescent="0.15">
      <c r="L57" s="17" t="str">
        <f t="shared" si="10"/>
        <v>fj</v>
      </c>
      <c r="M57" s="17" cm="1">
        <f t="array" ref="M57">SUM(_xlfn.BYROW(B$2:I$26, _xlfn.LAMBDA(_xlpm.row, IF(COUNTIF(_xlpm.row,MID(L57,1,1))&gt;0, IF(COUNTIF(_xlpm.row,MID(L57,2,1))&gt;0,1,0),0))))</f>
        <v>4</v>
      </c>
      <c r="N57" s="20">
        <f t="shared" si="8"/>
        <v>0.16</v>
      </c>
    </row>
    <row r="58" spans="2:14" x14ac:dyDescent="0.15">
      <c r="L58" s="17" t="str">
        <f t="shared" si="10"/>
        <v>fk</v>
      </c>
      <c r="M58" s="17" cm="1">
        <f t="array" ref="M58">SUM(_xlfn.BYROW(B$2:I$26, _xlfn.LAMBDA(_xlpm.row, IF(COUNTIF(_xlpm.row,MID(L58,1,1))&gt;0, IF(COUNTIF(_xlpm.row,MID(L58,2,1))&gt;0,1,0),0))))</f>
        <v>1</v>
      </c>
      <c r="N58" s="20">
        <f t="shared" si="8"/>
        <v>0.04</v>
      </c>
    </row>
    <row r="59" spans="2:14" x14ac:dyDescent="0.15">
      <c r="L59" s="17" t="str">
        <f>$L$8&amp;L9</f>
        <v>gh</v>
      </c>
      <c r="M59" s="17" cm="1">
        <f t="array" ref="M59">SUM(_xlfn.BYROW(B$2:I$26, _xlfn.LAMBDA(_xlpm.row, IF(COUNTIF(_xlpm.row,MID(L59,1,1))&gt;0, IF(COUNTIF(_xlpm.row,MID(L59,2,1))&gt;0,1,0),0))))</f>
        <v>2</v>
      </c>
      <c r="N59" s="20">
        <f t="shared" si="8"/>
        <v>0.08</v>
      </c>
    </row>
    <row r="60" spans="2:14" x14ac:dyDescent="0.15">
      <c r="L60" s="17" t="str">
        <f t="shared" ref="L60:L62" si="11">$L$8&amp;L10</f>
        <v>gi</v>
      </c>
      <c r="M60" s="17" cm="1">
        <f t="array" ref="M60">SUM(_xlfn.BYROW(B$2:I$26, _xlfn.LAMBDA(_xlpm.row, IF(COUNTIF(_xlpm.row,MID(L60,1,1))&gt;0, IF(COUNTIF(_xlpm.row,MID(L60,2,1))&gt;0,1,0),0))))</f>
        <v>2</v>
      </c>
      <c r="N60" s="20">
        <f t="shared" si="8"/>
        <v>0.08</v>
      </c>
    </row>
    <row r="61" spans="2:14" x14ac:dyDescent="0.15">
      <c r="B61" s="15" t="s">
        <v>38</v>
      </c>
      <c r="C61" s="54" t="s">
        <v>39</v>
      </c>
      <c r="D61" s="54"/>
      <c r="L61" s="17" t="str">
        <f t="shared" si="11"/>
        <v>gj</v>
      </c>
      <c r="M61" s="17" cm="1">
        <f t="array" ref="M61">SUM(_xlfn.BYROW(B$2:I$26, _xlfn.LAMBDA(_xlpm.row, IF(COUNTIF(_xlpm.row,MID(L61,1,1))&gt;0, IF(COUNTIF(_xlpm.row,MID(L61,2,1))&gt;0,1,0),0))))</f>
        <v>1</v>
      </c>
      <c r="N61" s="20">
        <f t="shared" si="8"/>
        <v>0.04</v>
      </c>
    </row>
    <row r="62" spans="2:14" x14ac:dyDescent="0.15">
      <c r="B62" s="15" t="s">
        <v>40</v>
      </c>
      <c r="C62" s="15" t="s">
        <v>41</v>
      </c>
      <c r="D62" s="15"/>
      <c r="L62" s="17" t="str">
        <f t="shared" si="11"/>
        <v>gk</v>
      </c>
      <c r="M62" s="17" cm="1">
        <f t="array" ref="M62">SUM(_xlfn.BYROW(B$2:I$26, _xlfn.LAMBDA(_xlpm.row, IF(COUNTIF(_xlpm.row,MID(L62,1,1))&gt;0, IF(COUNTIF(_xlpm.row,MID(L62,2,1))&gt;0,1,0),0))))</f>
        <v>1</v>
      </c>
      <c r="N62" s="20">
        <f t="shared" si="8"/>
        <v>0.04</v>
      </c>
    </row>
    <row r="63" spans="2:14" x14ac:dyDescent="0.15">
      <c r="B63" s="15" t="s">
        <v>42</v>
      </c>
      <c r="C63" s="15" t="s">
        <v>43</v>
      </c>
      <c r="D63" s="15"/>
      <c r="L63" s="17" t="str">
        <f>$L$9&amp;L10</f>
        <v>hi</v>
      </c>
      <c r="M63" s="17" cm="1">
        <f t="array" ref="M63">SUM(_xlfn.BYROW(B$2:I$26, _xlfn.LAMBDA(_xlpm.row, IF(COUNTIF(_xlpm.row,MID(L63,1,1))&gt;0, IF(COUNTIF(_xlpm.row,MID(L63,2,1))&gt;0,1,0),0))))</f>
        <v>1</v>
      </c>
      <c r="N63" s="20">
        <f t="shared" si="8"/>
        <v>0.04</v>
      </c>
    </row>
    <row r="64" spans="2:14" x14ac:dyDescent="0.15">
      <c r="B64" s="15"/>
      <c r="C64" s="38" t="s">
        <v>44</v>
      </c>
      <c r="D64" s="15"/>
      <c r="L64" s="17" t="str">
        <f t="shared" ref="L64:L65" si="12">$L$9&amp;L11</f>
        <v>hj</v>
      </c>
      <c r="M64" s="17" cm="1">
        <f t="array" ref="M64">SUM(_xlfn.BYROW(B$2:I$26, _xlfn.LAMBDA(_xlpm.row, IF(COUNTIF(_xlpm.row,MID(L64,1,1))&gt;0, IF(COUNTIF(_xlpm.row,MID(L64,2,1))&gt;0,1,0),0))))</f>
        <v>1</v>
      </c>
      <c r="N64" s="20">
        <f t="shared" si="8"/>
        <v>0.04</v>
      </c>
    </row>
    <row r="65" spans="2:14" x14ac:dyDescent="0.15">
      <c r="B65" s="15"/>
      <c r="C65" s="15" t="s">
        <v>45</v>
      </c>
      <c r="D65" s="15"/>
      <c r="L65" s="17" t="str">
        <f t="shared" si="12"/>
        <v>hk</v>
      </c>
      <c r="M65" s="17" cm="1">
        <f t="array" ref="M65">SUM(_xlfn.BYROW(B$2:I$26, _xlfn.LAMBDA(_xlpm.row, IF(COUNTIF(_xlpm.row,MID(L65,1,1))&gt;0, IF(COUNTIF(_xlpm.row,MID(L65,2,1))&gt;0,1,0),0))))</f>
        <v>2</v>
      </c>
      <c r="N65" s="20">
        <f t="shared" si="8"/>
        <v>0.08</v>
      </c>
    </row>
    <row r="66" spans="2:14" x14ac:dyDescent="0.15">
      <c r="B66" s="15"/>
      <c r="C66" s="15" t="s">
        <v>46</v>
      </c>
      <c r="D66" s="15"/>
      <c r="L66" s="17" t="str">
        <f>$L$10&amp;L11</f>
        <v>ij</v>
      </c>
      <c r="M66" s="17" cm="1">
        <f t="array" ref="M66">SUM(_xlfn.BYROW(B$2:I$26, _xlfn.LAMBDA(_xlpm.row, IF(COUNTIF(_xlpm.row,MID(L66,1,1))&gt;0, IF(COUNTIF(_xlpm.row,MID(L66,2,1))&gt;0,1,0),0))))</f>
        <v>2</v>
      </c>
      <c r="N66" s="20">
        <f t="shared" si="8"/>
        <v>0.08</v>
      </c>
    </row>
    <row r="67" spans="2:14" x14ac:dyDescent="0.15">
      <c r="B67" s="15" t="s">
        <v>47</v>
      </c>
      <c r="C67" s="15" t="s">
        <v>48</v>
      </c>
      <c r="D67" s="15"/>
      <c r="L67" s="17" t="str">
        <f t="shared" ref="L67" si="13">$L$10&amp;L12</f>
        <v>ik</v>
      </c>
      <c r="M67" s="17" cm="1">
        <f t="array" ref="M67">SUM(_xlfn.BYROW(B$2:I$26, _xlfn.LAMBDA(_xlpm.row, IF(COUNTIF(_xlpm.row,MID(L67,1,1))&gt;0, IF(COUNTIF(_xlpm.row,MID(L67,2,1))&gt;0,1,0),0))))</f>
        <v>4</v>
      </c>
      <c r="N67" s="20">
        <f t="shared" si="8"/>
        <v>0.16</v>
      </c>
    </row>
    <row r="68" spans="2:14" x14ac:dyDescent="0.15">
      <c r="B68" s="15"/>
      <c r="C68" s="38" t="s">
        <v>44</v>
      </c>
      <c r="D68" s="15"/>
      <c r="L68" s="17" t="str">
        <f>$L$11&amp;L12</f>
        <v>jk</v>
      </c>
      <c r="M68" s="17" cm="1">
        <f t="array" ref="M68">SUM(_xlfn.BYROW(B$2:I$26, _xlfn.LAMBDA(_xlpm.row, IF(COUNTIF(_xlpm.row,MID(L68,1,1))&gt;0, IF(COUNTIF(_xlpm.row,MID(L68,2,1))&gt;0,1,0),0))))</f>
        <v>3</v>
      </c>
      <c r="N68" s="20">
        <f t="shared" si="8"/>
        <v>0.12</v>
      </c>
    </row>
    <row r="69" spans="2:14" x14ac:dyDescent="0.15">
      <c r="B69" s="15"/>
      <c r="C69" s="15" t="s">
        <v>45</v>
      </c>
      <c r="D69" s="15"/>
      <c r="L69" s="2"/>
    </row>
    <row r="70" spans="2:14" x14ac:dyDescent="0.15">
      <c r="B70" s="15"/>
      <c r="C70" s="15" t="s">
        <v>46</v>
      </c>
      <c r="D70" s="15"/>
      <c r="L70" s="2"/>
    </row>
    <row r="71" spans="2:14" x14ac:dyDescent="0.15">
      <c r="B71" s="15" t="s">
        <v>49</v>
      </c>
      <c r="C71" s="15"/>
      <c r="D71" s="15"/>
      <c r="L71" s="2"/>
    </row>
    <row r="72" spans="2:14" x14ac:dyDescent="0.15">
      <c r="L72" s="2"/>
    </row>
    <row r="73" spans="2:14" x14ac:dyDescent="0.15">
      <c r="L73" s="2"/>
    </row>
  </sheetData>
  <mergeCells count="2">
    <mergeCell ref="B47:I48"/>
    <mergeCell ref="C61:D61"/>
  </mergeCells>
  <printOptions horizontalCentered="1" verticalCentered="1" headings="1"/>
  <pageMargins left="0.19685039370078741" right="7.874015748031496E-2" top="7.874015748031496E-2" bottom="7.874015748031496E-2" header="7.874015748031496E-2" footer="7.874015748031496E-2"/>
  <pageSetup paperSize="9" scale="49" fitToHeight="100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7DFD-F1E7-9A4B-8258-AF3A55046BC9}">
  <sheetPr>
    <pageSetUpPr fitToPage="1"/>
  </sheetPr>
  <dimension ref="A19:J67"/>
  <sheetViews>
    <sheetView topLeftCell="A4" zoomScaleNormal="100" workbookViewId="0">
      <selection activeCell="H26" sqref="H26"/>
    </sheetView>
  </sheetViews>
  <sheetFormatPr baseColWidth="10" defaultColWidth="11.5703125" defaultRowHeight="15" x14ac:dyDescent="0.15"/>
  <cols>
    <col min="1" max="1" width="21.140625" customWidth="1"/>
    <col min="2" max="2" width="14.140625" bestFit="1" customWidth="1"/>
    <col min="3" max="3" width="14" bestFit="1" customWidth="1"/>
    <col min="4" max="4" width="15.42578125" bestFit="1" customWidth="1"/>
    <col min="5" max="5" width="14.85546875" bestFit="1" customWidth="1"/>
  </cols>
  <sheetData>
    <row r="19" spans="1:10" x14ac:dyDescent="0.15">
      <c r="A19" t="s">
        <v>50</v>
      </c>
    </row>
    <row r="20" spans="1:10" x14ac:dyDescent="0.15">
      <c r="A20" t="s">
        <v>51</v>
      </c>
    </row>
    <row r="21" spans="1:10" x14ac:dyDescent="0.15">
      <c r="A21" t="s">
        <v>52</v>
      </c>
    </row>
    <row r="22" spans="1:10" x14ac:dyDescent="0.15">
      <c r="A22" s="35">
        <v>1</v>
      </c>
      <c r="B22" s="35">
        <v>2</v>
      </c>
      <c r="C22" s="35">
        <v>3</v>
      </c>
      <c r="D22" s="35">
        <v>4</v>
      </c>
    </row>
    <row r="23" spans="1:10" x14ac:dyDescent="0.15">
      <c r="A23" s="15">
        <v>1</v>
      </c>
      <c r="B23" s="15">
        <v>2</v>
      </c>
      <c r="C23" s="15">
        <v>3</v>
      </c>
      <c r="D23" s="15">
        <v>4</v>
      </c>
    </row>
    <row r="24" spans="1:10" x14ac:dyDescent="0.15">
      <c r="A24" s="15"/>
      <c r="B24" s="15">
        <v>2</v>
      </c>
      <c r="C24" s="15">
        <v>3</v>
      </c>
      <c r="D24" s="15">
        <v>4</v>
      </c>
    </row>
    <row r="25" spans="1:10" x14ac:dyDescent="0.15">
      <c r="A25" s="15"/>
      <c r="B25" s="15">
        <v>2</v>
      </c>
      <c r="C25" s="15">
        <v>3</v>
      </c>
      <c r="D25" s="15"/>
    </row>
    <row r="26" spans="1:10" x14ac:dyDescent="0.15">
      <c r="A26" s="15">
        <v>1</v>
      </c>
      <c r="B26" s="15">
        <v>2</v>
      </c>
      <c r="C26" s="15"/>
      <c r="D26" s="15">
        <v>4</v>
      </c>
    </row>
    <row r="27" spans="1:10" x14ac:dyDescent="0.15">
      <c r="A27" s="15">
        <v>1</v>
      </c>
      <c r="B27" s="15">
        <v>2</v>
      </c>
      <c r="C27" s="15">
        <v>3</v>
      </c>
      <c r="D27" s="15">
        <v>4</v>
      </c>
    </row>
    <row r="28" spans="1:10" ht="16" thickBot="1" x14ac:dyDescent="0.2">
      <c r="A28" s="40"/>
      <c r="B28" s="40">
        <v>2</v>
      </c>
      <c r="C28" s="40"/>
      <c r="D28" s="40">
        <v>4</v>
      </c>
    </row>
    <row r="29" spans="1:10" x14ac:dyDescent="0.15">
      <c r="A29" s="41">
        <f>COUNT(A23:A28)</f>
        <v>3</v>
      </c>
      <c r="B29" s="42">
        <f t="shared" ref="B29:D29" si="0">COUNT(B23:B28)</f>
        <v>6</v>
      </c>
      <c r="C29" s="42">
        <f t="shared" si="0"/>
        <v>4</v>
      </c>
      <c r="D29" s="43">
        <f t="shared" si="0"/>
        <v>5</v>
      </c>
      <c r="E29" t="s">
        <v>53</v>
      </c>
      <c r="G29" s="55"/>
      <c r="H29" s="55"/>
      <c r="I29" s="55"/>
      <c r="J29" s="55"/>
    </row>
    <row r="30" spans="1:10" ht="16" thickBot="1" x14ac:dyDescent="0.2">
      <c r="A30" s="44" t="str">
        <f ca="1">_xlfn.FORMULATEXT(A29)</f>
        <v>=COUNT(A23:A28)</v>
      </c>
      <c r="B30" s="45" t="str">
        <f t="shared" ref="B30:D30" ca="1" si="1">_xlfn.FORMULATEXT(B29)</f>
        <v>=COUNT(B23:B28)</v>
      </c>
      <c r="C30" s="45" t="str">
        <f t="shared" ca="1" si="1"/>
        <v>=COUNT(C23:C28)</v>
      </c>
      <c r="D30" s="46" t="str">
        <f t="shared" ca="1" si="1"/>
        <v>=COUNT(D23:D28)</v>
      </c>
      <c r="G30" s="27"/>
      <c r="H30" s="27"/>
      <c r="I30" s="27"/>
      <c r="J30" s="27"/>
    </row>
    <row r="31" spans="1:10" x14ac:dyDescent="0.15">
      <c r="A31" s="41">
        <f>A29/6</f>
        <v>0.5</v>
      </c>
      <c r="B31" s="42">
        <f t="shared" ref="B31:D31" si="2">B29/6</f>
        <v>1</v>
      </c>
      <c r="C31" s="42">
        <f t="shared" si="2"/>
        <v>0.66666666666666663</v>
      </c>
      <c r="D31" s="43">
        <f t="shared" si="2"/>
        <v>0.83333333333333337</v>
      </c>
      <c r="E31" t="s">
        <v>54</v>
      </c>
    </row>
    <row r="32" spans="1:10" ht="16" thickBot="1" x14ac:dyDescent="0.2">
      <c r="A32" s="47" t="str">
        <f ca="1">_xlfn.FORMULATEXT(A31)</f>
        <v>=A29/6</v>
      </c>
      <c r="B32" s="48" t="str">
        <f t="shared" ref="B32:D32" ca="1" si="3">_xlfn.FORMULATEXT(B31)</f>
        <v>=B29/6</v>
      </c>
      <c r="C32" s="48" t="str">
        <f t="shared" ca="1" si="3"/>
        <v>=C29/6</v>
      </c>
      <c r="D32" s="49" t="str">
        <f t="shared" ca="1" si="3"/>
        <v>=D29/6</v>
      </c>
    </row>
    <row r="34" spans="1:7" x14ac:dyDescent="0.15">
      <c r="A34" t="s">
        <v>16</v>
      </c>
      <c r="B34" t="s">
        <v>55</v>
      </c>
    </row>
    <row r="35" spans="1:7" x14ac:dyDescent="0.15">
      <c r="A35" s="35">
        <v>12</v>
      </c>
      <c r="B35" s="35">
        <v>13</v>
      </c>
      <c r="C35" s="35">
        <v>14</v>
      </c>
      <c r="D35" s="35">
        <v>23</v>
      </c>
      <c r="E35" s="35">
        <v>24</v>
      </c>
      <c r="F35" s="35">
        <v>34</v>
      </c>
    </row>
    <row r="36" spans="1:7" x14ac:dyDescent="0.15">
      <c r="A36" s="15">
        <v>3</v>
      </c>
      <c r="B36" s="15">
        <v>2</v>
      </c>
      <c r="C36" s="15">
        <v>3</v>
      </c>
      <c r="D36" s="15">
        <v>4</v>
      </c>
      <c r="E36" s="15">
        <v>5</v>
      </c>
      <c r="F36" s="15">
        <v>3</v>
      </c>
      <c r="G36" t="s">
        <v>53</v>
      </c>
    </row>
    <row r="37" spans="1:7" x14ac:dyDescent="0.15">
      <c r="A37" s="50">
        <f>A36/6</f>
        <v>0.5</v>
      </c>
      <c r="B37" s="50">
        <f t="shared" ref="B37:F37" si="4">B36/6</f>
        <v>0.33333333333333331</v>
      </c>
      <c r="C37" s="50">
        <f t="shared" si="4"/>
        <v>0.5</v>
      </c>
      <c r="D37" s="50">
        <f>D36/6</f>
        <v>0.66666666666666663</v>
      </c>
      <c r="E37" s="50">
        <f t="shared" si="4"/>
        <v>0.83333333333333337</v>
      </c>
      <c r="F37" s="50">
        <f t="shared" si="4"/>
        <v>0.5</v>
      </c>
      <c r="G37" t="s">
        <v>54</v>
      </c>
    </row>
    <row r="38" spans="1:7" x14ac:dyDescent="0.15">
      <c r="A38" s="51" t="str">
        <f ca="1">_xlfn.FORMULATEXT(A37)</f>
        <v>=A36/6</v>
      </c>
      <c r="B38" s="51" t="str">
        <f t="shared" ref="B38:F38" ca="1" si="5">_xlfn.FORMULATEXT(B37)</f>
        <v>=B36/6</v>
      </c>
      <c r="C38" s="51" t="str">
        <f t="shared" ca="1" si="5"/>
        <v>=C36/6</v>
      </c>
      <c r="D38" s="51" t="str">
        <f t="shared" ca="1" si="5"/>
        <v>=D36/6</v>
      </c>
      <c r="E38" s="51" t="str">
        <f t="shared" ca="1" si="5"/>
        <v>=E36/6</v>
      </c>
      <c r="F38" s="51" t="str">
        <f t="shared" ca="1" si="5"/>
        <v>=F36/6</v>
      </c>
    </row>
    <row r="40" spans="1:7" x14ac:dyDescent="0.15">
      <c r="A40" t="s">
        <v>56</v>
      </c>
      <c r="B40" t="s">
        <v>57</v>
      </c>
    </row>
    <row r="41" spans="1:7" x14ac:dyDescent="0.15">
      <c r="A41" s="35">
        <v>123</v>
      </c>
      <c r="B41" s="35">
        <v>124</v>
      </c>
      <c r="C41" s="35">
        <v>234</v>
      </c>
    </row>
    <row r="42" spans="1:7" x14ac:dyDescent="0.15">
      <c r="A42" s="15">
        <v>2</v>
      </c>
      <c r="B42" s="15">
        <v>3</v>
      </c>
      <c r="C42" s="15">
        <v>3</v>
      </c>
      <c r="D42" t="s">
        <v>53</v>
      </c>
    </row>
    <row r="43" spans="1:7" x14ac:dyDescent="0.15">
      <c r="A43" s="50">
        <f>A42/6</f>
        <v>0.33333333333333331</v>
      </c>
      <c r="B43" s="50">
        <f t="shared" ref="B43:C43" si="6">B42/6</f>
        <v>0.5</v>
      </c>
      <c r="C43" s="50">
        <f t="shared" si="6"/>
        <v>0.5</v>
      </c>
      <c r="D43" t="s">
        <v>54</v>
      </c>
    </row>
    <row r="44" spans="1:7" x14ac:dyDescent="0.15">
      <c r="A44" s="52" t="str">
        <f ca="1">_xlfn.FORMULATEXT(A43)</f>
        <v>=A42/6</v>
      </c>
      <c r="B44" s="52" t="str">
        <f t="shared" ref="B44:C44" ca="1" si="7">_xlfn.FORMULATEXT(B43)</f>
        <v>=B42/6</v>
      </c>
      <c r="C44" s="52" t="str">
        <f t="shared" ca="1" si="7"/>
        <v>=C42/6</v>
      </c>
    </row>
    <row r="46" spans="1:7" x14ac:dyDescent="0.15">
      <c r="A46" t="s">
        <v>58</v>
      </c>
    </row>
    <row r="47" spans="1:7" x14ac:dyDescent="0.15">
      <c r="A47" s="35">
        <v>1234</v>
      </c>
    </row>
    <row r="48" spans="1:7" x14ac:dyDescent="0.15">
      <c r="A48" s="15">
        <v>2</v>
      </c>
    </row>
    <row r="49" spans="1:6" x14ac:dyDescent="0.15">
      <c r="A49" s="50">
        <f>A48/6</f>
        <v>0.33333333333333331</v>
      </c>
      <c r="B49" t="s">
        <v>54</v>
      </c>
    </row>
    <row r="50" spans="1:6" x14ac:dyDescent="0.15">
      <c r="A50" s="52" t="str">
        <f ca="1">_xlfn.FORMULATEXT(A49)</f>
        <v>=A48/6</v>
      </c>
    </row>
    <row r="52" spans="1:6" x14ac:dyDescent="0.15">
      <c r="B52" s="15" t="s">
        <v>59</v>
      </c>
      <c r="C52" s="26" t="s">
        <v>60</v>
      </c>
      <c r="D52" s="26" t="s">
        <v>61</v>
      </c>
      <c r="E52" s="26" t="s">
        <v>62</v>
      </c>
      <c r="F52" s="26" t="s">
        <v>62</v>
      </c>
    </row>
    <row r="53" spans="1:6" x14ac:dyDescent="0.15">
      <c r="B53" s="15"/>
      <c r="C53" s="50">
        <f>A37</f>
        <v>0.5</v>
      </c>
      <c r="D53" s="50">
        <f>A37/A31</f>
        <v>1</v>
      </c>
      <c r="E53" s="50">
        <f>A37/(A31*B31)</f>
        <v>1</v>
      </c>
      <c r="F53" s="50">
        <f>D53/B31</f>
        <v>1</v>
      </c>
    </row>
    <row r="54" spans="1:6" s="33" customFormat="1" ht="13" x14ac:dyDescent="0.15">
      <c r="B54" s="28"/>
      <c r="C54" s="52" t="str">
        <f ca="1">_xlfn.FORMULATEXT(C53)</f>
        <v>=A37</v>
      </c>
      <c r="D54" s="52" t="str">
        <f ca="1">_xlfn.FORMULATEXT(D53)</f>
        <v>=A37/A31</v>
      </c>
      <c r="E54" s="52" t="str">
        <f t="shared" ref="E54:F54" ca="1" si="8">_xlfn.FORMULATEXT(E53)</f>
        <v>=A37/(A31*B31)</v>
      </c>
      <c r="F54" s="52" t="str">
        <f t="shared" ca="1" si="8"/>
        <v>=D53/B31</v>
      </c>
    </row>
    <row r="55" spans="1:6" x14ac:dyDescent="0.15">
      <c r="B55" s="15" t="s">
        <v>63</v>
      </c>
      <c r="C55" s="26" t="s">
        <v>64</v>
      </c>
      <c r="D55" s="26" t="s">
        <v>65</v>
      </c>
      <c r="E55" s="26" t="s">
        <v>66</v>
      </c>
      <c r="F55" s="15"/>
    </row>
    <row r="56" spans="1:6" x14ac:dyDescent="0.15">
      <c r="B56" s="15"/>
      <c r="C56" s="50">
        <f>D37</f>
        <v>0.66666666666666663</v>
      </c>
      <c r="D56" s="50">
        <f>D37/B31</f>
        <v>0.66666666666666663</v>
      </c>
      <c r="E56" s="50">
        <f>D37/(B31*C31)</f>
        <v>1</v>
      </c>
      <c r="F56" s="50">
        <f>D56/C31</f>
        <v>1</v>
      </c>
    </row>
    <row r="57" spans="1:6" s="33" customFormat="1" ht="13" x14ac:dyDescent="0.15">
      <c r="B57" s="28"/>
      <c r="C57" s="52" t="str">
        <f ca="1">_xlfn.FORMULATEXT(C56)</f>
        <v>=D37</v>
      </c>
      <c r="D57" s="52" t="str">
        <f ca="1">_xlfn.FORMULATEXT(D56)</f>
        <v>=D37/B31</v>
      </c>
      <c r="E57" s="52" t="str">
        <f t="shared" ref="E57" ca="1" si="9">_xlfn.FORMULATEXT(E56)</f>
        <v>=D37/(B31*C31)</v>
      </c>
      <c r="F57" s="52" t="str">
        <f t="shared" ref="F57" ca="1" si="10">_xlfn.FORMULATEXT(F56)</f>
        <v>=D56/C31</v>
      </c>
    </row>
    <row r="58" spans="1:6" x14ac:dyDescent="0.15">
      <c r="B58" s="15" t="s">
        <v>67</v>
      </c>
      <c r="C58" s="26" t="s">
        <v>68</v>
      </c>
      <c r="D58" s="26" t="s">
        <v>69</v>
      </c>
      <c r="E58" s="26" t="s">
        <v>70</v>
      </c>
      <c r="F58" s="15"/>
    </row>
    <row r="59" spans="1:6" x14ac:dyDescent="0.15">
      <c r="B59" s="15"/>
      <c r="C59" s="50">
        <f>B43</f>
        <v>0.5</v>
      </c>
      <c r="D59" s="50">
        <f>B43/A37</f>
        <v>1</v>
      </c>
      <c r="E59" s="50">
        <f>B43/(A37*D31)</f>
        <v>1.2</v>
      </c>
      <c r="F59" s="50">
        <f>D59/D31</f>
        <v>1.2</v>
      </c>
    </row>
    <row r="60" spans="1:6" x14ac:dyDescent="0.15">
      <c r="B60" s="15"/>
      <c r="C60" s="52" t="str">
        <f ca="1">_xlfn.FORMULATEXT(C59)</f>
        <v>=B43</v>
      </c>
      <c r="D60" s="52" t="str">
        <f ca="1">_xlfn.FORMULATEXT(D59)</f>
        <v>=B43/A37</v>
      </c>
      <c r="E60" s="52" t="str">
        <f t="shared" ref="E60" ca="1" si="11">_xlfn.FORMULATEXT(E59)</f>
        <v>=B43/(A37*D31)</v>
      </c>
      <c r="F60" s="52" t="str">
        <f t="shared" ref="F60" ca="1" si="12">_xlfn.FORMULATEXT(F59)</f>
        <v>=D59/D31</v>
      </c>
    </row>
    <row r="64" spans="1:6" x14ac:dyDescent="0.15">
      <c r="B64">
        <v>1</v>
      </c>
      <c r="D64">
        <v>1</v>
      </c>
    </row>
    <row r="65" spans="2:4" x14ac:dyDescent="0.15">
      <c r="B65">
        <v>2</v>
      </c>
      <c r="D65">
        <v>2</v>
      </c>
    </row>
    <row r="66" spans="2:4" x14ac:dyDescent="0.15">
      <c r="B66">
        <v>3</v>
      </c>
      <c r="D66">
        <v>3</v>
      </c>
    </row>
    <row r="67" spans="2:4" x14ac:dyDescent="0.15">
      <c r="B67">
        <v>4</v>
      </c>
      <c r="D67">
        <v>4</v>
      </c>
    </row>
  </sheetData>
  <mergeCells count="1">
    <mergeCell ref="G29:J29"/>
  </mergeCells>
  <printOptions headings="1"/>
  <pageMargins left="0.19685039370078741" right="7.874015748031496E-2" top="7.874015748031496E-2" bottom="7.874015748031496E-2" header="7.874015748031496E-2" footer="7.874015748031496E-2"/>
  <pageSetup paperSize="9" scale="61" orientation="portrait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0B41-24D7-AB4A-85CD-D6890FE6D237}">
  <sheetPr>
    <pageSetUpPr fitToPage="1"/>
  </sheetPr>
  <dimension ref="A1:F35"/>
  <sheetViews>
    <sheetView topLeftCell="A7" zoomScale="125" zoomScaleNormal="85" workbookViewId="0">
      <selection activeCell="E30" sqref="E30"/>
    </sheetView>
  </sheetViews>
  <sheetFormatPr baseColWidth="10" defaultColWidth="11.5703125" defaultRowHeight="15" x14ac:dyDescent="0.15"/>
  <cols>
    <col min="1" max="1" width="22.42578125" bestFit="1" customWidth="1"/>
    <col min="4" max="4" width="17.85546875" customWidth="1"/>
    <col min="5" max="5" width="86.42578125" bestFit="1" customWidth="1"/>
    <col min="7" max="7" width="25.5703125" customWidth="1"/>
    <col min="8" max="8" width="6.42578125" customWidth="1"/>
    <col min="9" max="9" width="9.140625" customWidth="1"/>
    <col min="10" max="10" width="10.140625" bestFit="1" customWidth="1"/>
    <col min="11" max="11" width="13.85546875" customWidth="1"/>
    <col min="12" max="12" width="30" bestFit="1" customWidth="1"/>
  </cols>
  <sheetData>
    <row r="1" spans="1:5" x14ac:dyDescent="0.15">
      <c r="A1" s="15" t="s">
        <v>0</v>
      </c>
      <c r="B1" s="16" t="s">
        <v>1</v>
      </c>
      <c r="C1" s="16"/>
      <c r="D1" s="16"/>
      <c r="E1" s="16"/>
    </row>
    <row r="2" spans="1:5" x14ac:dyDescent="0.15">
      <c r="A2" s="37">
        <v>1</v>
      </c>
      <c r="B2" s="15" t="s">
        <v>71</v>
      </c>
      <c r="C2" s="15" t="s">
        <v>72</v>
      </c>
      <c r="D2" s="15" t="s">
        <v>73</v>
      </c>
      <c r="E2" s="15"/>
    </row>
    <row r="3" spans="1:5" x14ac:dyDescent="0.15">
      <c r="A3" s="37">
        <v>2</v>
      </c>
      <c r="B3" s="15" t="s">
        <v>74</v>
      </c>
      <c r="C3" s="15" t="s">
        <v>72</v>
      </c>
      <c r="D3" s="15"/>
      <c r="E3" s="15"/>
    </row>
    <row r="4" spans="1:5" x14ac:dyDescent="0.15">
      <c r="A4" s="37">
        <v>3</v>
      </c>
      <c r="B4" s="15" t="s">
        <v>75</v>
      </c>
      <c r="C4" s="15" t="s">
        <v>76</v>
      </c>
      <c r="D4" s="15" t="s">
        <v>77</v>
      </c>
      <c r="E4" s="15"/>
    </row>
    <row r="5" spans="1:5" x14ac:dyDescent="0.15">
      <c r="A5" s="37">
        <v>4</v>
      </c>
      <c r="B5" s="15" t="s">
        <v>78</v>
      </c>
      <c r="C5" s="15" t="s">
        <v>76</v>
      </c>
      <c r="D5" s="15" t="s">
        <v>75</v>
      </c>
      <c r="E5" s="15"/>
    </row>
    <row r="6" spans="1:5" x14ac:dyDescent="0.15">
      <c r="A6" s="37">
        <v>5</v>
      </c>
      <c r="B6" s="15" t="s">
        <v>72</v>
      </c>
      <c r="C6" s="15" t="s">
        <v>71</v>
      </c>
      <c r="D6" s="15" t="s">
        <v>73</v>
      </c>
      <c r="E6" s="15"/>
    </row>
    <row r="7" spans="1:5" x14ac:dyDescent="0.15">
      <c r="A7" s="37">
        <v>6</v>
      </c>
      <c r="B7" s="15" t="s">
        <v>72</v>
      </c>
      <c r="C7" s="15" t="s">
        <v>73</v>
      </c>
      <c r="D7" s="15" t="s">
        <v>74</v>
      </c>
      <c r="E7" s="15"/>
    </row>
    <row r="8" spans="1:5" x14ac:dyDescent="0.15">
      <c r="A8" s="37">
        <v>7</v>
      </c>
      <c r="B8" s="15" t="s">
        <v>77</v>
      </c>
      <c r="C8" s="15" t="s">
        <v>73</v>
      </c>
      <c r="D8" s="15" t="s">
        <v>72</v>
      </c>
      <c r="E8" s="15"/>
    </row>
    <row r="9" spans="1:5" x14ac:dyDescent="0.15">
      <c r="A9" s="37">
        <v>8</v>
      </c>
      <c r="B9" s="15" t="s">
        <v>72</v>
      </c>
      <c r="C9" s="15" t="s">
        <v>74</v>
      </c>
      <c r="D9" s="15" t="s">
        <v>77</v>
      </c>
      <c r="E9" s="15"/>
    </row>
    <row r="10" spans="1:5" x14ac:dyDescent="0.15">
      <c r="A10" s="37">
        <v>9</v>
      </c>
      <c r="B10" s="15" t="s">
        <v>78</v>
      </c>
      <c r="C10" s="15" t="s">
        <v>72</v>
      </c>
      <c r="D10" s="15" t="s">
        <v>75</v>
      </c>
      <c r="E10" s="15" t="s">
        <v>73</v>
      </c>
    </row>
    <row r="11" spans="1:5" x14ac:dyDescent="0.15">
      <c r="A11" s="37">
        <v>10</v>
      </c>
      <c r="B11" s="15" t="s">
        <v>73</v>
      </c>
      <c r="C11" s="15" t="s">
        <v>71</v>
      </c>
      <c r="D11" s="15" t="s">
        <v>75</v>
      </c>
      <c r="E11" s="15"/>
    </row>
    <row r="13" spans="1:5" x14ac:dyDescent="0.15">
      <c r="A13" s="15"/>
      <c r="B13" s="36" t="s">
        <v>79</v>
      </c>
      <c r="C13" s="15" t="s">
        <v>54</v>
      </c>
      <c r="D13" s="15"/>
    </row>
    <row r="14" spans="1:5" x14ac:dyDescent="0.15">
      <c r="A14" s="15" t="s">
        <v>72</v>
      </c>
      <c r="B14" s="15">
        <f t="shared" ref="B14:B21" si="0">COUNTIF($B$2:$E$11,A14)</f>
        <v>7</v>
      </c>
      <c r="C14" s="15">
        <f>B14/MAX($A$2:$A$11)</f>
        <v>0.7</v>
      </c>
      <c r="D14" s="28" t="str">
        <f t="shared" ref="D14:D21" ca="1" si="1">_xlfn.FORMULATEXT(C14)</f>
        <v>=B14/MAX($A$2:$A$11)</v>
      </c>
      <c r="E14" t="s">
        <v>80</v>
      </c>
    </row>
    <row r="15" spans="1:5" x14ac:dyDescent="0.15">
      <c r="A15" s="15" t="s">
        <v>73</v>
      </c>
      <c r="B15" s="15">
        <f t="shared" si="0"/>
        <v>6</v>
      </c>
      <c r="C15" s="15">
        <f t="shared" ref="C15:C24" si="2">B15/MAX($A$2:$A$11)</f>
        <v>0.6</v>
      </c>
      <c r="D15" s="28" t="str">
        <f t="shared" ca="1" si="1"/>
        <v>=B15/MAX($A$2:$A$11)</v>
      </c>
      <c r="E15" t="s">
        <v>81</v>
      </c>
    </row>
    <row r="16" spans="1:5" x14ac:dyDescent="0.15">
      <c r="A16" s="15" t="s">
        <v>75</v>
      </c>
      <c r="B16" s="15">
        <f t="shared" si="0"/>
        <v>4</v>
      </c>
      <c r="C16" s="15">
        <f t="shared" si="2"/>
        <v>0.4</v>
      </c>
      <c r="D16" s="28" t="str">
        <f t="shared" ca="1" si="1"/>
        <v>=B16/MAX($A$2:$A$11)</v>
      </c>
      <c r="E16" t="s">
        <v>82</v>
      </c>
    </row>
    <row r="17" spans="1:6" x14ac:dyDescent="0.15">
      <c r="A17" s="15" t="s">
        <v>71</v>
      </c>
      <c r="B17" s="15">
        <f t="shared" si="0"/>
        <v>3</v>
      </c>
      <c r="C17" s="15">
        <f t="shared" si="2"/>
        <v>0.3</v>
      </c>
      <c r="D17" s="28" t="str">
        <f t="shared" ca="1" si="1"/>
        <v>=B17/MAX($A$2:$A$11)</v>
      </c>
      <c r="E17" t="s">
        <v>83</v>
      </c>
    </row>
    <row r="18" spans="1:6" x14ac:dyDescent="0.15">
      <c r="A18" s="15" t="s">
        <v>74</v>
      </c>
      <c r="B18" s="15">
        <f t="shared" si="0"/>
        <v>3</v>
      </c>
      <c r="C18" s="15">
        <f t="shared" si="2"/>
        <v>0.3</v>
      </c>
      <c r="D18" s="28" t="str">
        <f t="shared" ca="1" si="1"/>
        <v>=B18/MAX($A$2:$A$11)</v>
      </c>
      <c r="E18" t="s">
        <v>84</v>
      </c>
    </row>
    <row r="19" spans="1:6" x14ac:dyDescent="0.15">
      <c r="A19" s="15" t="s">
        <v>77</v>
      </c>
      <c r="B19" s="15">
        <f t="shared" si="0"/>
        <v>3</v>
      </c>
      <c r="C19" s="15">
        <f t="shared" si="2"/>
        <v>0.3</v>
      </c>
      <c r="D19" s="28" t="str">
        <f t="shared" ca="1" si="1"/>
        <v>=B19/MAX($A$2:$A$11)</v>
      </c>
      <c r="E19" t="s">
        <v>85</v>
      </c>
    </row>
    <row r="20" spans="1:6" x14ac:dyDescent="0.15">
      <c r="A20" s="15" t="s">
        <v>76</v>
      </c>
      <c r="B20" s="15">
        <f t="shared" si="0"/>
        <v>2</v>
      </c>
      <c r="C20" s="15">
        <f t="shared" si="2"/>
        <v>0.2</v>
      </c>
      <c r="D20" s="28" t="str">
        <f t="shared" ca="1" si="1"/>
        <v>=B20/MAX($A$2:$A$11)</v>
      </c>
    </row>
    <row r="21" spans="1:6" x14ac:dyDescent="0.15">
      <c r="A21" s="15" t="s">
        <v>78</v>
      </c>
      <c r="B21" s="15">
        <f t="shared" si="0"/>
        <v>2</v>
      </c>
      <c r="C21" s="15">
        <f t="shared" si="2"/>
        <v>0.2</v>
      </c>
      <c r="D21" s="28" t="str">
        <f t="shared" ca="1" si="1"/>
        <v>=B21/MAX($A$2:$A$11)</v>
      </c>
    </row>
    <row r="22" spans="1:6" x14ac:dyDescent="0.15">
      <c r="D22" s="34"/>
      <c r="E22" t="s">
        <v>86</v>
      </c>
    </row>
    <row r="23" spans="1:6" x14ac:dyDescent="0.15">
      <c r="A23" t="s">
        <v>87</v>
      </c>
      <c r="B23" cm="1">
        <f t="array" ref="B23">SUM(_xlfn.BYROW(B$2:E$11, _xlfn.LAMBDA(_xlpm.row, IF(COUNTIF(_xlpm.row,A14)&gt;0, IF(COUNTIF(_xlpm.row,A15)&gt;0,1,0),0))))</f>
        <v>5</v>
      </c>
      <c r="C23">
        <f t="shared" si="2"/>
        <v>0.5</v>
      </c>
      <c r="D23" s="33" t="str">
        <f ca="1">_xlfn.FORMULATEXT(C23)</f>
        <v>=B23/MAX($A$2:$A$11)</v>
      </c>
      <c r="E23" s="31" t="str">
        <f ca="1">_xlfn.FORMULATEXT(B23)</f>
        <v>=SUM(BYROW(B$2:E$11, LAMBDA(row, IF(COUNTIF(row,A14)&gt;0, IF(COUNTIF(row,A15)&gt;0,1,0),0))))</v>
      </c>
    </row>
    <row r="24" spans="1:6" x14ac:dyDescent="0.15">
      <c r="A24" s="32" t="s">
        <v>88</v>
      </c>
      <c r="B24" s="32" cm="1">
        <f t="array" ref="B24">SUM(_xlfn.BYROW(B$2:E$11, _xlfn.LAMBDA(_xlpm.row, IF(COUNTIF(_xlpm.row,A15)&gt;0, IF(COUNTIF(_xlpm.row,A16)&gt;0,1,0),0))))</f>
        <v>2</v>
      </c>
      <c r="C24">
        <f t="shared" si="2"/>
        <v>0.2</v>
      </c>
      <c r="D24" s="33" t="str">
        <f ca="1">_xlfn.FORMULATEXT(C24)</f>
        <v>=B24/MAX($A$2:$A$11)</v>
      </c>
      <c r="E24" s="31" t="s">
        <v>89</v>
      </c>
    </row>
    <row r="25" spans="1:6" x14ac:dyDescent="0.15">
      <c r="E25" s="31"/>
    </row>
    <row r="26" spans="1:6" x14ac:dyDescent="0.15">
      <c r="A26" s="21" t="s">
        <v>90</v>
      </c>
      <c r="B26" s="21"/>
      <c r="C26" s="21">
        <f>C23/C14</f>
        <v>0.7142857142857143</v>
      </c>
      <c r="D26" s="22" t="str">
        <f ca="1">_xlfn.FORMULATEXT(C26)</f>
        <v>=C23/C14</v>
      </c>
    </row>
    <row r="27" spans="1:6" x14ac:dyDescent="0.15">
      <c r="A27" s="21" t="s">
        <v>136</v>
      </c>
      <c r="B27" s="21"/>
      <c r="C27" s="21">
        <f>C26/C15</f>
        <v>1.1904761904761905</v>
      </c>
      <c r="D27" s="22" t="str">
        <f ca="1">_xlfn.FORMULATEXT(C27)</f>
        <v>=C26/C15</v>
      </c>
      <c r="F27" t="s">
        <v>86</v>
      </c>
    </row>
    <row r="29" spans="1:6" x14ac:dyDescent="0.15">
      <c r="A29" s="15" t="s">
        <v>92</v>
      </c>
      <c r="B29" s="15"/>
      <c r="C29" s="15">
        <f>C23/C15</f>
        <v>0.83333333333333337</v>
      </c>
      <c r="D29" s="15" t="str">
        <f ca="1">_xlfn.FORMULATEXT(C29)</f>
        <v>=C23/C15</v>
      </c>
    </row>
    <row r="31" spans="1:6" x14ac:dyDescent="0.15">
      <c r="A31" s="26" t="s">
        <v>93</v>
      </c>
      <c r="B31" s="26"/>
      <c r="C31" s="15">
        <f>(1-C15)/(1-C26)</f>
        <v>1.4000000000000001</v>
      </c>
      <c r="D31" s="28" t="str">
        <f ca="1">_xlfn.FORMULATEXT(C31)</f>
        <v>=(1-C15)/(1-C26)</v>
      </c>
      <c r="E31" s="56" t="s">
        <v>94</v>
      </c>
    </row>
    <row r="32" spans="1:6" x14ac:dyDescent="0.15">
      <c r="A32" s="26" t="s">
        <v>95</v>
      </c>
      <c r="B32" s="26"/>
      <c r="C32" s="15">
        <f>(1-C14)/(1-C29)</f>
        <v>1.8000000000000007</v>
      </c>
      <c r="D32" s="28" t="str">
        <f ca="1">_xlfn.FORMULATEXT(C32)</f>
        <v>=(1-C14)/(1-C29)</v>
      </c>
      <c r="E32" s="56"/>
    </row>
    <row r="35" spans="2:2" x14ac:dyDescent="0.15">
      <c r="B35" t="s">
        <v>96</v>
      </c>
    </row>
  </sheetData>
  <mergeCells count="1">
    <mergeCell ref="E31:E32"/>
  </mergeCells>
  <printOptions horizontalCentered="1" verticalCentered="1" headings="1"/>
  <pageMargins left="0.19685039370078741" right="7.874015748031496E-2" top="7.874015748031496E-2" bottom="7.874015748031496E-2" header="7.874015748031496E-2" footer="7.874015748031496E-2"/>
  <pageSetup paperSize="9" scale="52" orientation="portrait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E900-B8CE-44C8-A5B6-D311CF89A1CE}">
  <dimension ref="A1:AB129"/>
  <sheetViews>
    <sheetView tabSelected="1" zoomScale="178" zoomScaleNormal="55" workbookViewId="0">
      <selection activeCell="G15" sqref="G15"/>
    </sheetView>
  </sheetViews>
  <sheetFormatPr baseColWidth="10" defaultColWidth="8.5703125" defaultRowHeight="15" x14ac:dyDescent="0.15"/>
  <cols>
    <col min="1" max="1" width="10.42578125" bestFit="1" customWidth="1"/>
    <col min="2" max="2" width="11.42578125" bestFit="1" customWidth="1"/>
    <col min="3" max="3" width="12" bestFit="1" customWidth="1"/>
    <col min="4" max="4" width="5.140625" bestFit="1" customWidth="1"/>
    <col min="5" max="5" width="12.5703125" bestFit="1" customWidth="1"/>
    <col min="9" max="9" width="18.140625" bestFit="1" customWidth="1"/>
    <col min="10" max="10" width="10" bestFit="1" customWidth="1"/>
    <col min="14" max="14" width="21.42578125" bestFit="1" customWidth="1"/>
    <col min="15" max="15" width="18.140625" bestFit="1" customWidth="1"/>
    <col min="16" max="16" width="12.5703125" bestFit="1" customWidth="1"/>
    <col min="17" max="17" width="10" bestFit="1" customWidth="1"/>
    <col min="19" max="20" width="10.5703125" bestFit="1" customWidth="1"/>
    <col min="22" max="22" width="18.140625" bestFit="1" customWidth="1"/>
    <col min="23" max="24" width="12.5703125" bestFit="1" customWidth="1"/>
    <col min="25" max="25" width="10" bestFit="1" customWidth="1"/>
    <col min="27" max="27" width="10" bestFit="1" customWidth="1"/>
    <col min="28" max="28" width="12.42578125" bestFit="1" customWidth="1"/>
  </cols>
  <sheetData>
    <row r="1" spans="1:28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  <c r="I1" s="1" t="s">
        <v>102</v>
      </c>
      <c r="J1" s="7" t="s">
        <v>35</v>
      </c>
      <c r="K1" s="1" t="s">
        <v>54</v>
      </c>
      <c r="L1" s="1"/>
      <c r="M1" s="1"/>
      <c r="N1" s="1"/>
      <c r="O1" s="1" t="s">
        <v>103</v>
      </c>
      <c r="P1" s="7" t="s">
        <v>35</v>
      </c>
      <c r="Q1" s="1" t="s">
        <v>54</v>
      </c>
      <c r="R1" s="1"/>
      <c r="S1" s="1" t="s">
        <v>100</v>
      </c>
      <c r="T1" s="7" t="s">
        <v>35</v>
      </c>
      <c r="U1" s="1" t="s">
        <v>54</v>
      </c>
      <c r="V1" s="1"/>
      <c r="W1" s="1" t="s">
        <v>104</v>
      </c>
      <c r="X1" s="7" t="s">
        <v>35</v>
      </c>
      <c r="Y1" s="1" t="s">
        <v>54</v>
      </c>
    </row>
    <row r="2" spans="1:28" x14ac:dyDescent="0.15">
      <c r="A2">
        <v>1</v>
      </c>
      <c r="B2" t="s">
        <v>105</v>
      </c>
      <c r="C2" t="s">
        <v>106</v>
      </c>
      <c r="D2" t="s">
        <v>107</v>
      </c>
      <c r="E2" t="s">
        <v>108</v>
      </c>
      <c r="I2" t="s">
        <v>109</v>
      </c>
      <c r="J2" s="2">
        <f>COUNTIF($B$2:$E$129,I2)</f>
        <v>32</v>
      </c>
      <c r="K2" s="5">
        <f>J2/MAX($A:$A)</f>
        <v>0.25</v>
      </c>
      <c r="L2" s="5"/>
      <c r="M2" s="5"/>
      <c r="O2" t="s">
        <v>106</v>
      </c>
      <c r="P2" s="2">
        <f>COUNTIF($B$2:$E$129,O2)</f>
        <v>92</v>
      </c>
      <c r="Q2" s="5">
        <f>P2/MAX($A:$A)</f>
        <v>0.71875</v>
      </c>
      <c r="S2" t="s">
        <v>110</v>
      </c>
      <c r="T2" s="2">
        <f>COUNTIF($B$2:$E$129,S2)</f>
        <v>43</v>
      </c>
      <c r="U2" s="5">
        <f>T2/MAX($A:$A)</f>
        <v>0.3359375</v>
      </c>
      <c r="W2" t="s">
        <v>111</v>
      </c>
      <c r="X2" s="2">
        <f>COUNTIF($B$2:$E$129,W2)</f>
        <v>33</v>
      </c>
      <c r="Y2" s="5">
        <f>X2/MAX($A:$A)</f>
        <v>0.2578125</v>
      </c>
    </row>
    <row r="3" spans="1:28" x14ac:dyDescent="0.15">
      <c r="A3">
        <v>2</v>
      </c>
      <c r="B3" t="s">
        <v>105</v>
      </c>
      <c r="C3" t="s">
        <v>106</v>
      </c>
      <c r="D3" t="s">
        <v>112</v>
      </c>
      <c r="E3" t="s">
        <v>108</v>
      </c>
      <c r="I3" t="s">
        <v>113</v>
      </c>
      <c r="J3" s="2">
        <f t="shared" ref="J3:J6" si="0">COUNTIF($B$2:$E$129,I3)</f>
        <v>19</v>
      </c>
      <c r="K3" s="5">
        <f t="shared" ref="K3:K6" si="1">J3/MAX($A:$A)</f>
        <v>0.1484375</v>
      </c>
      <c r="L3" s="5"/>
      <c r="M3" s="5"/>
      <c r="O3" t="s">
        <v>114</v>
      </c>
      <c r="P3" s="2">
        <f t="shared" ref="P3:P4" si="2">COUNTIF($B$2:$E$129,O3)</f>
        <v>6</v>
      </c>
      <c r="Q3" s="5">
        <f t="shared" ref="Q3:Q4" si="3">P3/MAX($A:$A)</f>
        <v>4.6875E-2</v>
      </c>
      <c r="S3" t="s">
        <v>115</v>
      </c>
      <c r="T3" s="2">
        <f t="shared" ref="T3:T6" si="4">COUNTIF($B$2:$E$129,S3)</f>
        <v>8</v>
      </c>
      <c r="U3" s="5">
        <f t="shared" ref="U3:U6" si="5">T3/MAX($A:$A)</f>
        <v>6.25E-2</v>
      </c>
      <c r="W3" t="s">
        <v>108</v>
      </c>
      <c r="X3" s="2">
        <f t="shared" ref="X3" si="6">COUNTIF($B$2:$E$129,W3)</f>
        <v>95</v>
      </c>
      <c r="Y3" s="5">
        <f t="shared" ref="Y3" si="7">X3/MAX($A:$A)</f>
        <v>0.7421875</v>
      </c>
    </row>
    <row r="4" spans="1:28" x14ac:dyDescent="0.15">
      <c r="A4">
        <v>3</v>
      </c>
      <c r="B4" t="s">
        <v>116</v>
      </c>
      <c r="C4" t="s">
        <v>106</v>
      </c>
      <c r="D4" t="s">
        <v>112</v>
      </c>
      <c r="E4" t="s">
        <v>108</v>
      </c>
      <c r="I4" t="s">
        <v>116</v>
      </c>
      <c r="J4" s="2">
        <f t="shared" si="0"/>
        <v>26</v>
      </c>
      <c r="K4" s="5">
        <f t="shared" si="1"/>
        <v>0.203125</v>
      </c>
      <c r="L4" s="5"/>
      <c r="M4" s="5"/>
      <c r="O4" t="s">
        <v>117</v>
      </c>
      <c r="P4" s="2">
        <f t="shared" si="2"/>
        <v>30</v>
      </c>
      <c r="Q4" s="5">
        <f t="shared" si="3"/>
        <v>0.234375</v>
      </c>
      <c r="S4" t="s">
        <v>118</v>
      </c>
      <c r="T4" s="2">
        <f t="shared" si="4"/>
        <v>26</v>
      </c>
      <c r="U4" s="5">
        <f t="shared" si="5"/>
        <v>0.203125</v>
      </c>
    </row>
    <row r="5" spans="1:28" x14ac:dyDescent="0.15">
      <c r="A5">
        <v>4</v>
      </c>
      <c r="B5" t="s">
        <v>116</v>
      </c>
      <c r="C5" t="s">
        <v>106</v>
      </c>
      <c r="D5" t="s">
        <v>115</v>
      </c>
      <c r="E5" t="s">
        <v>108</v>
      </c>
      <c r="I5" t="s">
        <v>119</v>
      </c>
      <c r="J5" s="2">
        <f t="shared" si="0"/>
        <v>29</v>
      </c>
      <c r="K5" s="5">
        <f t="shared" si="1"/>
        <v>0.2265625</v>
      </c>
      <c r="L5" s="5"/>
      <c r="M5" s="5"/>
      <c r="P5" s="2"/>
      <c r="Q5" s="3"/>
      <c r="S5" t="s">
        <v>112</v>
      </c>
      <c r="T5" s="2">
        <f t="shared" si="4"/>
        <v>26</v>
      </c>
      <c r="U5" s="5">
        <f t="shared" si="5"/>
        <v>0.203125</v>
      </c>
    </row>
    <row r="6" spans="1:28" x14ac:dyDescent="0.15">
      <c r="A6">
        <v>5</v>
      </c>
      <c r="B6" t="s">
        <v>116</v>
      </c>
      <c r="C6" t="s">
        <v>106</v>
      </c>
      <c r="D6" t="s">
        <v>112</v>
      </c>
      <c r="E6" t="s">
        <v>108</v>
      </c>
      <c r="I6" t="s">
        <v>105</v>
      </c>
      <c r="J6" s="2">
        <f t="shared" si="0"/>
        <v>22</v>
      </c>
      <c r="K6" s="5">
        <f t="shared" si="1"/>
        <v>0.171875</v>
      </c>
      <c r="L6" s="5"/>
      <c r="M6" s="5"/>
      <c r="P6" s="2"/>
      <c r="Q6" s="3"/>
      <c r="S6" t="s">
        <v>107</v>
      </c>
      <c r="T6" s="2">
        <f t="shared" si="4"/>
        <v>25</v>
      </c>
      <c r="U6" s="5">
        <f t="shared" si="5"/>
        <v>0.1953125</v>
      </c>
    </row>
    <row r="7" spans="1:28" x14ac:dyDescent="0.15">
      <c r="A7">
        <v>6</v>
      </c>
      <c r="B7" t="s">
        <v>119</v>
      </c>
      <c r="C7" t="s">
        <v>106</v>
      </c>
      <c r="D7" t="s">
        <v>118</v>
      </c>
      <c r="E7" t="s">
        <v>108</v>
      </c>
    </row>
    <row r="8" spans="1:28" x14ac:dyDescent="0.15">
      <c r="A8">
        <v>7</v>
      </c>
      <c r="B8" t="s">
        <v>105</v>
      </c>
      <c r="C8" t="s">
        <v>106</v>
      </c>
      <c r="D8" t="s">
        <v>112</v>
      </c>
      <c r="E8" t="s">
        <v>108</v>
      </c>
      <c r="I8" s="1" t="s">
        <v>16</v>
      </c>
      <c r="J8" s="7" t="s">
        <v>35</v>
      </c>
      <c r="K8" s="1" t="s">
        <v>54</v>
      </c>
      <c r="L8" s="1" t="s">
        <v>120</v>
      </c>
      <c r="M8" s="1" t="s">
        <v>91</v>
      </c>
      <c r="O8" s="1" t="s">
        <v>121</v>
      </c>
      <c r="P8" s="1" t="s">
        <v>104</v>
      </c>
      <c r="Q8" s="7" t="s">
        <v>35</v>
      </c>
      <c r="R8" s="1" t="s">
        <v>54</v>
      </c>
      <c r="S8" s="1" t="s">
        <v>120</v>
      </c>
      <c r="T8" s="1" t="s">
        <v>91</v>
      </c>
      <c r="U8" s="1"/>
      <c r="V8" s="57" t="s">
        <v>122</v>
      </c>
      <c r="W8" s="57"/>
      <c r="X8" s="1" t="s">
        <v>104</v>
      </c>
      <c r="Y8" s="7" t="s">
        <v>35</v>
      </c>
      <c r="Z8" s="1" t="s">
        <v>54</v>
      </c>
      <c r="AA8" s="1" t="s">
        <v>120</v>
      </c>
      <c r="AB8" s="1" t="s">
        <v>91</v>
      </c>
    </row>
    <row r="9" spans="1:28" x14ac:dyDescent="0.15">
      <c r="A9">
        <v>8</v>
      </c>
      <c r="B9" t="s">
        <v>116</v>
      </c>
      <c r="C9" t="s">
        <v>106</v>
      </c>
      <c r="D9" t="s">
        <v>115</v>
      </c>
      <c r="E9" t="s">
        <v>108</v>
      </c>
      <c r="I9" t="str">
        <f>I$2&amp;" "&amp;O2</f>
        <v>Level 1 ไม่ได้ส่วนลด</v>
      </c>
      <c r="J9" s="2" cm="1">
        <f t="array" ref="J9">SUM(_xlfn.BYROW($B$2:E129, _xlfn.LAMBDA(_xlpm.row, IF(COUNTIF(_xlpm.row,MID(I9,1,7))&gt;0, IF(COUNTIF(_xlpm.row,MID(I9,9,LEN(I9)))&gt;0,1,0),0))))</f>
        <v>5</v>
      </c>
      <c r="K9" s="5">
        <f>J9/MAX(A:A)</f>
        <v>3.90625E-2</v>
      </c>
      <c r="L9" s="5">
        <f>K9/$K$2</f>
        <v>0.15625</v>
      </c>
      <c r="M9" s="5">
        <f>K9/($K$2*Q2)</f>
        <v>0.21739130434782608</v>
      </c>
      <c r="O9" t="str">
        <f>I9</f>
        <v>Level 1 ไม่ได้ส่วนลด</v>
      </c>
      <c r="P9" t="str">
        <f>$W$2</f>
        <v>Converted</v>
      </c>
      <c r="Q9" cm="1">
        <f t="array" ref="Q9">SUM(_xlfn.BYROW($B$2:E129,_xlfn.LAMBDA(_xlpm.row,IF(COUNTIF(_xlpm.row,MID(O9,1,7))&gt;0,IF(COUNTIF(_xlpm.row,MID(O9,9,LEN(O9)))&gt;0,IF(COUNTIF(_xlpm.row,P9)&gt;0,1,0),0)))))</f>
        <v>0</v>
      </c>
      <c r="R9" s="6">
        <f>Q9/MAX(A:A)</f>
        <v>0</v>
      </c>
      <c r="S9" s="8">
        <f>IFERROR(R9/VLOOKUP(O9,$I$9:$K$21,3,0),0)</f>
        <v>0</v>
      </c>
      <c r="T9" s="6">
        <f>R9/(VLOOKUP(O9,$I$9:$K$21,3,0)*VLOOKUP(P9,$W$2:$Y$3,3))</f>
        <v>0</v>
      </c>
      <c r="U9" s="6"/>
      <c r="V9" s="9" t="str">
        <f>O9</f>
        <v>Level 1 ไม่ได้ส่วนลด</v>
      </c>
      <c r="W9" s="10" t="s">
        <v>110</v>
      </c>
      <c r="X9" t="str">
        <f t="shared" ref="X9" si="8">$W$2</f>
        <v>Converted</v>
      </c>
      <c r="Y9" cm="1">
        <f t="array" ref="Y9">SUM(_xlfn.BYROW($B$2:$E$129,_xlfn.LAMBDA(_xlpm.row,IF(COUNTIF(_xlpm.row,MID(V9,1,7))&gt;0,IF(COUNTIF(_xlpm.row,MID(V9,9,LEN(V9)))&gt;0,IF(COUNTIF(_xlpm.row,W9)&gt;0,IF(COUNTIF(_xlpm.row,X9)&gt;0,1,0),0))))))</f>
        <v>0</v>
      </c>
      <c r="Z9" s="6">
        <f t="shared" ref="Z9:Z40" si="9">Y9/MAX(A:A)</f>
        <v>0</v>
      </c>
      <c r="AA9" s="8">
        <f>IFERROR(Z9/VLOOKUP(V9&amp;W9,$N$36:$R$95,5,0),0)</f>
        <v>0</v>
      </c>
      <c r="AB9">
        <f>IFERROR(Z9/ (VLOOKUP(V9&amp;W9,$N$36:$R$95,5,0)*VLOOKUP(X9,$W$2:$Y$3,3,0) ),0)</f>
        <v>0</v>
      </c>
    </row>
    <row r="10" spans="1:28" x14ac:dyDescent="0.15">
      <c r="A10">
        <v>9</v>
      </c>
      <c r="B10" t="s">
        <v>105</v>
      </c>
      <c r="C10" t="s">
        <v>106</v>
      </c>
      <c r="D10" t="s">
        <v>115</v>
      </c>
      <c r="E10" t="s">
        <v>108</v>
      </c>
      <c r="I10" t="str">
        <f t="shared" ref="I10:I11" si="10">I$2&amp;" "&amp;O3</f>
        <v>Level 1 ส่วนลดน้อย</v>
      </c>
      <c r="J10" s="2" cm="1">
        <f t="array" ref="J10">SUM(_xlfn.BYROW($B$2:E130, _xlfn.LAMBDA(_xlpm.row, IF(COUNTIF(_xlpm.row,MID(I10,1,7))&gt;0, IF(COUNTIF(_xlpm.row,MID(I10,9,LEN(I10)))&gt;0,1,0),0))))</f>
        <v>1</v>
      </c>
      <c r="K10" s="5">
        <f t="shared" ref="K10:K20" si="11">J10/MAX(A:A)</f>
        <v>7.8125E-3</v>
      </c>
      <c r="L10" s="5">
        <f t="shared" ref="L10:L11" si="12">K10/$K$2</f>
        <v>3.125E-2</v>
      </c>
      <c r="M10" s="5">
        <f t="shared" ref="M10:M11" si="13">K10/($K$2*Q3)</f>
        <v>0.66666666666666663</v>
      </c>
      <c r="O10" t="str">
        <f>I9</f>
        <v>Level 1 ไม่ได้ส่วนลด</v>
      </c>
      <c r="P10" t="str">
        <f>$W$3</f>
        <v>Not Converted</v>
      </c>
      <c r="Q10" cm="1">
        <f t="array" ref="Q10">SUM(_xlfn.BYROW($B$2:E130,_xlfn.LAMBDA(_xlpm.row,IF(COUNTIF(_xlpm.row,MID(O10,1,7))&gt;0,IF(COUNTIF(_xlpm.row,MID(O10,9,LEN(O10)))&gt;0,IF(COUNTIF(_xlpm.row,P10)&gt;0,1,0),0)))))</f>
        <v>5</v>
      </c>
      <c r="R10" s="6">
        <f t="shared" ref="R10:R32" si="14">Q10/MAX(A:A)</f>
        <v>3.90625E-2</v>
      </c>
      <c r="S10" s="8">
        <f t="shared" ref="S10:S32" si="15">IFERROR(R10/VLOOKUP(O10,$I$9:$K$21,3,0),0)</f>
        <v>1</v>
      </c>
      <c r="T10" s="6">
        <f t="shared" ref="T10:T32" si="16">R10/(VLOOKUP(O10,$I$9:$K$21,3,0)*VLOOKUP(P10,$W$2:$Y$3,3))</f>
        <v>1.3473684210526315</v>
      </c>
      <c r="U10" s="6"/>
      <c r="V10" s="11" t="str">
        <f>O10</f>
        <v>Level 1 ไม่ได้ส่วนลด</v>
      </c>
      <c r="W10" s="12" t="s">
        <v>110</v>
      </c>
      <c r="X10" t="str">
        <f t="shared" ref="X10" si="17">$W$3</f>
        <v>Not Converted</v>
      </c>
      <c r="Y10" cm="1">
        <f t="array" ref="Y10">SUM(_xlfn.BYROW($B$2:$E$129,_xlfn.LAMBDA(_xlpm.row,IF(COUNTIF(_xlpm.row,MID(V10,1,7))&gt;0,IF(COUNTIF(_xlpm.row,MID(V10,9,LEN(V10)))&gt;0,IF(COUNTIF(_xlpm.row,W10)&gt;0,IF(COUNTIF(_xlpm.row,X10)&gt;0,1,0),0))))))</f>
        <v>1</v>
      </c>
      <c r="Z10" s="6">
        <f t="shared" si="9"/>
        <v>7.8125E-3</v>
      </c>
      <c r="AA10" s="8">
        <f t="shared" ref="AA10:AA73" si="18">IFERROR(Z10/VLOOKUP(V10&amp;W10,$N$36:$R$95,5,0),0)</f>
        <v>1</v>
      </c>
      <c r="AB10">
        <f t="shared" ref="AB10:AB73" si="19">IFERROR(Z10/ (VLOOKUP(V10&amp;W10,$N$36:$R$95,5,0)*VLOOKUP(X10,$W$2:$Y$3,3,0) ),0)</f>
        <v>1.3473684210526315</v>
      </c>
    </row>
    <row r="11" spans="1:28" x14ac:dyDescent="0.15">
      <c r="A11">
        <v>10</v>
      </c>
      <c r="B11" t="s">
        <v>105</v>
      </c>
      <c r="C11" t="s">
        <v>106</v>
      </c>
      <c r="D11" t="s">
        <v>107</v>
      </c>
      <c r="E11" t="s">
        <v>108</v>
      </c>
      <c r="I11" t="str">
        <f t="shared" si="10"/>
        <v>Level 1 ได้ส่วนลดมาก</v>
      </c>
      <c r="J11" s="2" cm="1">
        <f t="array" ref="J11">SUM(_xlfn.BYROW($B$2:E131, _xlfn.LAMBDA(_xlpm.row, IF(COUNTIF(_xlpm.row,MID(I11,1,7))&gt;0, IF(COUNTIF(_xlpm.row,MID(I11,9,LEN(I11)))&gt;0,1,0),0))))</f>
        <v>26</v>
      </c>
      <c r="K11" s="5">
        <f t="shared" si="11"/>
        <v>0.203125</v>
      </c>
      <c r="L11" s="5">
        <f t="shared" si="12"/>
        <v>0.8125</v>
      </c>
      <c r="M11" s="5">
        <f t="shared" si="13"/>
        <v>3.4666666666666668</v>
      </c>
      <c r="O11" t="str">
        <f>I10</f>
        <v>Level 1 ส่วนลดน้อย</v>
      </c>
      <c r="P11" t="str">
        <f t="shared" ref="P11" si="20">$W$2</f>
        <v>Converted</v>
      </c>
      <c r="Q11" cm="1">
        <f t="array" ref="Q11">SUM(_xlfn.BYROW($B$2:E131,_xlfn.LAMBDA(_xlpm.row,IF(COUNTIF(_xlpm.row,MID(O11,1,7))&gt;0,IF(COUNTIF(_xlpm.row,MID(O11,9,LEN(O11)))&gt;0,IF(COUNTIF(_xlpm.row,P11)&gt;0,1,0),0)))))</f>
        <v>0</v>
      </c>
      <c r="R11" s="6">
        <f t="shared" si="14"/>
        <v>0</v>
      </c>
      <c r="S11" s="8">
        <f t="shared" si="15"/>
        <v>0</v>
      </c>
      <c r="T11" s="6">
        <f t="shared" si="16"/>
        <v>0</v>
      </c>
      <c r="U11" s="6"/>
      <c r="V11" s="11" t="str">
        <f>O9</f>
        <v>Level 1 ไม่ได้ส่วนลด</v>
      </c>
      <c r="W11" s="12" t="s">
        <v>115</v>
      </c>
      <c r="X11" t="str">
        <f t="shared" ref="X11" si="21">$W$2</f>
        <v>Converted</v>
      </c>
      <c r="Y11" cm="1">
        <f t="array" ref="Y11">SUM(_xlfn.BYROW($B$2:$E$129,_xlfn.LAMBDA(_xlpm.row,IF(COUNTIF(_xlpm.row,MID(V11,1,7))&gt;0,IF(COUNTIF(_xlpm.row,MID(V11,9,LEN(V11)))&gt;0,IF(COUNTIF(_xlpm.row,W11)&gt;0,IF(COUNTIF(_xlpm.row,X11)&gt;0,1,0),0))))))</f>
        <v>0</v>
      </c>
      <c r="Z11" s="6">
        <f t="shared" si="9"/>
        <v>0</v>
      </c>
      <c r="AA11" s="8">
        <f t="shared" si="18"/>
        <v>0</v>
      </c>
      <c r="AB11">
        <f t="shared" si="19"/>
        <v>0</v>
      </c>
    </row>
    <row r="12" spans="1:28" x14ac:dyDescent="0.15">
      <c r="A12">
        <v>11</v>
      </c>
      <c r="B12" t="s">
        <v>109</v>
      </c>
      <c r="C12" t="s">
        <v>117</v>
      </c>
      <c r="D12" t="s">
        <v>110</v>
      </c>
      <c r="E12" t="s">
        <v>111</v>
      </c>
      <c r="I12" t="str">
        <f>I$3&amp;" "&amp;O2</f>
        <v>Level 2 ไม่ได้ส่วนลด</v>
      </c>
      <c r="J12" s="2" cm="1">
        <f t="array" ref="J12">SUM(_xlfn.BYROW($B$2:E132, _xlfn.LAMBDA(_xlpm.row, IF(COUNTIF(_xlpm.row,MID(I12,1,7))&gt;0, IF(COUNTIF(_xlpm.row,MID(I12,9,LEN(I12)))&gt;0,1,0),0))))</f>
        <v>17</v>
      </c>
      <c r="K12" s="5">
        <f t="shared" si="11"/>
        <v>0.1328125</v>
      </c>
      <c r="L12" s="5">
        <f>K12/$K$3</f>
        <v>0.89473684210526316</v>
      </c>
      <c r="M12" s="5">
        <f>K12/($K$3*Q2)</f>
        <v>1.2448512585812357</v>
      </c>
      <c r="O12" t="str">
        <f>I10</f>
        <v>Level 1 ส่วนลดน้อย</v>
      </c>
      <c r="P12" t="str">
        <f t="shared" ref="P12" si="22">$W$3</f>
        <v>Not Converted</v>
      </c>
      <c r="Q12" cm="1">
        <f t="array" ref="Q12">SUM(_xlfn.BYROW($B$2:E132,_xlfn.LAMBDA(_xlpm.row,IF(COUNTIF(_xlpm.row,MID(O12,1,7))&gt;0,IF(COUNTIF(_xlpm.row,MID(O12,9,LEN(O12)))&gt;0,IF(COUNTIF(_xlpm.row,P12)&gt;0,1,0),0)))))</f>
        <v>1</v>
      </c>
      <c r="R12" s="6">
        <f t="shared" si="14"/>
        <v>7.8125E-3</v>
      </c>
      <c r="S12" s="8">
        <f t="shared" si="15"/>
        <v>1</v>
      </c>
      <c r="T12" s="6">
        <f t="shared" si="16"/>
        <v>1.3473684210526315</v>
      </c>
      <c r="U12" s="6"/>
      <c r="V12" s="11" t="str">
        <f>O10</f>
        <v>Level 1 ไม่ได้ส่วนลด</v>
      </c>
      <c r="W12" s="12" t="s">
        <v>115</v>
      </c>
      <c r="X12" t="str">
        <f t="shared" ref="X12" si="23">$W$3</f>
        <v>Not Converted</v>
      </c>
      <c r="Y12" cm="1">
        <f t="array" ref="Y12">SUM(_xlfn.BYROW($B$2:$E$129,_xlfn.LAMBDA(_xlpm.row,IF(COUNTIF(_xlpm.row,MID(V12,1,7))&gt;0,IF(COUNTIF(_xlpm.row,MID(V12,9,LEN(V12)))&gt;0,IF(COUNTIF(_xlpm.row,W12)&gt;0,IF(COUNTIF(_xlpm.row,X12)&gt;0,1,0),0))))))</f>
        <v>0</v>
      </c>
      <c r="Z12" s="6">
        <f t="shared" si="9"/>
        <v>0</v>
      </c>
      <c r="AA12" s="8">
        <f t="shared" si="18"/>
        <v>0</v>
      </c>
      <c r="AB12">
        <f t="shared" si="19"/>
        <v>0</v>
      </c>
    </row>
    <row r="13" spans="1:28" x14ac:dyDescent="0.15">
      <c r="A13">
        <v>12</v>
      </c>
      <c r="B13" t="s">
        <v>109</v>
      </c>
      <c r="C13" t="s">
        <v>117</v>
      </c>
      <c r="D13" t="s">
        <v>110</v>
      </c>
      <c r="E13" t="s">
        <v>111</v>
      </c>
      <c r="I13" t="str">
        <f t="shared" ref="I13:I14" si="24">I$3&amp;" "&amp;O3</f>
        <v>Level 2 ส่วนลดน้อย</v>
      </c>
      <c r="J13" s="2" cm="1">
        <f t="array" ref="J13">SUM(_xlfn.BYROW($B$2:E133, _xlfn.LAMBDA(_xlpm.row, IF(COUNTIF(_xlpm.row,MID(I13,1,7))&gt;0, IF(COUNTIF(_xlpm.row,MID(I13,9,LEN(I13)))&gt;0,1,0),0))))</f>
        <v>1</v>
      </c>
      <c r="K13" s="5">
        <f t="shared" si="11"/>
        <v>7.8125E-3</v>
      </c>
      <c r="L13" s="5">
        <f t="shared" ref="L13:L14" si="25">K13/$K$3</f>
        <v>5.2631578947368418E-2</v>
      </c>
      <c r="M13" s="5">
        <f t="shared" ref="M13:M14" si="26">K13/($K$3*Q3)</f>
        <v>1.1228070175438596</v>
      </c>
      <c r="O13" t="str">
        <f>I11</f>
        <v>Level 1 ได้ส่วนลดมาก</v>
      </c>
      <c r="P13" t="str">
        <f t="shared" ref="P13" si="27">$W$2</f>
        <v>Converted</v>
      </c>
      <c r="Q13" cm="1">
        <f t="array" ref="Q13">SUM(_xlfn.BYROW($B$2:E133,_xlfn.LAMBDA(_xlpm.row,IF(COUNTIF(_xlpm.row,MID(O13,1,7))&gt;0,IF(COUNTIF(_xlpm.row,MID(O13,9,LEN(O13)))&gt;0,IF(COUNTIF(_xlpm.row,P13)&gt;0,1,0),0)))))</f>
        <v>24</v>
      </c>
      <c r="R13" s="6">
        <f t="shared" si="14"/>
        <v>0.1875</v>
      </c>
      <c r="S13" s="8">
        <f t="shared" si="15"/>
        <v>0.92307692307692313</v>
      </c>
      <c r="T13" s="6">
        <f t="shared" si="16"/>
        <v>3.5804195804195804</v>
      </c>
      <c r="U13" s="6"/>
      <c r="V13" s="11" t="str">
        <f>O9</f>
        <v>Level 1 ไม่ได้ส่วนลด</v>
      </c>
      <c r="W13" s="12" t="s">
        <v>118</v>
      </c>
      <c r="X13" t="str">
        <f t="shared" ref="X13" si="28">$W$2</f>
        <v>Converted</v>
      </c>
      <c r="Y13" cm="1">
        <f t="array" ref="Y13">SUM(_xlfn.BYROW($B$2:$E$129,_xlfn.LAMBDA(_xlpm.row,IF(COUNTIF(_xlpm.row,MID(V13,1,7))&gt;0,IF(COUNTIF(_xlpm.row,MID(V13,9,LEN(V13)))&gt;0,IF(COUNTIF(_xlpm.row,W13)&gt;0,IF(COUNTIF(_xlpm.row,X13)&gt;0,1,0),0))))))</f>
        <v>0</v>
      </c>
      <c r="Z13" s="6">
        <f t="shared" si="9"/>
        <v>0</v>
      </c>
      <c r="AA13" s="8">
        <f t="shared" si="18"/>
        <v>0</v>
      </c>
      <c r="AB13">
        <f t="shared" si="19"/>
        <v>0</v>
      </c>
    </row>
    <row r="14" spans="1:28" x14ac:dyDescent="0.15">
      <c r="A14">
        <v>13</v>
      </c>
      <c r="B14" t="s">
        <v>109</v>
      </c>
      <c r="C14" t="s">
        <v>117</v>
      </c>
      <c r="D14" t="s">
        <v>110</v>
      </c>
      <c r="E14" t="s">
        <v>111</v>
      </c>
      <c r="I14" t="str">
        <f t="shared" si="24"/>
        <v>Level 2 ได้ส่วนลดมาก</v>
      </c>
      <c r="J14" s="2" cm="1">
        <f t="array" ref="J14">SUM(_xlfn.BYROW($B$2:E134, _xlfn.LAMBDA(_xlpm.row, IF(COUNTIF(_xlpm.row,MID(I14,1,7))&gt;0, IF(COUNTIF(_xlpm.row,MID(I14,9,LEN(I14)))&gt;0,1,0),0))))</f>
        <v>1</v>
      </c>
      <c r="K14" s="5">
        <f t="shared" si="11"/>
        <v>7.8125E-3</v>
      </c>
      <c r="L14" s="5">
        <f t="shared" si="25"/>
        <v>5.2631578947368418E-2</v>
      </c>
      <c r="M14" s="5">
        <f t="shared" si="26"/>
        <v>0.22456140350877193</v>
      </c>
      <c r="O14" t="str">
        <f>I11</f>
        <v>Level 1 ได้ส่วนลดมาก</v>
      </c>
      <c r="P14" t="str">
        <f t="shared" ref="P14" si="29">$W$3</f>
        <v>Not Converted</v>
      </c>
      <c r="Q14" cm="1">
        <f t="array" ref="Q14">SUM(_xlfn.BYROW($B$2:E134,_xlfn.LAMBDA(_xlpm.row,IF(COUNTIF(_xlpm.row,MID(O14,1,7))&gt;0,IF(COUNTIF(_xlpm.row,MID(O14,9,LEN(O14)))&gt;0,IF(COUNTIF(_xlpm.row,P14)&gt;0,1,0),0)))))</f>
        <v>2</v>
      </c>
      <c r="R14" s="6">
        <f t="shared" si="14"/>
        <v>1.5625E-2</v>
      </c>
      <c r="S14" s="8">
        <f t="shared" si="15"/>
        <v>7.6923076923076927E-2</v>
      </c>
      <c r="T14" s="6">
        <f t="shared" si="16"/>
        <v>0.10364372469635627</v>
      </c>
      <c r="U14" s="6"/>
      <c r="V14" s="11" t="str">
        <f>O10</f>
        <v>Level 1 ไม่ได้ส่วนลด</v>
      </c>
      <c r="W14" s="12" t="s">
        <v>118</v>
      </c>
      <c r="X14" t="str">
        <f t="shared" ref="X14" si="30">$W$3</f>
        <v>Not Converted</v>
      </c>
      <c r="Y14" cm="1">
        <f t="array" ref="Y14">SUM(_xlfn.BYROW($B$2:$E$129,_xlfn.LAMBDA(_xlpm.row,IF(COUNTIF(_xlpm.row,MID(V14,1,7))&gt;0,IF(COUNTIF(_xlpm.row,MID(V14,9,LEN(V14)))&gt;0,IF(COUNTIF(_xlpm.row,W14)&gt;0,IF(COUNTIF(_xlpm.row,X14)&gt;0,1,0),0))))))</f>
        <v>1</v>
      </c>
      <c r="Z14" s="6">
        <f t="shared" si="9"/>
        <v>7.8125E-3</v>
      </c>
      <c r="AA14" s="8">
        <f t="shared" si="18"/>
        <v>1</v>
      </c>
      <c r="AB14">
        <f t="shared" si="19"/>
        <v>1.3473684210526315</v>
      </c>
    </row>
    <row r="15" spans="1:28" x14ac:dyDescent="0.15">
      <c r="A15">
        <v>14</v>
      </c>
      <c r="B15" t="s">
        <v>109</v>
      </c>
      <c r="C15" t="s">
        <v>117</v>
      </c>
      <c r="D15" t="s">
        <v>110</v>
      </c>
      <c r="E15" t="s">
        <v>111</v>
      </c>
      <c r="I15" t="str">
        <f>I$4&amp;" "&amp;O2</f>
        <v>Level 3 ไม่ได้ส่วนลด</v>
      </c>
      <c r="J15" s="2" cm="1">
        <f t="array" ref="J15">SUM(_xlfn.BYROW($B$2:E135, _xlfn.LAMBDA(_xlpm.row, IF(COUNTIF(_xlpm.row,MID(I15,1,7))&gt;0, IF(COUNTIF(_xlpm.row,MID(I15,9,LEN(I15)))&gt;0,1,0),0))))</f>
        <v>25</v>
      </c>
      <c r="K15" s="5">
        <f t="shared" si="11"/>
        <v>0.1953125</v>
      </c>
      <c r="L15" s="5">
        <f>K15/$K$4</f>
        <v>0.96153846153846156</v>
      </c>
      <c r="M15" s="5">
        <f>K15/($K$4*Q2)</f>
        <v>1.3377926421404682</v>
      </c>
      <c r="O15" t="str">
        <f>I12</f>
        <v>Level 2 ไม่ได้ส่วนลด</v>
      </c>
      <c r="P15" t="str">
        <f t="shared" ref="P15" si="31">$W$2</f>
        <v>Converted</v>
      </c>
      <c r="Q15" cm="1">
        <f t="array" ref="Q15">SUM(_xlfn.BYROW($B$2:E135,_xlfn.LAMBDA(_xlpm.row,IF(COUNTIF(_xlpm.row,MID(O15,1,7))&gt;0,IF(COUNTIF(_xlpm.row,MID(O15,9,LEN(O15)))&gt;0,IF(COUNTIF(_xlpm.row,P15)&gt;0,1,0),0)))))</f>
        <v>3</v>
      </c>
      <c r="R15" s="6">
        <f t="shared" si="14"/>
        <v>2.34375E-2</v>
      </c>
      <c r="S15" s="8">
        <f t="shared" si="15"/>
        <v>0.17647058823529413</v>
      </c>
      <c r="T15" s="6">
        <f t="shared" si="16"/>
        <v>0.68449197860962563</v>
      </c>
      <c r="U15" s="6"/>
      <c r="V15" s="11" t="str">
        <f>O9</f>
        <v>Level 1 ไม่ได้ส่วนลด</v>
      </c>
      <c r="W15" s="12" t="s">
        <v>112</v>
      </c>
      <c r="X15" t="str">
        <f t="shared" ref="X15" si="32">$W$2</f>
        <v>Converted</v>
      </c>
      <c r="Y15" cm="1">
        <f t="array" ref="Y15">SUM(_xlfn.BYROW($B$2:$E$129,_xlfn.LAMBDA(_xlpm.row,IF(COUNTIF(_xlpm.row,MID(V15,1,7))&gt;0,IF(COUNTIF(_xlpm.row,MID(V15,9,LEN(V15)))&gt;0,IF(COUNTIF(_xlpm.row,W15)&gt;0,IF(COUNTIF(_xlpm.row,X15)&gt;0,1,0),0))))))</f>
        <v>0</v>
      </c>
      <c r="Z15" s="6">
        <f t="shared" si="9"/>
        <v>0</v>
      </c>
      <c r="AA15" s="8">
        <f t="shared" si="18"/>
        <v>0</v>
      </c>
      <c r="AB15">
        <f t="shared" si="19"/>
        <v>0</v>
      </c>
    </row>
    <row r="16" spans="1:28" x14ac:dyDescent="0.15">
      <c r="A16">
        <v>15</v>
      </c>
      <c r="B16" t="s">
        <v>119</v>
      </c>
      <c r="C16" t="s">
        <v>106</v>
      </c>
      <c r="D16" t="s">
        <v>118</v>
      </c>
      <c r="E16" t="s">
        <v>108</v>
      </c>
      <c r="I16" t="str">
        <f t="shared" ref="I16:I17" si="33">I$4&amp;" "&amp;O3</f>
        <v>Level 3 ส่วนลดน้อย</v>
      </c>
      <c r="J16" s="2" cm="1">
        <f t="array" ref="J16">SUM(_xlfn.BYROW($B$2:E136, _xlfn.LAMBDA(_xlpm.row, IF(COUNTIF(_xlpm.row,MID(I16,1,7))&gt;0, IF(COUNTIF(_xlpm.row,MID(I16,9,LEN(I16)))&gt;0,1,0),0))))</f>
        <v>0</v>
      </c>
      <c r="K16" s="5">
        <f t="shared" si="11"/>
        <v>0</v>
      </c>
      <c r="L16" s="5">
        <f t="shared" ref="L16:L17" si="34">K16/$K$4</f>
        <v>0</v>
      </c>
      <c r="M16" s="5">
        <f t="shared" ref="M16:M17" si="35">K16/($K$4*Q3)</f>
        <v>0</v>
      </c>
      <c r="O16" t="str">
        <f>I12</f>
        <v>Level 2 ไม่ได้ส่วนลด</v>
      </c>
      <c r="P16" t="str">
        <f t="shared" ref="P16" si="36">$W$3</f>
        <v>Not Converted</v>
      </c>
      <c r="Q16" cm="1">
        <f t="array" ref="Q16">SUM(_xlfn.BYROW($B$2:E136,_xlfn.LAMBDA(_xlpm.row,IF(COUNTIF(_xlpm.row,MID(O16,1,7))&gt;0,IF(COUNTIF(_xlpm.row,MID(O16,9,LEN(O16)))&gt;0,IF(COUNTIF(_xlpm.row,P16)&gt;0,1,0),0)))))</f>
        <v>14</v>
      </c>
      <c r="R16" s="6">
        <f t="shared" si="14"/>
        <v>0.109375</v>
      </c>
      <c r="S16" s="8">
        <f t="shared" si="15"/>
        <v>0.82352941176470584</v>
      </c>
      <c r="T16" s="6">
        <f t="shared" si="16"/>
        <v>1.1095975232198143</v>
      </c>
      <c r="U16" s="6"/>
      <c r="V16" s="11" t="str">
        <f>O10</f>
        <v>Level 1 ไม่ได้ส่วนลด</v>
      </c>
      <c r="W16" s="12" t="s">
        <v>112</v>
      </c>
      <c r="X16" t="str">
        <f t="shared" ref="X16" si="37">$W$3</f>
        <v>Not Converted</v>
      </c>
      <c r="Y16" cm="1">
        <f t="array" ref="Y16">SUM(_xlfn.BYROW($B$2:$E$129,_xlfn.LAMBDA(_xlpm.row,IF(COUNTIF(_xlpm.row,MID(V16,1,7))&gt;0,IF(COUNTIF(_xlpm.row,MID(V16,9,LEN(V16)))&gt;0,IF(COUNTIF(_xlpm.row,W16)&gt;0,IF(COUNTIF(_xlpm.row,X16)&gt;0,1,0),0))))))</f>
        <v>3</v>
      </c>
      <c r="Z16" s="6">
        <f t="shared" si="9"/>
        <v>2.34375E-2</v>
      </c>
      <c r="AA16" s="8">
        <f t="shared" si="18"/>
        <v>1</v>
      </c>
      <c r="AB16">
        <f t="shared" si="19"/>
        <v>1.3473684210526315</v>
      </c>
    </row>
    <row r="17" spans="1:28" x14ac:dyDescent="0.15">
      <c r="A17">
        <v>16</v>
      </c>
      <c r="B17" t="s">
        <v>109</v>
      </c>
      <c r="C17" t="s">
        <v>117</v>
      </c>
      <c r="D17" t="s">
        <v>110</v>
      </c>
      <c r="E17" t="s">
        <v>111</v>
      </c>
      <c r="I17" t="str">
        <f t="shared" si="33"/>
        <v>Level 3 ได้ส่วนลดมาก</v>
      </c>
      <c r="J17" s="2" cm="1">
        <f t="array" ref="J17">SUM(_xlfn.BYROW($B$2:E137, _xlfn.LAMBDA(_xlpm.row, IF(COUNTIF(_xlpm.row,MID(I17,1,7))&gt;0, IF(COUNTIF(_xlpm.row,MID(I17,9,LEN(I17)))&gt;0,1,0),0))))</f>
        <v>1</v>
      </c>
      <c r="K17" s="5">
        <f t="shared" si="11"/>
        <v>7.8125E-3</v>
      </c>
      <c r="L17" s="5">
        <f t="shared" si="34"/>
        <v>3.8461538461538464E-2</v>
      </c>
      <c r="M17" s="5">
        <f t="shared" si="35"/>
        <v>0.1641025641025641</v>
      </c>
      <c r="O17" t="str">
        <f>I13</f>
        <v>Level 2 ส่วนลดน้อย</v>
      </c>
      <c r="P17" t="str">
        <f t="shared" ref="P17" si="38">$W$2</f>
        <v>Converted</v>
      </c>
      <c r="Q17" cm="1">
        <f t="array" ref="Q17">SUM(_xlfn.BYROW($B$2:E137,_xlfn.LAMBDA(_xlpm.row,IF(COUNTIF(_xlpm.row,MID(O17,1,7))&gt;0,IF(COUNTIF(_xlpm.row,MID(O17,9,LEN(O17)))&gt;0,IF(COUNTIF(_xlpm.row,P17)&gt;0,1,0),0)))))</f>
        <v>0</v>
      </c>
      <c r="R17" s="6">
        <f t="shared" si="14"/>
        <v>0</v>
      </c>
      <c r="S17" s="8">
        <f t="shared" si="15"/>
        <v>0</v>
      </c>
      <c r="T17" s="6">
        <f t="shared" si="16"/>
        <v>0</v>
      </c>
      <c r="U17" s="6"/>
      <c r="V17" s="11" t="str">
        <f>O9</f>
        <v>Level 1 ไม่ได้ส่วนลด</v>
      </c>
      <c r="W17" s="12" t="s">
        <v>107</v>
      </c>
      <c r="X17" t="str">
        <f t="shared" ref="X17" si="39">$W$2</f>
        <v>Converted</v>
      </c>
      <c r="Y17" cm="1">
        <f t="array" ref="Y17">SUM(_xlfn.BYROW($B$2:$E$129,_xlfn.LAMBDA(_xlpm.row,IF(COUNTIF(_xlpm.row,MID(V17,1,7))&gt;0,IF(COUNTIF(_xlpm.row,MID(V17,9,LEN(V17)))&gt;0,IF(COUNTIF(_xlpm.row,W17)&gt;0,IF(COUNTIF(_xlpm.row,X17)&gt;0,1,0),0))))))</f>
        <v>0</v>
      </c>
      <c r="Z17" s="6">
        <f t="shared" si="9"/>
        <v>0</v>
      </c>
      <c r="AA17" s="8">
        <f t="shared" si="18"/>
        <v>0</v>
      </c>
      <c r="AB17">
        <f t="shared" si="19"/>
        <v>0</v>
      </c>
    </row>
    <row r="18" spans="1:28" x14ac:dyDescent="0.15">
      <c r="A18">
        <v>17</v>
      </c>
      <c r="B18" t="s">
        <v>109</v>
      </c>
      <c r="C18" t="s">
        <v>117</v>
      </c>
      <c r="D18" t="s">
        <v>110</v>
      </c>
      <c r="E18" t="s">
        <v>111</v>
      </c>
      <c r="I18" t="str">
        <f>I$5&amp;" "&amp;O2</f>
        <v>Level 4 ไม่ได้ส่วนลด</v>
      </c>
      <c r="J18" s="2" cm="1">
        <f t="array" ref="J18">SUM(_xlfn.BYROW($B$2:E138, _xlfn.LAMBDA(_xlpm.row, IF(COUNTIF(_xlpm.row,MID(I18,1,7))&gt;0, IF(COUNTIF(_xlpm.row,MID(I18,9,LEN(I18)))&gt;0,1,0),0))))</f>
        <v>24</v>
      </c>
      <c r="K18" s="5">
        <f t="shared" si="11"/>
        <v>0.1875</v>
      </c>
      <c r="L18" s="5">
        <f>K18/$K$5</f>
        <v>0.82758620689655171</v>
      </c>
      <c r="M18" s="5">
        <f>K18/($K$5*Q2)</f>
        <v>1.1514242878560719</v>
      </c>
      <c r="O18" t="str">
        <f>I13</f>
        <v>Level 2 ส่วนลดน้อย</v>
      </c>
      <c r="P18" t="str">
        <f t="shared" ref="P18" si="40">$W$3</f>
        <v>Not Converted</v>
      </c>
      <c r="Q18" cm="1">
        <f t="array" ref="Q18">SUM(_xlfn.BYROW($B$2:E138,_xlfn.LAMBDA(_xlpm.row,IF(COUNTIF(_xlpm.row,MID(O18,1,7))&gt;0,IF(COUNTIF(_xlpm.row,MID(O18,9,LEN(O18)))&gt;0,IF(COUNTIF(_xlpm.row,P18)&gt;0,1,0),0)))))</f>
        <v>1</v>
      </c>
      <c r="R18" s="6">
        <f t="shared" si="14"/>
        <v>7.8125E-3</v>
      </c>
      <c r="S18" s="8">
        <f t="shared" si="15"/>
        <v>1</v>
      </c>
      <c r="T18" s="6">
        <f t="shared" si="16"/>
        <v>1.3473684210526315</v>
      </c>
      <c r="U18" s="6"/>
      <c r="V18" s="11" t="str">
        <f>O10</f>
        <v>Level 1 ไม่ได้ส่วนลด</v>
      </c>
      <c r="W18" s="12" t="s">
        <v>107</v>
      </c>
      <c r="X18" t="str">
        <f t="shared" ref="X18" si="41">$W$3</f>
        <v>Not Converted</v>
      </c>
      <c r="Y18" cm="1">
        <f t="array" ref="Y18">SUM(_xlfn.BYROW($B$2:$E$129,_xlfn.LAMBDA(_xlpm.row,IF(COUNTIF(_xlpm.row,MID(V18,1,7))&gt;0,IF(COUNTIF(_xlpm.row,MID(V18,9,LEN(V18)))&gt;0,IF(COUNTIF(_xlpm.row,W18)&gt;0,IF(COUNTIF(_xlpm.row,X18)&gt;0,1,0),0))))))</f>
        <v>0</v>
      </c>
      <c r="Z18" s="6">
        <f t="shared" si="9"/>
        <v>0</v>
      </c>
      <c r="AA18" s="8">
        <f t="shared" si="18"/>
        <v>0</v>
      </c>
      <c r="AB18">
        <f t="shared" si="19"/>
        <v>0</v>
      </c>
    </row>
    <row r="19" spans="1:28" x14ac:dyDescent="0.15">
      <c r="A19">
        <v>18</v>
      </c>
      <c r="B19" t="s">
        <v>109</v>
      </c>
      <c r="C19" t="s">
        <v>117</v>
      </c>
      <c r="D19" t="s">
        <v>110</v>
      </c>
      <c r="E19" t="s">
        <v>111</v>
      </c>
      <c r="I19" t="str">
        <f t="shared" ref="I19:I20" si="42">I$5&amp;" "&amp;O3</f>
        <v>Level 4 ส่วนลดน้อย</v>
      </c>
      <c r="J19" s="2" cm="1">
        <f t="array" ref="J19">SUM(_xlfn.BYROW($B$2:E139, _xlfn.LAMBDA(_xlpm.row, IF(COUNTIF(_xlpm.row,MID(I19,1,7))&gt;0, IF(COUNTIF(_xlpm.row,MID(I19,9,LEN(I19)))&gt;0,1,0),0))))</f>
        <v>3</v>
      </c>
      <c r="K19" s="5">
        <f t="shared" si="11"/>
        <v>2.34375E-2</v>
      </c>
      <c r="L19" s="5">
        <f t="shared" ref="L19:L20" si="43">K19/$K$5</f>
        <v>0.10344827586206896</v>
      </c>
      <c r="M19" s="5">
        <f t="shared" ref="M19:M20" si="44">K19/($K$5*Q3)</f>
        <v>2.2068965517241379</v>
      </c>
      <c r="O19" t="str">
        <f>I14</f>
        <v>Level 2 ได้ส่วนลดมาก</v>
      </c>
      <c r="P19" t="str">
        <f t="shared" ref="P19:P31" si="45">$W$2</f>
        <v>Converted</v>
      </c>
      <c r="Q19" cm="1">
        <f t="array" ref="Q19">SUM(_xlfn.BYROW($B$2:E139,_xlfn.LAMBDA(_xlpm.row,IF(COUNTIF(_xlpm.row,MID(O19,1,7))&gt;0,IF(COUNTIF(_xlpm.row,MID(O19,9,LEN(O19)))&gt;0,IF(COUNTIF(_xlpm.row,P19)&gt;0,1,0),0)))))</f>
        <v>0</v>
      </c>
      <c r="R19" s="6">
        <f t="shared" si="14"/>
        <v>0</v>
      </c>
      <c r="S19" s="8">
        <f t="shared" si="15"/>
        <v>0</v>
      </c>
      <c r="T19" s="6">
        <f t="shared" si="16"/>
        <v>0</v>
      </c>
      <c r="U19" s="6"/>
      <c r="V19" s="11" t="str">
        <f>O11</f>
        <v>Level 1 ส่วนลดน้อย</v>
      </c>
      <c r="W19" s="12" t="s">
        <v>110</v>
      </c>
      <c r="X19" t="str">
        <f t="shared" ref="X19" si="46">$W$2</f>
        <v>Converted</v>
      </c>
      <c r="Y19" cm="1">
        <f t="array" ref="Y19">SUM(_xlfn.BYROW($B$2:$E$129,_xlfn.LAMBDA(_xlpm.row,IF(COUNTIF(_xlpm.row,MID(V19,1,7))&gt;0,IF(COUNTIF(_xlpm.row,MID(V19,9,LEN(V19)))&gt;0,IF(COUNTIF(_xlpm.row,W19)&gt;0,IF(COUNTIF(_xlpm.row,X19)&gt;0,1,0),0))))))</f>
        <v>0</v>
      </c>
      <c r="Z19" s="6">
        <f t="shared" si="9"/>
        <v>0</v>
      </c>
      <c r="AA19" s="8">
        <f t="shared" si="18"/>
        <v>0</v>
      </c>
      <c r="AB19">
        <f t="shared" si="19"/>
        <v>0</v>
      </c>
    </row>
    <row r="20" spans="1:28" x14ac:dyDescent="0.15">
      <c r="A20">
        <v>19</v>
      </c>
      <c r="B20" t="s">
        <v>109</v>
      </c>
      <c r="C20" t="s">
        <v>117</v>
      </c>
      <c r="D20" t="s">
        <v>110</v>
      </c>
      <c r="E20" t="s">
        <v>111</v>
      </c>
      <c r="I20" t="str">
        <f t="shared" si="42"/>
        <v>Level 4 ได้ส่วนลดมาก</v>
      </c>
      <c r="J20" s="2" cm="1">
        <f t="array" ref="J20">SUM(_xlfn.BYROW($B$2:E140, _xlfn.LAMBDA(_xlpm.row, IF(COUNTIF(_xlpm.row,MID(I20,1,7))&gt;0, IF(COUNTIF(_xlpm.row,MID(I20,9,LEN(I20)))&gt;0,1,0),0))))</f>
        <v>2</v>
      </c>
      <c r="K20" s="5">
        <f t="shared" si="11"/>
        <v>1.5625E-2</v>
      </c>
      <c r="L20" s="5">
        <f t="shared" si="43"/>
        <v>6.8965517241379309E-2</v>
      </c>
      <c r="M20" s="5">
        <f t="shared" si="44"/>
        <v>0.29425287356321839</v>
      </c>
      <c r="O20" t="str">
        <f>I14</f>
        <v>Level 2 ได้ส่วนลดมาก</v>
      </c>
      <c r="P20" t="str">
        <f t="shared" ref="P20:P32" si="47">$W$3</f>
        <v>Not Converted</v>
      </c>
      <c r="Q20" cm="1">
        <f t="array" ref="Q20">SUM(_xlfn.BYROW($B$2:E140,_xlfn.LAMBDA(_xlpm.row,IF(COUNTIF(_xlpm.row,MID(O20,1,7))&gt;0,IF(COUNTIF(_xlpm.row,MID(O20,9,LEN(O20)))&gt;0,IF(COUNTIF(_xlpm.row,P20)&gt;0,1,0),0)))))</f>
        <v>1</v>
      </c>
      <c r="R20" s="6">
        <f t="shared" si="14"/>
        <v>7.8125E-3</v>
      </c>
      <c r="S20" s="8">
        <f t="shared" si="15"/>
        <v>1</v>
      </c>
      <c r="T20" s="6">
        <f t="shared" si="16"/>
        <v>1.3473684210526315</v>
      </c>
      <c r="U20" s="6"/>
      <c r="V20" s="11" t="str">
        <f>O12</f>
        <v>Level 1 ส่วนลดน้อย</v>
      </c>
      <c r="W20" s="12" t="s">
        <v>110</v>
      </c>
      <c r="X20" t="str">
        <f t="shared" ref="X20" si="48">$W$3</f>
        <v>Not Converted</v>
      </c>
      <c r="Y20" cm="1">
        <f t="array" ref="Y20">SUM(_xlfn.BYROW($B$2:$E$129,_xlfn.LAMBDA(_xlpm.row,IF(COUNTIF(_xlpm.row,MID(V20,1,7))&gt;0,IF(COUNTIF(_xlpm.row,MID(V20,9,LEN(V20)))&gt;0,IF(COUNTIF(_xlpm.row,W20)&gt;0,IF(COUNTIF(_xlpm.row,X20)&gt;0,1,0),0))))))</f>
        <v>1</v>
      </c>
      <c r="Z20" s="6">
        <f t="shared" si="9"/>
        <v>7.8125E-3</v>
      </c>
      <c r="AA20" s="8">
        <f t="shared" si="18"/>
        <v>1</v>
      </c>
      <c r="AB20">
        <f t="shared" si="19"/>
        <v>1.3473684210526315</v>
      </c>
    </row>
    <row r="21" spans="1:28" x14ac:dyDescent="0.15">
      <c r="A21">
        <v>20</v>
      </c>
      <c r="B21" t="s">
        <v>109</v>
      </c>
      <c r="C21" t="s">
        <v>117</v>
      </c>
      <c r="D21" t="s">
        <v>110</v>
      </c>
      <c r="E21" t="s">
        <v>111</v>
      </c>
      <c r="O21" t="str">
        <f>I15</f>
        <v>Level 3 ไม่ได้ส่วนลด</v>
      </c>
      <c r="P21" t="str">
        <f t="shared" si="45"/>
        <v>Converted</v>
      </c>
      <c r="Q21" cm="1">
        <f t="array" ref="Q21">SUM(_xlfn.BYROW($B$2:E141,_xlfn.LAMBDA(_xlpm.row,IF(COUNTIF(_xlpm.row,MID(O21,1,7))&gt;0,IF(COUNTIF(_xlpm.row,MID(O21,9,LEN(O21)))&gt;0,IF(COUNTIF(_xlpm.row,P21)&gt;0,1,0),0)))))</f>
        <v>3</v>
      </c>
      <c r="R21" s="6">
        <f t="shared" si="14"/>
        <v>2.34375E-2</v>
      </c>
      <c r="S21" s="8">
        <f t="shared" si="15"/>
        <v>0.12</v>
      </c>
      <c r="T21" s="6">
        <f t="shared" si="16"/>
        <v>0.46545454545454545</v>
      </c>
      <c r="U21" s="6"/>
      <c r="V21" s="11" t="str">
        <f>O11</f>
        <v>Level 1 ส่วนลดน้อย</v>
      </c>
      <c r="W21" s="12" t="s">
        <v>115</v>
      </c>
      <c r="X21" t="str">
        <f t="shared" ref="X21" si="49">$W$2</f>
        <v>Converted</v>
      </c>
      <c r="Y21" cm="1">
        <f t="array" ref="Y21">SUM(_xlfn.BYROW($B$2:$E$129,_xlfn.LAMBDA(_xlpm.row,IF(COUNTIF(_xlpm.row,MID(V21,1,7))&gt;0,IF(COUNTIF(_xlpm.row,MID(V21,9,LEN(V21)))&gt;0,IF(COUNTIF(_xlpm.row,W21)&gt;0,IF(COUNTIF(_xlpm.row,X21)&gt;0,1,0),0))))))</f>
        <v>0</v>
      </c>
      <c r="Z21" s="6">
        <f t="shared" si="9"/>
        <v>0</v>
      </c>
      <c r="AA21" s="8">
        <f t="shared" si="18"/>
        <v>0</v>
      </c>
      <c r="AB21">
        <f t="shared" si="19"/>
        <v>0</v>
      </c>
    </row>
    <row r="22" spans="1:28" x14ac:dyDescent="0.15">
      <c r="A22">
        <v>21</v>
      </c>
      <c r="B22" t="s">
        <v>113</v>
      </c>
      <c r="C22" t="s">
        <v>106</v>
      </c>
      <c r="D22" t="s">
        <v>118</v>
      </c>
      <c r="E22" t="s">
        <v>111</v>
      </c>
      <c r="O22" t="str">
        <f>I15</f>
        <v>Level 3 ไม่ได้ส่วนลด</v>
      </c>
      <c r="P22" t="str">
        <f t="shared" si="47"/>
        <v>Not Converted</v>
      </c>
      <c r="Q22" cm="1">
        <f t="array" ref="Q22">SUM(_xlfn.BYROW($B$2:E142,_xlfn.LAMBDA(_xlpm.row,IF(COUNTIF(_xlpm.row,MID(O22,1,7))&gt;0,IF(COUNTIF(_xlpm.row,MID(O22,9,LEN(O22)))&gt;0,IF(COUNTIF(_xlpm.row,P22)&gt;0,1,0),0)))))</f>
        <v>22</v>
      </c>
      <c r="R22" s="6">
        <f t="shared" si="14"/>
        <v>0.171875</v>
      </c>
      <c r="S22" s="8">
        <f t="shared" si="15"/>
        <v>0.88</v>
      </c>
      <c r="T22" s="6">
        <f t="shared" si="16"/>
        <v>1.1856842105263159</v>
      </c>
      <c r="U22" s="6"/>
      <c r="V22" s="11" t="str">
        <f>O12</f>
        <v>Level 1 ส่วนลดน้อย</v>
      </c>
      <c r="W22" s="12" t="s">
        <v>115</v>
      </c>
      <c r="X22" t="str">
        <f t="shared" ref="X22" si="50">$W$3</f>
        <v>Not Converted</v>
      </c>
      <c r="Y22" cm="1">
        <f t="array" ref="Y22">SUM(_xlfn.BYROW($B$2:$E$129,_xlfn.LAMBDA(_xlpm.row,IF(COUNTIF(_xlpm.row,MID(V22,1,7))&gt;0,IF(COUNTIF(_xlpm.row,MID(V22,9,LEN(V22)))&gt;0,IF(COUNTIF(_xlpm.row,W22)&gt;0,IF(COUNTIF(_xlpm.row,X22)&gt;0,1,0),0))))))</f>
        <v>0</v>
      </c>
      <c r="Z22" s="6">
        <f t="shared" si="9"/>
        <v>0</v>
      </c>
      <c r="AA22" s="8">
        <f t="shared" si="18"/>
        <v>0</v>
      </c>
      <c r="AB22">
        <f t="shared" si="19"/>
        <v>0</v>
      </c>
    </row>
    <row r="23" spans="1:28" x14ac:dyDescent="0.15">
      <c r="A23">
        <v>22</v>
      </c>
      <c r="B23" t="s">
        <v>113</v>
      </c>
      <c r="C23" t="s">
        <v>106</v>
      </c>
      <c r="D23" t="s">
        <v>107</v>
      </c>
      <c r="E23" t="s">
        <v>108</v>
      </c>
      <c r="O23" t="str">
        <f>I16</f>
        <v>Level 3 ส่วนลดน้อย</v>
      </c>
      <c r="P23" t="str">
        <f t="shared" si="45"/>
        <v>Converted</v>
      </c>
      <c r="Q23" cm="1">
        <f t="array" ref="Q23">SUM(_xlfn.BYROW($B$2:E143,_xlfn.LAMBDA(_xlpm.row,IF(COUNTIF(_xlpm.row,MID(O23,1,7))&gt;0,IF(COUNTIF(_xlpm.row,MID(O23,9,LEN(O23)))&gt;0,IF(COUNTIF(_xlpm.row,P23)&gt;0,1,0),0)))))</f>
        <v>0</v>
      </c>
      <c r="R23" s="6">
        <f t="shared" si="14"/>
        <v>0</v>
      </c>
      <c r="S23" s="8">
        <f t="shared" si="15"/>
        <v>0</v>
      </c>
      <c r="T23" s="6" t="e">
        <f t="shared" si="16"/>
        <v>#DIV/0!</v>
      </c>
      <c r="U23" s="6"/>
      <c r="V23" s="11" t="str">
        <f>O11</f>
        <v>Level 1 ส่วนลดน้อย</v>
      </c>
      <c r="W23" s="12" t="s">
        <v>118</v>
      </c>
      <c r="X23" t="str">
        <f t="shared" ref="X23" si="51">$W$2</f>
        <v>Converted</v>
      </c>
      <c r="Y23" cm="1">
        <f t="array" ref="Y23">SUM(_xlfn.BYROW($B$2:$E$129,_xlfn.LAMBDA(_xlpm.row,IF(COUNTIF(_xlpm.row,MID(V23,1,7))&gt;0,IF(COUNTIF(_xlpm.row,MID(V23,9,LEN(V23)))&gt;0,IF(COUNTIF(_xlpm.row,W23)&gt;0,IF(COUNTIF(_xlpm.row,X23)&gt;0,1,0),0))))))</f>
        <v>0</v>
      </c>
      <c r="Z23" s="6">
        <f t="shared" si="9"/>
        <v>0</v>
      </c>
      <c r="AA23" s="8">
        <f t="shared" si="18"/>
        <v>0</v>
      </c>
      <c r="AB23">
        <f t="shared" si="19"/>
        <v>0</v>
      </c>
    </row>
    <row r="24" spans="1:28" x14ac:dyDescent="0.15">
      <c r="A24">
        <v>23</v>
      </c>
      <c r="B24" t="s">
        <v>113</v>
      </c>
      <c r="C24" t="s">
        <v>106</v>
      </c>
      <c r="D24" t="s">
        <v>112</v>
      </c>
      <c r="E24" t="s">
        <v>108</v>
      </c>
      <c r="O24" t="str">
        <f>I16</f>
        <v>Level 3 ส่วนลดน้อย</v>
      </c>
      <c r="P24" t="str">
        <f t="shared" si="47"/>
        <v>Not Converted</v>
      </c>
      <c r="Q24" cm="1">
        <f t="array" ref="Q24">SUM(_xlfn.BYROW($B$2:E144,_xlfn.LAMBDA(_xlpm.row,IF(COUNTIF(_xlpm.row,MID(O24,1,7))&gt;0,IF(COUNTIF(_xlpm.row,MID(O24,9,LEN(O24)))&gt;0,IF(COUNTIF(_xlpm.row,P24)&gt;0,1,0),0)))))</f>
        <v>0</v>
      </c>
      <c r="R24" s="6">
        <f t="shared" si="14"/>
        <v>0</v>
      </c>
      <c r="S24" s="8">
        <f t="shared" si="15"/>
        <v>0</v>
      </c>
      <c r="T24" s="6" t="e">
        <f t="shared" si="16"/>
        <v>#DIV/0!</v>
      </c>
      <c r="U24" s="6"/>
      <c r="V24" s="11" t="str">
        <f>O12</f>
        <v>Level 1 ส่วนลดน้อย</v>
      </c>
      <c r="W24" s="12" t="s">
        <v>118</v>
      </c>
      <c r="X24" t="str">
        <f t="shared" ref="X24" si="52">$W$3</f>
        <v>Not Converted</v>
      </c>
      <c r="Y24" cm="1">
        <f t="array" ref="Y24">SUM(_xlfn.BYROW($B$2:$E$129,_xlfn.LAMBDA(_xlpm.row,IF(COUNTIF(_xlpm.row,MID(V24,1,7))&gt;0,IF(COUNTIF(_xlpm.row,MID(V24,9,LEN(V24)))&gt;0,IF(COUNTIF(_xlpm.row,W24)&gt;0,IF(COUNTIF(_xlpm.row,X24)&gt;0,1,0),0))))))</f>
        <v>0</v>
      </c>
      <c r="Z24" s="6">
        <f t="shared" si="9"/>
        <v>0</v>
      </c>
      <c r="AA24" s="8">
        <f t="shared" si="18"/>
        <v>0</v>
      </c>
      <c r="AB24">
        <f t="shared" si="19"/>
        <v>0</v>
      </c>
    </row>
    <row r="25" spans="1:28" x14ac:dyDescent="0.15">
      <c r="A25">
        <v>24</v>
      </c>
      <c r="B25" t="s">
        <v>109</v>
      </c>
      <c r="C25" t="s">
        <v>114</v>
      </c>
      <c r="D25" t="s">
        <v>110</v>
      </c>
      <c r="E25" t="s">
        <v>108</v>
      </c>
      <c r="O25" t="str">
        <f>I17</f>
        <v>Level 3 ได้ส่วนลดมาก</v>
      </c>
      <c r="P25" t="str">
        <f t="shared" si="45"/>
        <v>Converted</v>
      </c>
      <c r="Q25" cm="1">
        <f t="array" ref="Q25">SUM(_xlfn.BYROW($B$2:E145,_xlfn.LAMBDA(_xlpm.row,IF(COUNTIF(_xlpm.row,MID(O25,1,7))&gt;0,IF(COUNTIF(_xlpm.row,MID(O25,9,LEN(O25)))&gt;0,IF(COUNTIF(_xlpm.row,P25)&gt;0,1,0),0)))))</f>
        <v>0</v>
      </c>
      <c r="R25" s="6">
        <f t="shared" si="14"/>
        <v>0</v>
      </c>
      <c r="S25" s="8">
        <f t="shared" si="15"/>
        <v>0</v>
      </c>
      <c r="T25" s="6">
        <f t="shared" si="16"/>
        <v>0</v>
      </c>
      <c r="U25" s="6"/>
      <c r="V25" s="11" t="str">
        <f>O11</f>
        <v>Level 1 ส่วนลดน้อย</v>
      </c>
      <c r="W25" s="12" t="s">
        <v>112</v>
      </c>
      <c r="X25" t="str">
        <f t="shared" ref="X25" si="53">$W$2</f>
        <v>Converted</v>
      </c>
      <c r="Y25" cm="1">
        <f t="array" ref="Y25">SUM(_xlfn.BYROW($B$2:$E$129,_xlfn.LAMBDA(_xlpm.row,IF(COUNTIF(_xlpm.row,MID(V25,1,7))&gt;0,IF(COUNTIF(_xlpm.row,MID(V25,9,LEN(V25)))&gt;0,IF(COUNTIF(_xlpm.row,W25)&gt;0,IF(COUNTIF(_xlpm.row,X25)&gt;0,1,0),0))))))</f>
        <v>0</v>
      </c>
      <c r="Z25" s="6">
        <f t="shared" si="9"/>
        <v>0</v>
      </c>
      <c r="AA25" s="8">
        <f t="shared" si="18"/>
        <v>0</v>
      </c>
      <c r="AB25">
        <f t="shared" si="19"/>
        <v>0</v>
      </c>
    </row>
    <row r="26" spans="1:28" x14ac:dyDescent="0.15">
      <c r="A26">
        <v>25</v>
      </c>
      <c r="B26" t="s">
        <v>109</v>
      </c>
      <c r="C26" t="s">
        <v>117</v>
      </c>
      <c r="D26" t="s">
        <v>110</v>
      </c>
      <c r="E26" t="s">
        <v>111</v>
      </c>
      <c r="O26" t="str">
        <f>I17</f>
        <v>Level 3 ได้ส่วนลดมาก</v>
      </c>
      <c r="P26" t="str">
        <f t="shared" si="47"/>
        <v>Not Converted</v>
      </c>
      <c r="Q26" cm="1">
        <f t="array" ref="Q26">SUM(_xlfn.BYROW($B$2:E146,_xlfn.LAMBDA(_xlpm.row,IF(COUNTIF(_xlpm.row,MID(O26,1,7))&gt;0,IF(COUNTIF(_xlpm.row,MID(O26,9,LEN(O26)))&gt;0,IF(COUNTIF(_xlpm.row,P26)&gt;0,1,0),0)))))</f>
        <v>1</v>
      </c>
      <c r="R26" s="6">
        <f t="shared" si="14"/>
        <v>7.8125E-3</v>
      </c>
      <c r="S26" s="8">
        <f t="shared" si="15"/>
        <v>1</v>
      </c>
      <c r="T26" s="6">
        <f t="shared" si="16"/>
        <v>1.3473684210526315</v>
      </c>
      <c r="U26" s="6"/>
      <c r="V26" s="11" t="str">
        <f>O12</f>
        <v>Level 1 ส่วนลดน้อย</v>
      </c>
      <c r="W26" s="12" t="s">
        <v>112</v>
      </c>
      <c r="X26" t="str">
        <f t="shared" ref="X26" si="54">$W$3</f>
        <v>Not Converted</v>
      </c>
      <c r="Y26" cm="1">
        <f t="array" ref="Y26">SUM(_xlfn.BYROW($B$2:$E$129,_xlfn.LAMBDA(_xlpm.row,IF(COUNTIF(_xlpm.row,MID(V26,1,7))&gt;0,IF(COUNTIF(_xlpm.row,MID(V26,9,LEN(V26)))&gt;0,IF(COUNTIF(_xlpm.row,W26)&gt;0,IF(COUNTIF(_xlpm.row,X26)&gt;0,1,0),0))))))</f>
        <v>0</v>
      </c>
      <c r="Z26" s="6">
        <f t="shared" si="9"/>
        <v>0</v>
      </c>
      <c r="AA26" s="8">
        <f t="shared" si="18"/>
        <v>0</v>
      </c>
      <c r="AB26">
        <f t="shared" si="19"/>
        <v>0</v>
      </c>
    </row>
    <row r="27" spans="1:28" x14ac:dyDescent="0.15">
      <c r="A27">
        <v>26</v>
      </c>
      <c r="B27" t="s">
        <v>119</v>
      </c>
      <c r="C27" t="s">
        <v>106</v>
      </c>
      <c r="D27" t="s">
        <v>118</v>
      </c>
      <c r="E27" t="s">
        <v>108</v>
      </c>
      <c r="O27" t="str">
        <f>I18</f>
        <v>Level 4 ไม่ได้ส่วนลด</v>
      </c>
      <c r="P27" t="str">
        <f t="shared" si="45"/>
        <v>Converted</v>
      </c>
      <c r="Q27" cm="1">
        <f t="array" ref="Q27">SUM(_xlfn.BYROW($B$2:E147,_xlfn.LAMBDA(_xlpm.row,IF(COUNTIF(_xlpm.row,MID(O27,1,7))&gt;0,IF(COUNTIF(_xlpm.row,MID(O27,9,LEN(O27)))&gt;0,IF(COUNTIF(_xlpm.row,P27)&gt;0,1,0),0)))))</f>
        <v>2</v>
      </c>
      <c r="R27" s="6">
        <f t="shared" si="14"/>
        <v>1.5625E-2</v>
      </c>
      <c r="S27" s="8">
        <f t="shared" si="15"/>
        <v>8.3333333333333329E-2</v>
      </c>
      <c r="T27" s="6">
        <f t="shared" si="16"/>
        <v>0.32323232323232326</v>
      </c>
      <c r="U27" s="6"/>
      <c r="V27" s="11" t="str">
        <f>O11</f>
        <v>Level 1 ส่วนลดน้อย</v>
      </c>
      <c r="W27" s="12" t="s">
        <v>107</v>
      </c>
      <c r="X27" t="str">
        <f t="shared" ref="X27" si="55">$W$2</f>
        <v>Converted</v>
      </c>
      <c r="Y27" cm="1">
        <f t="array" ref="Y27">SUM(_xlfn.BYROW($B$2:$E$129,_xlfn.LAMBDA(_xlpm.row,IF(COUNTIF(_xlpm.row,MID(V27,1,7))&gt;0,IF(COUNTIF(_xlpm.row,MID(V27,9,LEN(V27)))&gt;0,IF(COUNTIF(_xlpm.row,W27)&gt;0,IF(COUNTIF(_xlpm.row,X27)&gt;0,1,0),0))))))</f>
        <v>0</v>
      </c>
      <c r="Z27" s="6">
        <f t="shared" si="9"/>
        <v>0</v>
      </c>
      <c r="AA27" s="8">
        <f t="shared" si="18"/>
        <v>0</v>
      </c>
      <c r="AB27">
        <f t="shared" si="19"/>
        <v>0</v>
      </c>
    </row>
    <row r="28" spans="1:28" x14ac:dyDescent="0.15">
      <c r="A28">
        <v>27</v>
      </c>
      <c r="B28" t="s">
        <v>116</v>
      </c>
      <c r="C28" t="s">
        <v>106</v>
      </c>
      <c r="D28" t="s">
        <v>107</v>
      </c>
      <c r="E28" t="s">
        <v>108</v>
      </c>
      <c r="O28" t="str">
        <f>I18</f>
        <v>Level 4 ไม่ได้ส่วนลด</v>
      </c>
      <c r="P28" t="str">
        <f t="shared" si="47"/>
        <v>Not Converted</v>
      </c>
      <c r="Q28" cm="1">
        <f t="array" ref="Q28">SUM(_xlfn.BYROW($B$2:E148,_xlfn.LAMBDA(_xlpm.row,IF(COUNTIF(_xlpm.row,MID(O28,1,7))&gt;0,IF(COUNTIF(_xlpm.row,MID(O28,9,LEN(O28)))&gt;0,IF(COUNTIF(_xlpm.row,P28)&gt;0,1,0),0)))))</f>
        <v>22</v>
      </c>
      <c r="R28" s="6">
        <f t="shared" si="14"/>
        <v>0.171875</v>
      </c>
      <c r="S28" s="8">
        <f t="shared" si="15"/>
        <v>0.91666666666666663</v>
      </c>
      <c r="T28" s="6">
        <f t="shared" si="16"/>
        <v>1.2350877192982457</v>
      </c>
      <c r="U28" s="6"/>
      <c r="V28" s="11" t="str">
        <f>O12</f>
        <v>Level 1 ส่วนลดน้อย</v>
      </c>
      <c r="W28" s="12" t="s">
        <v>107</v>
      </c>
      <c r="X28" t="str">
        <f t="shared" ref="X28" si="56">$W$3</f>
        <v>Not Converted</v>
      </c>
      <c r="Y28" cm="1">
        <f t="array" ref="Y28">SUM(_xlfn.BYROW($B$2:$E$129,_xlfn.LAMBDA(_xlpm.row,IF(COUNTIF(_xlpm.row,MID(V28,1,7))&gt;0,IF(COUNTIF(_xlpm.row,MID(V28,9,LEN(V28)))&gt;0,IF(COUNTIF(_xlpm.row,W28)&gt;0,IF(COUNTIF(_xlpm.row,X28)&gt;0,1,0),0))))))</f>
        <v>0</v>
      </c>
      <c r="Z28" s="6">
        <f t="shared" si="9"/>
        <v>0</v>
      </c>
      <c r="AA28" s="8">
        <f t="shared" si="18"/>
        <v>0</v>
      </c>
      <c r="AB28">
        <f t="shared" si="19"/>
        <v>0</v>
      </c>
    </row>
    <row r="29" spans="1:28" x14ac:dyDescent="0.15">
      <c r="A29">
        <v>28</v>
      </c>
      <c r="B29" t="s">
        <v>116</v>
      </c>
      <c r="C29" t="s">
        <v>106</v>
      </c>
      <c r="D29" t="s">
        <v>118</v>
      </c>
      <c r="E29" t="s">
        <v>108</v>
      </c>
      <c r="O29" t="str">
        <f>I19</f>
        <v>Level 4 ส่วนลดน้อย</v>
      </c>
      <c r="P29" t="str">
        <f t="shared" si="45"/>
        <v>Converted</v>
      </c>
      <c r="Q29" cm="1">
        <f t="array" ref="Q29">SUM(_xlfn.BYROW($B$2:E149,_xlfn.LAMBDA(_xlpm.row,IF(COUNTIF(_xlpm.row,MID(O29,1,7))&gt;0,IF(COUNTIF(_xlpm.row,MID(O29,9,LEN(O29)))&gt;0,IF(COUNTIF(_xlpm.row,P29)&gt;0,1,0),0)))))</f>
        <v>0</v>
      </c>
      <c r="R29" s="6">
        <f t="shared" si="14"/>
        <v>0</v>
      </c>
      <c r="S29" s="8">
        <f t="shared" si="15"/>
        <v>0</v>
      </c>
      <c r="T29" s="6">
        <f t="shared" si="16"/>
        <v>0</v>
      </c>
      <c r="U29" s="6"/>
      <c r="V29" s="11" t="str">
        <f>O13</f>
        <v>Level 1 ได้ส่วนลดมาก</v>
      </c>
      <c r="W29" s="12" t="s">
        <v>110</v>
      </c>
      <c r="X29" t="str">
        <f t="shared" ref="X29" si="57">$W$2</f>
        <v>Converted</v>
      </c>
      <c r="Y29" cm="1">
        <f t="array" ref="Y29">SUM(_xlfn.BYROW($B$2:$E$129,_xlfn.LAMBDA(_xlpm.row,IF(COUNTIF(_xlpm.row,MID(V29,1,7))&gt;0,IF(COUNTIF(_xlpm.row,MID(V29,9,LEN(V29)))&gt;0,IF(COUNTIF(_xlpm.row,W29)&gt;0,IF(COUNTIF(_xlpm.row,X29)&gt;0,1,0),0))))))</f>
        <v>24</v>
      </c>
      <c r="Z29" s="6">
        <f t="shared" si="9"/>
        <v>0.1875</v>
      </c>
      <c r="AA29" s="8">
        <f t="shared" si="18"/>
        <v>0.92307692307692313</v>
      </c>
      <c r="AB29">
        <f t="shared" si="19"/>
        <v>3.5804195804195804</v>
      </c>
    </row>
    <row r="30" spans="1:28" x14ac:dyDescent="0.15">
      <c r="A30">
        <v>29</v>
      </c>
      <c r="B30" t="s">
        <v>119</v>
      </c>
      <c r="C30" t="s">
        <v>106</v>
      </c>
      <c r="D30" t="s">
        <v>107</v>
      </c>
      <c r="E30" t="s">
        <v>108</v>
      </c>
      <c r="O30" t="str">
        <f>I19</f>
        <v>Level 4 ส่วนลดน้อย</v>
      </c>
      <c r="P30" t="str">
        <f t="shared" si="47"/>
        <v>Not Converted</v>
      </c>
      <c r="Q30" cm="1">
        <f t="array" ref="Q30">SUM(_xlfn.BYROW($B$2:E150,_xlfn.LAMBDA(_xlpm.row,IF(COUNTIF(_xlpm.row,MID(O30,1,7))&gt;0,IF(COUNTIF(_xlpm.row,MID(O30,9,LEN(O30)))&gt;0,IF(COUNTIF(_xlpm.row,P30)&gt;0,1,0),0)))))</f>
        <v>3</v>
      </c>
      <c r="R30" s="6">
        <f t="shared" si="14"/>
        <v>2.34375E-2</v>
      </c>
      <c r="S30" s="8">
        <f t="shared" si="15"/>
        <v>1</v>
      </c>
      <c r="T30" s="6">
        <f t="shared" si="16"/>
        <v>1.3473684210526315</v>
      </c>
      <c r="U30" s="6"/>
      <c r="V30" s="11" t="str">
        <f>O14</f>
        <v>Level 1 ได้ส่วนลดมาก</v>
      </c>
      <c r="W30" s="12" t="s">
        <v>110</v>
      </c>
      <c r="X30" t="str">
        <f t="shared" ref="X30" si="58">$W$3</f>
        <v>Not Converted</v>
      </c>
      <c r="Y30" cm="1">
        <f t="array" ref="Y30">SUM(_xlfn.BYROW($B$2:$E$129,_xlfn.LAMBDA(_xlpm.row,IF(COUNTIF(_xlpm.row,MID(V30,1,7))&gt;0,IF(COUNTIF(_xlpm.row,MID(V30,9,LEN(V30)))&gt;0,IF(COUNTIF(_xlpm.row,W30)&gt;0,IF(COUNTIF(_xlpm.row,X30)&gt;0,1,0),0))))))</f>
        <v>2</v>
      </c>
      <c r="Z30" s="6">
        <f t="shared" si="9"/>
        <v>1.5625E-2</v>
      </c>
      <c r="AA30" s="8">
        <f t="shared" si="18"/>
        <v>7.6923076923076927E-2</v>
      </c>
      <c r="AB30">
        <f t="shared" si="19"/>
        <v>0.10364372469635627</v>
      </c>
    </row>
    <row r="31" spans="1:28" x14ac:dyDescent="0.15">
      <c r="A31">
        <v>30</v>
      </c>
      <c r="B31" t="s">
        <v>105</v>
      </c>
      <c r="C31" t="s">
        <v>106</v>
      </c>
      <c r="D31" t="s">
        <v>112</v>
      </c>
      <c r="E31" t="s">
        <v>108</v>
      </c>
      <c r="O31" t="str">
        <f>I20</f>
        <v>Level 4 ได้ส่วนลดมาก</v>
      </c>
      <c r="P31" t="str">
        <f t="shared" si="45"/>
        <v>Converted</v>
      </c>
      <c r="Q31" cm="1">
        <f t="array" ref="Q31">SUM(_xlfn.BYROW($B$2:E151,_xlfn.LAMBDA(_xlpm.row,IF(COUNTIF(_xlpm.row,MID(O31,1,7))&gt;0,IF(COUNTIF(_xlpm.row,MID(O31,9,LEN(O31)))&gt;0,IF(COUNTIF(_xlpm.row,P31)&gt;0,1,0),0)))))</f>
        <v>1</v>
      </c>
      <c r="R31" s="6">
        <f t="shared" si="14"/>
        <v>7.8125E-3</v>
      </c>
      <c r="S31" s="8">
        <f t="shared" si="15"/>
        <v>0.5</v>
      </c>
      <c r="T31" s="6">
        <f t="shared" si="16"/>
        <v>1.9393939393939394</v>
      </c>
      <c r="U31" s="6"/>
      <c r="V31" s="11" t="str">
        <f>O13</f>
        <v>Level 1 ได้ส่วนลดมาก</v>
      </c>
      <c r="W31" s="12" t="s">
        <v>115</v>
      </c>
      <c r="X31" t="str">
        <f t="shared" ref="X31" si="59">$W$2</f>
        <v>Converted</v>
      </c>
      <c r="Y31" cm="1">
        <f t="array" ref="Y31">SUM(_xlfn.BYROW($B$2:$E$129,_xlfn.LAMBDA(_xlpm.row,IF(COUNTIF(_xlpm.row,MID(V31,1,7))&gt;0,IF(COUNTIF(_xlpm.row,MID(V31,9,LEN(V31)))&gt;0,IF(COUNTIF(_xlpm.row,W31)&gt;0,IF(COUNTIF(_xlpm.row,X31)&gt;0,1,0),0))))))</f>
        <v>0</v>
      </c>
      <c r="Z31" s="6">
        <f t="shared" si="9"/>
        <v>0</v>
      </c>
      <c r="AA31" s="8">
        <f t="shared" si="18"/>
        <v>0</v>
      </c>
      <c r="AB31">
        <f t="shared" si="19"/>
        <v>0</v>
      </c>
    </row>
    <row r="32" spans="1:28" x14ac:dyDescent="0.15">
      <c r="A32">
        <v>31</v>
      </c>
      <c r="B32" t="s">
        <v>116</v>
      </c>
      <c r="C32" t="s">
        <v>106</v>
      </c>
      <c r="D32" t="s">
        <v>110</v>
      </c>
      <c r="E32" t="s">
        <v>111</v>
      </c>
      <c r="O32" t="str">
        <f>I20</f>
        <v>Level 4 ได้ส่วนลดมาก</v>
      </c>
      <c r="P32" t="str">
        <f t="shared" si="47"/>
        <v>Not Converted</v>
      </c>
      <c r="Q32" cm="1">
        <f t="array" ref="Q32">SUM(_xlfn.BYROW($B$2:E152,_xlfn.LAMBDA(_xlpm.row,IF(COUNTIF(_xlpm.row,MID(O32,1,7))&gt;0,IF(COUNTIF(_xlpm.row,MID(O32,9,LEN(O32)))&gt;0,IF(COUNTIF(_xlpm.row,P32)&gt;0,1,0),0)))))</f>
        <v>1</v>
      </c>
      <c r="R32" s="6">
        <f t="shared" si="14"/>
        <v>7.8125E-3</v>
      </c>
      <c r="S32" s="8">
        <f t="shared" si="15"/>
        <v>0.5</v>
      </c>
      <c r="T32" s="6">
        <f t="shared" si="16"/>
        <v>0.67368421052631577</v>
      </c>
      <c r="U32" s="6"/>
      <c r="V32" s="11" t="str">
        <f>O14</f>
        <v>Level 1 ได้ส่วนลดมาก</v>
      </c>
      <c r="W32" s="12" t="s">
        <v>115</v>
      </c>
      <c r="X32" t="str">
        <f t="shared" ref="X32" si="60">$W$3</f>
        <v>Not Converted</v>
      </c>
      <c r="Y32" cm="1">
        <f t="array" ref="Y32">SUM(_xlfn.BYROW($B$2:$E$129,_xlfn.LAMBDA(_xlpm.row,IF(COUNTIF(_xlpm.row,MID(V32,1,7))&gt;0,IF(COUNTIF(_xlpm.row,MID(V32,9,LEN(V32)))&gt;0,IF(COUNTIF(_xlpm.row,W32)&gt;0,IF(COUNTIF(_xlpm.row,X32)&gt;0,1,0),0))))))</f>
        <v>0</v>
      </c>
      <c r="Z32" s="6">
        <f t="shared" si="9"/>
        <v>0</v>
      </c>
      <c r="AA32" s="8">
        <f t="shared" si="18"/>
        <v>0</v>
      </c>
      <c r="AB32">
        <f t="shared" si="19"/>
        <v>0</v>
      </c>
    </row>
    <row r="33" spans="1:28" x14ac:dyDescent="0.15">
      <c r="A33">
        <v>32</v>
      </c>
      <c r="B33" t="s">
        <v>119</v>
      </c>
      <c r="C33" t="s">
        <v>106</v>
      </c>
      <c r="D33" t="s">
        <v>118</v>
      </c>
      <c r="E33" t="s">
        <v>108</v>
      </c>
      <c r="V33" s="11" t="str">
        <f>O13</f>
        <v>Level 1 ได้ส่วนลดมาก</v>
      </c>
      <c r="W33" s="12" t="s">
        <v>118</v>
      </c>
      <c r="X33" t="str">
        <f t="shared" ref="X33" si="61">$W$2</f>
        <v>Converted</v>
      </c>
      <c r="Y33" cm="1">
        <f t="array" ref="Y33">SUM(_xlfn.BYROW($B$2:$E$129,_xlfn.LAMBDA(_xlpm.row,IF(COUNTIF(_xlpm.row,MID(V33,1,7))&gt;0,IF(COUNTIF(_xlpm.row,MID(V33,9,LEN(V33)))&gt;0,IF(COUNTIF(_xlpm.row,W33)&gt;0,IF(COUNTIF(_xlpm.row,X33)&gt;0,1,0),0))))))</f>
        <v>0</v>
      </c>
      <c r="Z33" s="6">
        <f t="shared" si="9"/>
        <v>0</v>
      </c>
      <c r="AA33" s="8">
        <f t="shared" si="18"/>
        <v>0</v>
      </c>
      <c r="AB33">
        <f t="shared" si="19"/>
        <v>0</v>
      </c>
    </row>
    <row r="34" spans="1:28" x14ac:dyDescent="0.15">
      <c r="A34">
        <v>33</v>
      </c>
      <c r="B34" t="s">
        <v>105</v>
      </c>
      <c r="C34" t="s">
        <v>106</v>
      </c>
      <c r="D34" t="s">
        <v>112</v>
      </c>
      <c r="E34" t="s">
        <v>108</v>
      </c>
      <c r="V34" s="11" t="str">
        <f>O14</f>
        <v>Level 1 ได้ส่วนลดมาก</v>
      </c>
      <c r="W34" s="12" t="s">
        <v>118</v>
      </c>
      <c r="X34" t="str">
        <f t="shared" ref="X34" si="62">$W$3</f>
        <v>Not Converted</v>
      </c>
      <c r="Y34" cm="1">
        <f t="array" ref="Y34">SUM(_xlfn.BYROW($B$2:$E$129,_xlfn.LAMBDA(_xlpm.row,IF(COUNTIF(_xlpm.row,MID(V34,1,7))&gt;0,IF(COUNTIF(_xlpm.row,MID(V34,9,LEN(V34)))&gt;0,IF(COUNTIF(_xlpm.row,W34)&gt;0,IF(COUNTIF(_xlpm.row,X34)&gt;0,1,0),0))))))</f>
        <v>0</v>
      </c>
      <c r="Z34" s="6">
        <f t="shared" si="9"/>
        <v>0</v>
      </c>
      <c r="AA34" s="8">
        <f t="shared" si="18"/>
        <v>0</v>
      </c>
      <c r="AB34">
        <f t="shared" si="19"/>
        <v>0</v>
      </c>
    </row>
    <row r="35" spans="1:28" x14ac:dyDescent="0.15">
      <c r="A35">
        <v>34</v>
      </c>
      <c r="B35" t="s">
        <v>113</v>
      </c>
      <c r="C35" t="s">
        <v>106</v>
      </c>
      <c r="D35" t="s">
        <v>115</v>
      </c>
      <c r="E35" t="s">
        <v>108</v>
      </c>
      <c r="O35" s="1" t="s">
        <v>123</v>
      </c>
      <c r="P35" t="s">
        <v>100</v>
      </c>
      <c r="Q35" s="7" t="s">
        <v>35</v>
      </c>
      <c r="R35" s="1" t="s">
        <v>54</v>
      </c>
      <c r="S35" s="1" t="s">
        <v>120</v>
      </c>
      <c r="T35" s="1" t="s">
        <v>91</v>
      </c>
      <c r="U35" s="1"/>
      <c r="V35" s="11" t="str">
        <f>O13</f>
        <v>Level 1 ได้ส่วนลดมาก</v>
      </c>
      <c r="W35" s="12" t="s">
        <v>112</v>
      </c>
      <c r="X35" t="str">
        <f t="shared" ref="X35" si="63">$W$2</f>
        <v>Converted</v>
      </c>
      <c r="Y35" cm="1">
        <f t="array" ref="Y35">SUM(_xlfn.BYROW($B$2:$E$129,_xlfn.LAMBDA(_xlpm.row,IF(COUNTIF(_xlpm.row,MID(V35,1,7))&gt;0,IF(COUNTIF(_xlpm.row,MID(V35,9,LEN(V35)))&gt;0,IF(COUNTIF(_xlpm.row,W35)&gt;0,IF(COUNTIF(_xlpm.row,X35)&gt;0,1,0),0))))))</f>
        <v>0</v>
      </c>
      <c r="Z35" s="6">
        <f t="shared" si="9"/>
        <v>0</v>
      </c>
      <c r="AA35" s="8">
        <f t="shared" si="18"/>
        <v>0</v>
      </c>
      <c r="AB35">
        <f t="shared" si="19"/>
        <v>0</v>
      </c>
    </row>
    <row r="36" spans="1:28" x14ac:dyDescent="0.15">
      <c r="A36">
        <v>35</v>
      </c>
      <c r="B36" t="s">
        <v>105</v>
      </c>
      <c r="C36" t="s">
        <v>106</v>
      </c>
      <c r="D36" t="s">
        <v>118</v>
      </c>
      <c r="E36" t="s">
        <v>108</v>
      </c>
      <c r="N36" t="str">
        <f>O36&amp;P36</f>
        <v>Level 1 ไม่ได้ส่วนลดtier 1</v>
      </c>
      <c r="O36" t="s">
        <v>124</v>
      </c>
      <c r="P36" t="s">
        <v>110</v>
      </c>
      <c r="Q36" cm="1">
        <f t="array" ref="Q36">SUM(_xlfn.BYROW(B2:E129,_xlfn.LAMBDA(_xlpm.row,IF(COUNTIF(_xlpm.row,MID(O36,1,7))&gt;0,IF(COUNTIF(_xlpm.row,MID(O36,9,LEN(O36)))&gt;0,IF(COUNTIF(_xlpm.row,P36)&gt;0,1,0),0)))))</f>
        <v>1</v>
      </c>
      <c r="R36">
        <f>Q36/MAX(A:A)</f>
        <v>7.8125E-3</v>
      </c>
      <c r="S36">
        <f>IFERROR(R36/VLOOKUP(O36,$I$9:$K$21,3,0),0)</f>
        <v>0.2</v>
      </c>
      <c r="T36">
        <f>IFERROR(R36/(VLOOKUP(O36,$I$9:$K$21,3,0)*VLOOKUP(P36,$S$2:$U$6,3)),0)</f>
        <v>0.59534883720930232</v>
      </c>
      <c r="V36" s="11" t="str">
        <f>O14</f>
        <v>Level 1 ได้ส่วนลดมาก</v>
      </c>
      <c r="W36" s="12" t="s">
        <v>112</v>
      </c>
      <c r="X36" t="str">
        <f t="shared" ref="X36" si="64">$W$3</f>
        <v>Not Converted</v>
      </c>
      <c r="Y36" cm="1">
        <f t="array" ref="Y36">SUM(_xlfn.BYROW($B$2:$E$129,_xlfn.LAMBDA(_xlpm.row,IF(COUNTIF(_xlpm.row,MID(V36,1,7))&gt;0,IF(COUNTIF(_xlpm.row,MID(V36,9,LEN(V36)))&gt;0,IF(COUNTIF(_xlpm.row,W36)&gt;0,IF(COUNTIF(_xlpm.row,X36)&gt;0,1,0),0))))))</f>
        <v>0</v>
      </c>
      <c r="Z36" s="6">
        <f t="shared" si="9"/>
        <v>0</v>
      </c>
      <c r="AA36" s="8">
        <f t="shared" si="18"/>
        <v>0</v>
      </c>
      <c r="AB36">
        <f t="shared" si="19"/>
        <v>0</v>
      </c>
    </row>
    <row r="37" spans="1:28" x14ac:dyDescent="0.15">
      <c r="A37">
        <v>36</v>
      </c>
      <c r="B37" t="s">
        <v>119</v>
      </c>
      <c r="C37" t="s">
        <v>106</v>
      </c>
      <c r="D37" t="s">
        <v>118</v>
      </c>
      <c r="E37" t="s">
        <v>108</v>
      </c>
      <c r="N37" t="str">
        <f t="shared" ref="N37:N95" si="65">O37&amp;P37</f>
        <v>Level 1 ไม่ได้ส่วนลดtier 2</v>
      </c>
      <c r="O37" t="s">
        <v>124</v>
      </c>
      <c r="P37" t="s">
        <v>115</v>
      </c>
      <c r="Q37" cm="1">
        <f t="array" ref="Q37">SUM(_xlfn.BYROW(B3:E130,_xlfn.LAMBDA(_xlpm.row,IF(COUNTIF(_xlpm.row,MID(O37,1,7))&gt;0,IF(COUNTIF(_xlpm.row,MID(O37,9,LEN(O37)))&gt;0,IF(COUNTIF(_xlpm.row,P37)&gt;0,1,0),0)))))</f>
        <v>0</v>
      </c>
      <c r="R37">
        <f t="shared" ref="R37:R95" si="66">Q37/MAX(A:A)</f>
        <v>0</v>
      </c>
      <c r="S37">
        <f t="shared" ref="S37:S95" si="67">IFERROR(R37/VLOOKUP(O37,$I$9:$K$21,3,0),0)</f>
        <v>0</v>
      </c>
      <c r="T37">
        <f t="shared" ref="T37:T95" si="68">IFERROR(R37/(VLOOKUP(O37,$I$9:$K$21,3,0)*VLOOKUP(P37,$S$2:$U$6,3)),0)</f>
        <v>0</v>
      </c>
      <c r="V37" s="11" t="str">
        <f>O13</f>
        <v>Level 1 ได้ส่วนลดมาก</v>
      </c>
      <c r="W37" s="12" t="s">
        <v>107</v>
      </c>
      <c r="X37" t="str">
        <f t="shared" ref="X37" si="69">$W$2</f>
        <v>Converted</v>
      </c>
      <c r="Y37" cm="1">
        <f t="array" ref="Y37">SUM(_xlfn.BYROW($B$2:$E$129,_xlfn.LAMBDA(_xlpm.row,IF(COUNTIF(_xlpm.row,MID(V37,1,7))&gt;0,IF(COUNTIF(_xlpm.row,MID(V37,9,LEN(V37)))&gt;0,IF(COUNTIF(_xlpm.row,W37)&gt;0,IF(COUNTIF(_xlpm.row,X37)&gt;0,1,0),0))))))</f>
        <v>0</v>
      </c>
      <c r="Z37" s="6">
        <f t="shared" si="9"/>
        <v>0</v>
      </c>
      <c r="AA37" s="8">
        <f t="shared" si="18"/>
        <v>0</v>
      </c>
      <c r="AB37">
        <f t="shared" si="19"/>
        <v>0</v>
      </c>
    </row>
    <row r="38" spans="1:28" x14ac:dyDescent="0.15">
      <c r="A38">
        <v>37</v>
      </c>
      <c r="B38" t="s">
        <v>109</v>
      </c>
      <c r="C38" t="s">
        <v>117</v>
      </c>
      <c r="D38" t="s">
        <v>110</v>
      </c>
      <c r="E38" t="s">
        <v>111</v>
      </c>
      <c r="N38" t="str">
        <f t="shared" si="65"/>
        <v>Level 1 ไม่ได้ส่วนลดtier 3</v>
      </c>
      <c r="O38" t="s">
        <v>124</v>
      </c>
      <c r="P38" t="s">
        <v>118</v>
      </c>
      <c r="Q38" cm="1">
        <f t="array" ref="Q38">SUM(_xlfn.BYROW(B4:E131,_xlfn.LAMBDA(_xlpm.row,IF(COUNTIF(_xlpm.row,MID(O38,1,7))&gt;0,IF(COUNTIF(_xlpm.row,MID(O38,9,LEN(O38)))&gt;0,IF(COUNTIF(_xlpm.row,P38)&gt;0,1,0),0)))))</f>
        <v>1</v>
      </c>
      <c r="R38">
        <f t="shared" si="66"/>
        <v>7.8125E-3</v>
      </c>
      <c r="S38">
        <f t="shared" si="67"/>
        <v>0.2</v>
      </c>
      <c r="T38">
        <f t="shared" si="68"/>
        <v>0.98461538461538467</v>
      </c>
      <c r="V38" s="11" t="str">
        <f>O14</f>
        <v>Level 1 ได้ส่วนลดมาก</v>
      </c>
      <c r="W38" s="12" t="s">
        <v>107</v>
      </c>
      <c r="X38" t="str">
        <f t="shared" ref="X38" si="70">$W$3</f>
        <v>Not Converted</v>
      </c>
      <c r="Y38" cm="1">
        <f t="array" ref="Y38">SUM(_xlfn.BYROW($B$2:$E$129,_xlfn.LAMBDA(_xlpm.row,IF(COUNTIF(_xlpm.row,MID(V38,1,7))&gt;0,IF(COUNTIF(_xlpm.row,MID(V38,9,LEN(V38)))&gt;0,IF(COUNTIF(_xlpm.row,W38)&gt;0,IF(COUNTIF(_xlpm.row,X38)&gt;0,1,0),0))))))</f>
        <v>0</v>
      </c>
      <c r="Z38" s="6">
        <f t="shared" si="9"/>
        <v>0</v>
      </c>
      <c r="AA38" s="8">
        <f t="shared" si="18"/>
        <v>0</v>
      </c>
      <c r="AB38">
        <f t="shared" si="19"/>
        <v>0</v>
      </c>
    </row>
    <row r="39" spans="1:28" x14ac:dyDescent="0.15">
      <c r="A39">
        <v>38</v>
      </c>
      <c r="B39" t="s">
        <v>109</v>
      </c>
      <c r="C39" t="s">
        <v>117</v>
      </c>
      <c r="D39" t="s">
        <v>110</v>
      </c>
      <c r="E39" t="s">
        <v>111</v>
      </c>
      <c r="N39" t="str">
        <f t="shared" si="65"/>
        <v>Level 1 ไม่ได้ส่วนลดtier 4</v>
      </c>
      <c r="O39" t="s">
        <v>124</v>
      </c>
      <c r="P39" t="s">
        <v>112</v>
      </c>
      <c r="Q39" cm="1">
        <f t="array" ref="Q39">SUM(_xlfn.BYROW(B5:E132,_xlfn.LAMBDA(_xlpm.row,IF(COUNTIF(_xlpm.row,MID(O39,1,7))&gt;0,IF(COUNTIF(_xlpm.row,MID(O39,9,LEN(O39)))&gt;0,IF(COUNTIF(_xlpm.row,P39)&gt;0,1,0),0)))))</f>
        <v>3</v>
      </c>
      <c r="R39">
        <f t="shared" si="66"/>
        <v>2.34375E-2</v>
      </c>
      <c r="S39">
        <f t="shared" si="67"/>
        <v>0.6</v>
      </c>
      <c r="T39">
        <f t="shared" si="68"/>
        <v>2.953846153846154</v>
      </c>
      <c r="V39" s="11" t="str">
        <f>O15</f>
        <v>Level 2 ไม่ได้ส่วนลด</v>
      </c>
      <c r="W39" s="12" t="s">
        <v>110</v>
      </c>
      <c r="X39" t="str">
        <f t="shared" ref="X39" si="71">$W$2</f>
        <v>Converted</v>
      </c>
      <c r="Y39" cm="1">
        <f t="array" ref="Y39">SUM(_xlfn.BYROW($B$2:$E$129,_xlfn.LAMBDA(_xlpm.row,IF(COUNTIF(_xlpm.row,MID(V39,1,7))&gt;0,IF(COUNTIF(_xlpm.row,MID(V39,9,LEN(V39)))&gt;0,IF(COUNTIF(_xlpm.row,W39)&gt;0,IF(COUNTIF(_xlpm.row,X39)&gt;0,1,0),0))))))</f>
        <v>0</v>
      </c>
      <c r="Z39" s="6">
        <f t="shared" si="9"/>
        <v>0</v>
      </c>
      <c r="AA39" s="8">
        <f t="shared" si="18"/>
        <v>0</v>
      </c>
      <c r="AB39">
        <f t="shared" si="19"/>
        <v>0</v>
      </c>
    </row>
    <row r="40" spans="1:28" x14ac:dyDescent="0.15">
      <c r="A40">
        <v>39</v>
      </c>
      <c r="B40" t="s">
        <v>109</v>
      </c>
      <c r="C40" t="s">
        <v>117</v>
      </c>
      <c r="D40" t="s">
        <v>110</v>
      </c>
      <c r="E40" t="s">
        <v>111</v>
      </c>
      <c r="N40" t="str">
        <f t="shared" si="65"/>
        <v>Level 1 ไม่ได้ส่วนลดtier 5</v>
      </c>
      <c r="O40" t="s">
        <v>124</v>
      </c>
      <c r="P40" t="s">
        <v>107</v>
      </c>
      <c r="Q40" cm="1">
        <f t="array" ref="Q40">SUM(_xlfn.BYROW(B6:E133,_xlfn.LAMBDA(_xlpm.row,IF(COUNTIF(_xlpm.row,MID(O40,1,7))&gt;0,IF(COUNTIF(_xlpm.row,MID(O40,9,LEN(O40)))&gt;0,IF(COUNTIF(_xlpm.row,P40)&gt;0,1,0),0)))))</f>
        <v>0</v>
      </c>
      <c r="R40">
        <f t="shared" si="66"/>
        <v>0</v>
      </c>
      <c r="S40">
        <f t="shared" si="67"/>
        <v>0</v>
      </c>
      <c r="T40">
        <f t="shared" si="68"/>
        <v>0</v>
      </c>
      <c r="V40" s="11" t="str">
        <f>O16</f>
        <v>Level 2 ไม่ได้ส่วนลด</v>
      </c>
      <c r="W40" s="12" t="s">
        <v>110</v>
      </c>
      <c r="X40" t="str">
        <f t="shared" ref="X40" si="72">$W$3</f>
        <v>Not Converted</v>
      </c>
      <c r="Y40" cm="1">
        <f t="array" ref="Y40">SUM(_xlfn.BYROW($B$2:$E$129,_xlfn.LAMBDA(_xlpm.row,IF(COUNTIF(_xlpm.row,MID(V40,1,7))&gt;0,IF(COUNTIF(_xlpm.row,MID(V40,9,LEN(V40)))&gt;0,IF(COUNTIF(_xlpm.row,W40)&gt;0,IF(COUNTIF(_xlpm.row,X40)&gt;0,1,0),0))))))</f>
        <v>2</v>
      </c>
      <c r="Z40" s="6">
        <f t="shared" si="9"/>
        <v>1.5625E-2</v>
      </c>
      <c r="AA40" s="8">
        <f t="shared" si="18"/>
        <v>1</v>
      </c>
      <c r="AB40">
        <f t="shared" si="19"/>
        <v>1.3473684210526315</v>
      </c>
    </row>
    <row r="41" spans="1:28" x14ac:dyDescent="0.15">
      <c r="A41">
        <v>40</v>
      </c>
      <c r="B41" t="s">
        <v>109</v>
      </c>
      <c r="C41" t="s">
        <v>117</v>
      </c>
      <c r="D41" t="s">
        <v>110</v>
      </c>
      <c r="E41" t="s">
        <v>111</v>
      </c>
      <c r="N41" t="str">
        <f t="shared" si="65"/>
        <v>Level 1 ส่วนลดน้อยtier 1</v>
      </c>
      <c r="O41" t="s">
        <v>125</v>
      </c>
      <c r="P41" t="s">
        <v>110</v>
      </c>
      <c r="Q41" cm="1">
        <f t="array" ref="Q41">SUM(_xlfn.BYROW(B7:E134,_xlfn.LAMBDA(_xlpm.row,IF(COUNTIF(_xlpm.row,MID(O41,1,7))&gt;0,IF(COUNTIF(_xlpm.row,MID(O41,9,LEN(O41)))&gt;0,IF(COUNTIF(_xlpm.row,P41)&gt;0,1,0),0)))))</f>
        <v>1</v>
      </c>
      <c r="R41">
        <f t="shared" si="66"/>
        <v>7.8125E-3</v>
      </c>
      <c r="S41">
        <f t="shared" si="67"/>
        <v>1</v>
      </c>
      <c r="T41">
        <f t="shared" si="68"/>
        <v>2.9767441860465116</v>
      </c>
      <c r="V41" s="11" t="str">
        <f>O15</f>
        <v>Level 2 ไม่ได้ส่วนลด</v>
      </c>
      <c r="W41" s="12" t="s">
        <v>115</v>
      </c>
      <c r="X41" t="str">
        <f t="shared" ref="X41" si="73">$W$2</f>
        <v>Converted</v>
      </c>
      <c r="Y41" cm="1">
        <f t="array" ref="Y41">SUM(_xlfn.BYROW($B$2:$E$129,_xlfn.LAMBDA(_xlpm.row,IF(COUNTIF(_xlpm.row,MID(V41,1,7))&gt;0,IF(COUNTIF(_xlpm.row,MID(V41,9,LEN(V41)))&gt;0,IF(COUNTIF(_xlpm.row,W41)&gt;0,IF(COUNTIF(_xlpm.row,X41)&gt;0,1,0),0))))))</f>
        <v>0</v>
      </c>
      <c r="Z41" s="6">
        <f t="shared" ref="Z41:Z72" si="74">Y41/MAX(A:A)</f>
        <v>0</v>
      </c>
      <c r="AA41" s="8">
        <f t="shared" si="18"/>
        <v>0</v>
      </c>
      <c r="AB41">
        <f t="shared" si="19"/>
        <v>0</v>
      </c>
    </row>
    <row r="42" spans="1:28" x14ac:dyDescent="0.15">
      <c r="A42">
        <v>41</v>
      </c>
      <c r="B42" t="s">
        <v>109</v>
      </c>
      <c r="C42" t="s">
        <v>117</v>
      </c>
      <c r="D42" t="s">
        <v>110</v>
      </c>
      <c r="E42" t="s">
        <v>111</v>
      </c>
      <c r="N42" t="str">
        <f t="shared" si="65"/>
        <v>Level 1 ส่วนลดน้อยtier 2</v>
      </c>
      <c r="O42" t="s">
        <v>125</v>
      </c>
      <c r="P42" t="s">
        <v>115</v>
      </c>
      <c r="Q42" cm="1">
        <f t="array" ref="Q42">SUM(_xlfn.BYROW(B8:E135,_xlfn.LAMBDA(_xlpm.row,IF(COUNTIF(_xlpm.row,MID(O42,1,7))&gt;0,IF(COUNTIF(_xlpm.row,MID(O42,9,LEN(O42)))&gt;0,IF(COUNTIF(_xlpm.row,P42)&gt;0,1,0),0)))))</f>
        <v>0</v>
      </c>
      <c r="R42">
        <f t="shared" si="66"/>
        <v>0</v>
      </c>
      <c r="S42">
        <f t="shared" si="67"/>
        <v>0</v>
      </c>
      <c r="T42">
        <f t="shared" si="68"/>
        <v>0</v>
      </c>
      <c r="V42" s="11" t="str">
        <f>O16</f>
        <v>Level 2 ไม่ได้ส่วนลด</v>
      </c>
      <c r="W42" s="12" t="s">
        <v>115</v>
      </c>
      <c r="X42" t="str">
        <f t="shared" ref="X42" si="75">$W$3</f>
        <v>Not Converted</v>
      </c>
      <c r="Y42" cm="1">
        <f t="array" ref="Y42">SUM(_xlfn.BYROW($B$2:$E$129,_xlfn.LAMBDA(_xlpm.row,IF(COUNTIF(_xlpm.row,MID(V42,1,7))&gt;0,IF(COUNTIF(_xlpm.row,MID(V42,9,LEN(V42)))&gt;0,IF(COUNTIF(_xlpm.row,W42)&gt;0,IF(COUNTIF(_xlpm.row,X42)&gt;0,1,0),0))))))</f>
        <v>1</v>
      </c>
      <c r="Z42" s="6">
        <f t="shared" si="74"/>
        <v>7.8125E-3</v>
      </c>
      <c r="AA42" s="8">
        <f t="shared" si="18"/>
        <v>1</v>
      </c>
      <c r="AB42">
        <f t="shared" si="19"/>
        <v>1.3473684210526315</v>
      </c>
    </row>
    <row r="43" spans="1:28" x14ac:dyDescent="0.15">
      <c r="A43">
        <v>42</v>
      </c>
      <c r="B43" t="s">
        <v>105</v>
      </c>
      <c r="C43" t="s">
        <v>106</v>
      </c>
      <c r="D43" t="s">
        <v>118</v>
      </c>
      <c r="E43" t="s">
        <v>108</v>
      </c>
      <c r="N43" t="str">
        <f t="shared" si="65"/>
        <v>Level 1 ส่วนลดน้อยtier 3</v>
      </c>
      <c r="O43" t="s">
        <v>125</v>
      </c>
      <c r="P43" t="s">
        <v>118</v>
      </c>
      <c r="Q43" cm="1">
        <f t="array" ref="Q43">SUM(_xlfn.BYROW(B9:E136,_xlfn.LAMBDA(_xlpm.row,IF(COUNTIF(_xlpm.row,MID(O43,1,7))&gt;0,IF(COUNTIF(_xlpm.row,MID(O43,9,LEN(O43)))&gt;0,IF(COUNTIF(_xlpm.row,P43)&gt;0,1,0),0)))))</f>
        <v>0</v>
      </c>
      <c r="R43">
        <f t="shared" si="66"/>
        <v>0</v>
      </c>
      <c r="S43">
        <f t="shared" si="67"/>
        <v>0</v>
      </c>
      <c r="T43">
        <f t="shared" si="68"/>
        <v>0</v>
      </c>
      <c r="V43" s="11" t="str">
        <f>O15</f>
        <v>Level 2 ไม่ได้ส่วนลด</v>
      </c>
      <c r="W43" s="12" t="s">
        <v>118</v>
      </c>
      <c r="X43" t="str">
        <f t="shared" ref="X43" si="76">$W$2</f>
        <v>Converted</v>
      </c>
      <c r="Y43" cm="1">
        <f t="array" ref="Y43">SUM(_xlfn.BYROW($B$2:$E$129,_xlfn.LAMBDA(_xlpm.row,IF(COUNTIF(_xlpm.row,MID(V43,1,7))&gt;0,IF(COUNTIF(_xlpm.row,MID(V43,9,LEN(V43)))&gt;0,IF(COUNTIF(_xlpm.row,W43)&gt;0,IF(COUNTIF(_xlpm.row,X43)&gt;0,1,0),0))))))</f>
        <v>3</v>
      </c>
      <c r="Z43" s="6">
        <f t="shared" si="74"/>
        <v>2.34375E-2</v>
      </c>
      <c r="AA43" s="8">
        <f t="shared" si="18"/>
        <v>0.42857142857142855</v>
      </c>
      <c r="AB43">
        <f t="shared" si="19"/>
        <v>1.6623376623376624</v>
      </c>
    </row>
    <row r="44" spans="1:28" x14ac:dyDescent="0.15">
      <c r="A44">
        <v>43</v>
      </c>
      <c r="B44" t="s">
        <v>119</v>
      </c>
      <c r="C44" t="s">
        <v>114</v>
      </c>
      <c r="D44" t="s">
        <v>110</v>
      </c>
      <c r="E44" t="s">
        <v>108</v>
      </c>
      <c r="N44" t="str">
        <f t="shared" si="65"/>
        <v>Level 1 ส่วนลดน้อยtier 4</v>
      </c>
      <c r="O44" t="s">
        <v>125</v>
      </c>
      <c r="P44" t="s">
        <v>112</v>
      </c>
      <c r="Q44" cm="1">
        <f t="array" ref="Q44">SUM(_xlfn.BYROW(B10:E137,_xlfn.LAMBDA(_xlpm.row,IF(COUNTIF(_xlpm.row,MID(O44,1,7))&gt;0,IF(COUNTIF(_xlpm.row,MID(O44,9,LEN(O44)))&gt;0,IF(COUNTIF(_xlpm.row,P44)&gt;0,1,0),0)))))</f>
        <v>0</v>
      </c>
      <c r="R44">
        <f t="shared" si="66"/>
        <v>0</v>
      </c>
      <c r="S44">
        <f t="shared" si="67"/>
        <v>0</v>
      </c>
      <c r="T44">
        <f t="shared" si="68"/>
        <v>0</v>
      </c>
      <c r="V44" s="11" t="str">
        <f>O16</f>
        <v>Level 2 ไม่ได้ส่วนลด</v>
      </c>
      <c r="W44" s="12" t="s">
        <v>118</v>
      </c>
      <c r="X44" t="str">
        <f t="shared" ref="X44" si="77">$W$3</f>
        <v>Not Converted</v>
      </c>
      <c r="Y44" cm="1">
        <f t="array" ref="Y44">SUM(_xlfn.BYROW($B$2:$E$129,_xlfn.LAMBDA(_xlpm.row,IF(COUNTIF(_xlpm.row,MID(V44,1,7))&gt;0,IF(COUNTIF(_xlpm.row,MID(V44,9,LEN(V44)))&gt;0,IF(COUNTIF(_xlpm.row,W44)&gt;0,IF(COUNTIF(_xlpm.row,X44)&gt;0,1,0),0))))))</f>
        <v>4</v>
      </c>
      <c r="Z44" s="6">
        <f t="shared" si="74"/>
        <v>3.125E-2</v>
      </c>
      <c r="AA44" s="8">
        <f t="shared" si="18"/>
        <v>0.5714285714285714</v>
      </c>
      <c r="AB44">
        <f t="shared" si="19"/>
        <v>0.76992481203007523</v>
      </c>
    </row>
    <row r="45" spans="1:28" x14ac:dyDescent="0.15">
      <c r="A45">
        <v>44</v>
      </c>
      <c r="B45" t="s">
        <v>119</v>
      </c>
      <c r="C45" t="s">
        <v>114</v>
      </c>
      <c r="D45" t="s">
        <v>115</v>
      </c>
      <c r="E45" t="s">
        <v>108</v>
      </c>
      <c r="N45" t="str">
        <f t="shared" si="65"/>
        <v>Level 1 ส่วนลดน้อยtier 5</v>
      </c>
      <c r="O45" t="s">
        <v>125</v>
      </c>
      <c r="P45" t="s">
        <v>107</v>
      </c>
      <c r="Q45" cm="1">
        <f t="array" ref="Q45">SUM(_xlfn.BYROW(B11:E138,_xlfn.LAMBDA(_xlpm.row,IF(COUNTIF(_xlpm.row,MID(O45,1,7))&gt;0,IF(COUNTIF(_xlpm.row,MID(O45,9,LEN(O45)))&gt;0,IF(COUNTIF(_xlpm.row,P45)&gt;0,1,0),0)))))</f>
        <v>0</v>
      </c>
      <c r="R45">
        <f t="shared" si="66"/>
        <v>0</v>
      </c>
      <c r="S45">
        <f t="shared" si="67"/>
        <v>0</v>
      </c>
      <c r="T45">
        <f t="shared" si="68"/>
        <v>0</v>
      </c>
      <c r="V45" s="11" t="str">
        <f>O15</f>
        <v>Level 2 ไม่ได้ส่วนลด</v>
      </c>
      <c r="W45" s="12" t="s">
        <v>112</v>
      </c>
      <c r="X45" t="str">
        <f t="shared" ref="X45" si="78">$W$2</f>
        <v>Converted</v>
      </c>
      <c r="Y45" cm="1">
        <f t="array" ref="Y45">SUM(_xlfn.BYROW($B$2:$E$129,_xlfn.LAMBDA(_xlpm.row,IF(COUNTIF(_xlpm.row,MID(V45,1,7))&gt;0,IF(COUNTIF(_xlpm.row,MID(V45,9,LEN(V45)))&gt;0,IF(COUNTIF(_xlpm.row,W45)&gt;0,IF(COUNTIF(_xlpm.row,X45)&gt;0,1,0),0))))))</f>
        <v>0</v>
      </c>
      <c r="Z45" s="6">
        <f t="shared" si="74"/>
        <v>0</v>
      </c>
      <c r="AA45" s="8">
        <f t="shared" si="18"/>
        <v>0</v>
      </c>
      <c r="AB45">
        <f t="shared" si="19"/>
        <v>0</v>
      </c>
    </row>
    <row r="46" spans="1:28" x14ac:dyDescent="0.15">
      <c r="A46">
        <v>45</v>
      </c>
      <c r="B46" t="s">
        <v>105</v>
      </c>
      <c r="C46" t="s">
        <v>114</v>
      </c>
      <c r="D46" t="s">
        <v>110</v>
      </c>
      <c r="E46" t="s">
        <v>108</v>
      </c>
      <c r="N46" t="str">
        <f t="shared" si="65"/>
        <v>Level 1 ได้ส่วนลดมากtier 1</v>
      </c>
      <c r="O46" t="s">
        <v>126</v>
      </c>
      <c r="P46" t="s">
        <v>110</v>
      </c>
      <c r="Q46" cm="1">
        <f t="array" ref="Q46">SUM(_xlfn.BYROW(B12:E139,_xlfn.LAMBDA(_xlpm.row,IF(COUNTIF(_xlpm.row,MID(O46,1,7))&gt;0,IF(COUNTIF(_xlpm.row,MID(O46,9,LEN(O46)))&gt;0,IF(COUNTIF(_xlpm.row,P46)&gt;0,1,0),0)))))</f>
        <v>26</v>
      </c>
      <c r="R46">
        <f t="shared" si="66"/>
        <v>0.203125</v>
      </c>
      <c r="S46">
        <f t="shared" si="67"/>
        <v>1</v>
      </c>
      <c r="T46">
        <f t="shared" si="68"/>
        <v>2.9767441860465116</v>
      </c>
      <c r="V46" s="11" t="str">
        <f>O16</f>
        <v>Level 2 ไม่ได้ส่วนลด</v>
      </c>
      <c r="W46" s="12" t="s">
        <v>112</v>
      </c>
      <c r="X46" t="str">
        <f t="shared" ref="X46" si="79">$W$3</f>
        <v>Not Converted</v>
      </c>
      <c r="Y46" cm="1">
        <f t="array" ref="Y46">SUM(_xlfn.BYROW($B$2:$E$129,_xlfn.LAMBDA(_xlpm.row,IF(COUNTIF(_xlpm.row,MID(V46,1,7))&gt;0,IF(COUNTIF(_xlpm.row,MID(V46,9,LEN(V46)))&gt;0,IF(COUNTIF(_xlpm.row,W46)&gt;0,IF(COUNTIF(_xlpm.row,X46)&gt;0,1,0),0))))))</f>
        <v>5</v>
      </c>
      <c r="Z46" s="6">
        <f t="shared" si="74"/>
        <v>3.90625E-2</v>
      </c>
      <c r="AA46" s="8">
        <f t="shared" si="18"/>
        <v>1</v>
      </c>
      <c r="AB46">
        <f t="shared" si="19"/>
        <v>1.3473684210526315</v>
      </c>
    </row>
    <row r="47" spans="1:28" x14ac:dyDescent="0.15">
      <c r="A47">
        <v>46</v>
      </c>
      <c r="B47" t="s">
        <v>109</v>
      </c>
      <c r="C47" t="s">
        <v>106</v>
      </c>
      <c r="D47" t="s">
        <v>118</v>
      </c>
      <c r="E47" t="s">
        <v>108</v>
      </c>
      <c r="N47" t="str">
        <f t="shared" si="65"/>
        <v>Level 1 ได้ส่วนลดมากtier 2</v>
      </c>
      <c r="O47" t="s">
        <v>126</v>
      </c>
      <c r="P47" t="s">
        <v>115</v>
      </c>
      <c r="Q47" cm="1">
        <f t="array" ref="Q47">SUM(_xlfn.BYROW(B13:E140,_xlfn.LAMBDA(_xlpm.row,IF(COUNTIF(_xlpm.row,MID(O47,1,7))&gt;0,IF(COUNTIF(_xlpm.row,MID(O47,9,LEN(O47)))&gt;0,IF(COUNTIF(_xlpm.row,P47)&gt;0,1,0),0)))))</f>
        <v>0</v>
      </c>
      <c r="R47">
        <f t="shared" si="66"/>
        <v>0</v>
      </c>
      <c r="S47">
        <f t="shared" si="67"/>
        <v>0</v>
      </c>
      <c r="T47">
        <f t="shared" si="68"/>
        <v>0</v>
      </c>
      <c r="V47" s="11" t="str">
        <f>O15</f>
        <v>Level 2 ไม่ได้ส่วนลด</v>
      </c>
      <c r="W47" s="12" t="s">
        <v>107</v>
      </c>
      <c r="X47" t="str">
        <f t="shared" ref="X47" si="80">$W$2</f>
        <v>Converted</v>
      </c>
      <c r="Y47" cm="1">
        <f t="array" ref="Y47">SUM(_xlfn.BYROW($B$2:$E$129,_xlfn.LAMBDA(_xlpm.row,IF(COUNTIF(_xlpm.row,MID(V47,1,7))&gt;0,IF(COUNTIF(_xlpm.row,MID(V47,9,LEN(V47)))&gt;0,IF(COUNTIF(_xlpm.row,W47)&gt;0,IF(COUNTIF(_xlpm.row,X47)&gt;0,1,0),0))))))</f>
        <v>0</v>
      </c>
      <c r="Z47" s="6">
        <f t="shared" si="74"/>
        <v>0</v>
      </c>
      <c r="AA47" s="8">
        <f t="shared" si="18"/>
        <v>0</v>
      </c>
      <c r="AB47">
        <f t="shared" si="19"/>
        <v>0</v>
      </c>
    </row>
    <row r="48" spans="1:28" x14ac:dyDescent="0.15">
      <c r="A48">
        <v>47</v>
      </c>
      <c r="B48" t="s">
        <v>119</v>
      </c>
      <c r="C48" t="s">
        <v>117</v>
      </c>
      <c r="D48" t="s">
        <v>112</v>
      </c>
      <c r="E48" t="s">
        <v>111</v>
      </c>
      <c r="N48" t="str">
        <f t="shared" si="65"/>
        <v>Level 1 ได้ส่วนลดมากtier 3</v>
      </c>
      <c r="O48" t="s">
        <v>126</v>
      </c>
      <c r="P48" t="s">
        <v>118</v>
      </c>
      <c r="Q48" cm="1">
        <f t="array" ref="Q48">SUM(_xlfn.BYROW(B14:E141,_xlfn.LAMBDA(_xlpm.row,IF(COUNTIF(_xlpm.row,MID(O48,1,7))&gt;0,IF(COUNTIF(_xlpm.row,MID(O48,9,LEN(O48)))&gt;0,IF(COUNTIF(_xlpm.row,P48)&gt;0,1,0),0)))))</f>
        <v>0</v>
      </c>
      <c r="R48">
        <f t="shared" si="66"/>
        <v>0</v>
      </c>
      <c r="S48">
        <f t="shared" si="67"/>
        <v>0</v>
      </c>
      <c r="T48">
        <f t="shared" si="68"/>
        <v>0</v>
      </c>
      <c r="V48" s="11" t="str">
        <f>O16</f>
        <v>Level 2 ไม่ได้ส่วนลด</v>
      </c>
      <c r="W48" s="12" t="s">
        <v>107</v>
      </c>
      <c r="X48" t="str">
        <f t="shared" ref="X48" si="81">$W$3</f>
        <v>Not Converted</v>
      </c>
      <c r="Y48" cm="1">
        <f t="array" ref="Y48">SUM(_xlfn.BYROW($B$2:$E$129,_xlfn.LAMBDA(_xlpm.row,IF(COUNTIF(_xlpm.row,MID(V48,1,7))&gt;0,IF(COUNTIF(_xlpm.row,MID(V48,9,LEN(V48)))&gt;0,IF(COUNTIF(_xlpm.row,W48)&gt;0,IF(COUNTIF(_xlpm.row,X48)&gt;0,1,0),0))))))</f>
        <v>2</v>
      </c>
      <c r="Z48" s="6">
        <f t="shared" si="74"/>
        <v>1.5625E-2</v>
      </c>
      <c r="AA48" s="8">
        <f t="shared" si="18"/>
        <v>1</v>
      </c>
      <c r="AB48">
        <f t="shared" si="19"/>
        <v>1.3473684210526315</v>
      </c>
    </row>
    <row r="49" spans="1:28" x14ac:dyDescent="0.15">
      <c r="A49">
        <v>48</v>
      </c>
      <c r="B49" t="s">
        <v>116</v>
      </c>
      <c r="C49" t="s">
        <v>106</v>
      </c>
      <c r="D49" t="s">
        <v>107</v>
      </c>
      <c r="E49" t="s">
        <v>108</v>
      </c>
      <c r="N49" t="str">
        <f t="shared" si="65"/>
        <v>Level 1 ได้ส่วนลดมากtier 4</v>
      </c>
      <c r="O49" t="s">
        <v>126</v>
      </c>
      <c r="P49" t="s">
        <v>112</v>
      </c>
      <c r="Q49" cm="1">
        <f t="array" ref="Q49">SUM(_xlfn.BYROW(B15:E142,_xlfn.LAMBDA(_xlpm.row,IF(COUNTIF(_xlpm.row,MID(O49,1,7))&gt;0,IF(COUNTIF(_xlpm.row,MID(O49,9,LEN(O49)))&gt;0,IF(COUNTIF(_xlpm.row,P49)&gt;0,1,0),0)))))</f>
        <v>0</v>
      </c>
      <c r="R49">
        <f t="shared" si="66"/>
        <v>0</v>
      </c>
      <c r="S49">
        <f t="shared" si="67"/>
        <v>0</v>
      </c>
      <c r="T49">
        <f t="shared" si="68"/>
        <v>0</v>
      </c>
      <c r="V49" s="11" t="str">
        <f>O17</f>
        <v>Level 2 ส่วนลดน้อย</v>
      </c>
      <c r="W49" s="12" t="s">
        <v>110</v>
      </c>
      <c r="X49" t="str">
        <f t="shared" ref="X49" si="82">$W$2</f>
        <v>Converted</v>
      </c>
      <c r="Y49" cm="1">
        <f t="array" ref="Y49">SUM(_xlfn.BYROW($B$2:$E$129,_xlfn.LAMBDA(_xlpm.row,IF(COUNTIF(_xlpm.row,MID(V49,1,7))&gt;0,IF(COUNTIF(_xlpm.row,MID(V49,9,LEN(V49)))&gt;0,IF(COUNTIF(_xlpm.row,W49)&gt;0,IF(COUNTIF(_xlpm.row,X49)&gt;0,1,0),0))))))</f>
        <v>0</v>
      </c>
      <c r="Z49" s="6">
        <f t="shared" si="74"/>
        <v>0</v>
      </c>
      <c r="AA49" s="8">
        <f t="shared" si="18"/>
        <v>0</v>
      </c>
      <c r="AB49">
        <f t="shared" si="19"/>
        <v>0</v>
      </c>
    </row>
    <row r="50" spans="1:28" x14ac:dyDescent="0.15">
      <c r="A50">
        <v>49</v>
      </c>
      <c r="B50" t="s">
        <v>119</v>
      </c>
      <c r="C50" t="s">
        <v>106</v>
      </c>
      <c r="D50" t="s">
        <v>107</v>
      </c>
      <c r="E50" t="s">
        <v>108</v>
      </c>
      <c r="N50" t="str">
        <f t="shared" si="65"/>
        <v>Level 1 ได้ส่วนลดมากtier 5</v>
      </c>
      <c r="O50" t="s">
        <v>126</v>
      </c>
      <c r="P50" t="s">
        <v>107</v>
      </c>
      <c r="Q50" cm="1">
        <f t="array" ref="Q50">SUM(_xlfn.BYROW(B16:E143,_xlfn.LAMBDA(_xlpm.row,IF(COUNTIF(_xlpm.row,MID(O50,1,7))&gt;0,IF(COUNTIF(_xlpm.row,MID(O50,9,LEN(O50)))&gt;0,IF(COUNTIF(_xlpm.row,P50)&gt;0,1,0),0)))))</f>
        <v>0</v>
      </c>
      <c r="R50">
        <f t="shared" si="66"/>
        <v>0</v>
      </c>
      <c r="S50">
        <f t="shared" si="67"/>
        <v>0</v>
      </c>
      <c r="T50">
        <f t="shared" si="68"/>
        <v>0</v>
      </c>
      <c r="V50" s="11" t="str">
        <f>O18</f>
        <v>Level 2 ส่วนลดน้อย</v>
      </c>
      <c r="W50" s="12" t="s">
        <v>110</v>
      </c>
      <c r="X50" t="str">
        <f t="shared" ref="X50" si="83">$W$3</f>
        <v>Not Converted</v>
      </c>
      <c r="Y50" cm="1">
        <f t="array" ref="Y50">SUM(_xlfn.BYROW($B$2:$E$129,_xlfn.LAMBDA(_xlpm.row,IF(COUNTIF(_xlpm.row,MID(V50,1,7))&gt;0,IF(COUNTIF(_xlpm.row,MID(V50,9,LEN(V50)))&gt;0,IF(COUNTIF(_xlpm.row,W50)&gt;0,IF(COUNTIF(_xlpm.row,X50)&gt;0,1,0),0))))))</f>
        <v>1</v>
      </c>
      <c r="Z50" s="6">
        <f t="shared" si="74"/>
        <v>7.8125E-3</v>
      </c>
      <c r="AA50" s="8">
        <f t="shared" si="18"/>
        <v>1</v>
      </c>
      <c r="AB50">
        <f t="shared" si="19"/>
        <v>1.3473684210526315</v>
      </c>
    </row>
    <row r="51" spans="1:28" x14ac:dyDescent="0.15">
      <c r="A51">
        <v>50</v>
      </c>
      <c r="B51" t="s">
        <v>113</v>
      </c>
      <c r="C51" t="s">
        <v>106</v>
      </c>
      <c r="D51" t="s">
        <v>107</v>
      </c>
      <c r="E51" t="s">
        <v>108</v>
      </c>
      <c r="N51" t="str">
        <f t="shared" si="65"/>
        <v>Level 2 ไม่ได้ส่วนลดtier 1</v>
      </c>
      <c r="O51" t="s">
        <v>127</v>
      </c>
      <c r="P51" t="s">
        <v>110</v>
      </c>
      <c r="Q51" cm="1">
        <f t="array" ref="Q51">SUM(_xlfn.BYROW(B17:E144,_xlfn.LAMBDA(_xlpm.row,IF(COUNTIF(_xlpm.row,MID(O51,1,7))&gt;0,IF(COUNTIF(_xlpm.row,MID(O51,9,LEN(O51)))&gt;0,IF(COUNTIF(_xlpm.row,P51)&gt;0,1,0),0)))))</f>
        <v>2</v>
      </c>
      <c r="R51">
        <f t="shared" si="66"/>
        <v>1.5625E-2</v>
      </c>
      <c r="S51">
        <f t="shared" si="67"/>
        <v>0.11764705882352941</v>
      </c>
      <c r="T51">
        <f t="shared" si="68"/>
        <v>0.35020519835841313</v>
      </c>
      <c r="V51" s="11" t="str">
        <f>O17</f>
        <v>Level 2 ส่วนลดน้อย</v>
      </c>
      <c r="W51" s="12" t="s">
        <v>115</v>
      </c>
      <c r="X51" t="str">
        <f t="shared" ref="X51" si="84">$W$2</f>
        <v>Converted</v>
      </c>
      <c r="Y51" cm="1">
        <f t="array" ref="Y51">SUM(_xlfn.BYROW($B$2:$E$129,_xlfn.LAMBDA(_xlpm.row,IF(COUNTIF(_xlpm.row,MID(V51,1,7))&gt;0,IF(COUNTIF(_xlpm.row,MID(V51,9,LEN(V51)))&gt;0,IF(COUNTIF(_xlpm.row,W51)&gt;0,IF(COUNTIF(_xlpm.row,X51)&gt;0,1,0),0))))))</f>
        <v>0</v>
      </c>
      <c r="Z51" s="6">
        <f t="shared" si="74"/>
        <v>0</v>
      </c>
      <c r="AA51" s="8">
        <f t="shared" si="18"/>
        <v>0</v>
      </c>
      <c r="AB51">
        <f t="shared" si="19"/>
        <v>0</v>
      </c>
    </row>
    <row r="52" spans="1:28" x14ac:dyDescent="0.15">
      <c r="A52">
        <v>51</v>
      </c>
      <c r="B52" t="s">
        <v>109</v>
      </c>
      <c r="C52" t="s">
        <v>106</v>
      </c>
      <c r="D52" t="s">
        <v>112</v>
      </c>
      <c r="E52" t="s">
        <v>108</v>
      </c>
      <c r="N52" t="str">
        <f t="shared" si="65"/>
        <v>Level 2 ไม่ได้ส่วนลดtier 2</v>
      </c>
      <c r="O52" t="s">
        <v>127</v>
      </c>
      <c r="P52" t="s">
        <v>115</v>
      </c>
      <c r="Q52" cm="1">
        <f t="array" ref="Q52">SUM(_xlfn.BYROW(B18:E145,_xlfn.LAMBDA(_xlpm.row,IF(COUNTIF(_xlpm.row,MID(O52,1,7))&gt;0,IF(COUNTIF(_xlpm.row,MID(O52,9,LEN(O52)))&gt;0,IF(COUNTIF(_xlpm.row,P52)&gt;0,1,0),0)))))</f>
        <v>1</v>
      </c>
      <c r="R52">
        <f t="shared" si="66"/>
        <v>7.8125E-3</v>
      </c>
      <c r="S52">
        <f t="shared" si="67"/>
        <v>5.8823529411764705E-2</v>
      </c>
      <c r="T52">
        <f t="shared" si="68"/>
        <v>0.94117647058823528</v>
      </c>
      <c r="V52" s="11" t="str">
        <f>O18</f>
        <v>Level 2 ส่วนลดน้อย</v>
      </c>
      <c r="W52" s="12" t="s">
        <v>115</v>
      </c>
      <c r="X52" t="str">
        <f t="shared" ref="X52" si="85">$W$3</f>
        <v>Not Converted</v>
      </c>
      <c r="Y52" cm="1">
        <f t="array" ref="Y52">SUM(_xlfn.BYROW($B$2:$E$129,_xlfn.LAMBDA(_xlpm.row,IF(COUNTIF(_xlpm.row,MID(V52,1,7))&gt;0,IF(COUNTIF(_xlpm.row,MID(V52,9,LEN(V52)))&gt;0,IF(COUNTIF(_xlpm.row,W52)&gt;0,IF(COUNTIF(_xlpm.row,X52)&gt;0,1,0),0))))))</f>
        <v>0</v>
      </c>
      <c r="Z52" s="6">
        <f t="shared" si="74"/>
        <v>0</v>
      </c>
      <c r="AA52" s="8">
        <f t="shared" si="18"/>
        <v>0</v>
      </c>
      <c r="AB52">
        <f t="shared" si="19"/>
        <v>0</v>
      </c>
    </row>
    <row r="53" spans="1:28" x14ac:dyDescent="0.15">
      <c r="A53">
        <v>52</v>
      </c>
      <c r="B53" t="s">
        <v>113</v>
      </c>
      <c r="C53" t="s">
        <v>106</v>
      </c>
      <c r="D53" t="s">
        <v>118</v>
      </c>
      <c r="E53" t="s">
        <v>108</v>
      </c>
      <c r="N53" t="str">
        <f t="shared" si="65"/>
        <v>Level 2 ไม่ได้ส่วนลดtier 3</v>
      </c>
      <c r="O53" t="s">
        <v>127</v>
      </c>
      <c r="P53" t="s">
        <v>118</v>
      </c>
      <c r="Q53" cm="1">
        <f t="array" ref="Q53">SUM(_xlfn.BYROW(B19:E146,_xlfn.LAMBDA(_xlpm.row,IF(COUNTIF(_xlpm.row,MID(O53,1,7))&gt;0,IF(COUNTIF(_xlpm.row,MID(O53,9,LEN(O53)))&gt;0,IF(COUNTIF(_xlpm.row,P53)&gt;0,1,0),0)))))</f>
        <v>7</v>
      </c>
      <c r="R53">
        <f t="shared" si="66"/>
        <v>5.46875E-2</v>
      </c>
      <c r="S53">
        <f t="shared" si="67"/>
        <v>0.41176470588235292</v>
      </c>
      <c r="T53">
        <f t="shared" si="68"/>
        <v>2.0271493212669682</v>
      </c>
      <c r="V53" s="11" t="str">
        <f>O17</f>
        <v>Level 2 ส่วนลดน้อย</v>
      </c>
      <c r="W53" s="12" t="s">
        <v>118</v>
      </c>
      <c r="X53" t="str">
        <f t="shared" ref="X53" si="86">$W$2</f>
        <v>Converted</v>
      </c>
      <c r="Y53" cm="1">
        <f t="array" ref="Y53">SUM(_xlfn.BYROW($B$2:$E$129,_xlfn.LAMBDA(_xlpm.row,IF(COUNTIF(_xlpm.row,MID(V53,1,7))&gt;0,IF(COUNTIF(_xlpm.row,MID(V53,9,LEN(V53)))&gt;0,IF(COUNTIF(_xlpm.row,W53)&gt;0,IF(COUNTIF(_xlpm.row,X53)&gt;0,1,0),0))))))</f>
        <v>0</v>
      </c>
      <c r="Z53" s="6">
        <f t="shared" si="74"/>
        <v>0</v>
      </c>
      <c r="AA53" s="8">
        <f t="shared" si="18"/>
        <v>0</v>
      </c>
      <c r="AB53">
        <f t="shared" si="19"/>
        <v>0</v>
      </c>
    </row>
    <row r="54" spans="1:28" x14ac:dyDescent="0.15">
      <c r="A54">
        <v>53</v>
      </c>
      <c r="B54" t="s">
        <v>119</v>
      </c>
      <c r="C54" t="s">
        <v>106</v>
      </c>
      <c r="D54" t="s">
        <v>107</v>
      </c>
      <c r="E54" t="s">
        <v>108</v>
      </c>
      <c r="N54" t="str">
        <f t="shared" si="65"/>
        <v>Level 2 ไม่ได้ส่วนลดtier 4</v>
      </c>
      <c r="O54" t="s">
        <v>127</v>
      </c>
      <c r="P54" t="s">
        <v>112</v>
      </c>
      <c r="Q54" cm="1">
        <f t="array" ref="Q54">SUM(_xlfn.BYROW(B20:E147,_xlfn.LAMBDA(_xlpm.row,IF(COUNTIF(_xlpm.row,MID(O54,1,7))&gt;0,IF(COUNTIF(_xlpm.row,MID(O54,9,LEN(O54)))&gt;0,IF(COUNTIF(_xlpm.row,P54)&gt;0,1,0),0)))))</f>
        <v>5</v>
      </c>
      <c r="R54">
        <f t="shared" si="66"/>
        <v>3.90625E-2</v>
      </c>
      <c r="S54">
        <f t="shared" si="67"/>
        <v>0.29411764705882354</v>
      </c>
      <c r="T54">
        <f t="shared" si="68"/>
        <v>1.4479638009049773</v>
      </c>
      <c r="V54" s="11" t="str">
        <f>O18</f>
        <v>Level 2 ส่วนลดน้อย</v>
      </c>
      <c r="W54" s="12" t="s">
        <v>118</v>
      </c>
      <c r="X54" t="str">
        <f t="shared" ref="X54" si="87">$W$3</f>
        <v>Not Converted</v>
      </c>
      <c r="Y54" cm="1">
        <f t="array" ref="Y54">SUM(_xlfn.BYROW($B$2:$E$129,_xlfn.LAMBDA(_xlpm.row,IF(COUNTIF(_xlpm.row,MID(V54,1,7))&gt;0,IF(COUNTIF(_xlpm.row,MID(V54,9,LEN(V54)))&gt;0,IF(COUNTIF(_xlpm.row,W54)&gt;0,IF(COUNTIF(_xlpm.row,X54)&gt;0,1,0),0))))))</f>
        <v>0</v>
      </c>
      <c r="Z54" s="6">
        <f t="shared" si="74"/>
        <v>0</v>
      </c>
      <c r="AA54" s="8">
        <f t="shared" si="18"/>
        <v>0</v>
      </c>
      <c r="AB54">
        <f t="shared" si="19"/>
        <v>0</v>
      </c>
    </row>
    <row r="55" spans="1:28" x14ac:dyDescent="0.15">
      <c r="A55">
        <v>54</v>
      </c>
      <c r="B55" t="s">
        <v>105</v>
      </c>
      <c r="C55" t="s">
        <v>106</v>
      </c>
      <c r="D55" t="s">
        <v>107</v>
      </c>
      <c r="E55" t="s">
        <v>108</v>
      </c>
      <c r="N55" t="str">
        <f t="shared" si="65"/>
        <v>Level 2 ไม่ได้ส่วนลดtier 5</v>
      </c>
      <c r="O55" t="s">
        <v>127</v>
      </c>
      <c r="P55" t="s">
        <v>107</v>
      </c>
      <c r="Q55" cm="1">
        <f t="array" ref="Q55">SUM(_xlfn.BYROW(B21:E148,_xlfn.LAMBDA(_xlpm.row,IF(COUNTIF(_xlpm.row,MID(O55,1,7))&gt;0,IF(COUNTIF(_xlpm.row,MID(O55,9,LEN(O55)))&gt;0,IF(COUNTIF(_xlpm.row,P55)&gt;0,1,0),0)))))</f>
        <v>2</v>
      </c>
      <c r="R55">
        <f t="shared" si="66"/>
        <v>1.5625E-2</v>
      </c>
      <c r="S55">
        <f t="shared" si="67"/>
        <v>0.11764705882352941</v>
      </c>
      <c r="T55">
        <f t="shared" si="68"/>
        <v>0.60235294117647054</v>
      </c>
      <c r="V55" s="11" t="str">
        <f>O17</f>
        <v>Level 2 ส่วนลดน้อย</v>
      </c>
      <c r="W55" s="12" t="s">
        <v>112</v>
      </c>
      <c r="X55" t="str">
        <f t="shared" ref="X55" si="88">$W$2</f>
        <v>Converted</v>
      </c>
      <c r="Y55" cm="1">
        <f t="array" ref="Y55">SUM(_xlfn.BYROW($B$2:$E$129,_xlfn.LAMBDA(_xlpm.row,IF(COUNTIF(_xlpm.row,MID(V55,1,7))&gt;0,IF(COUNTIF(_xlpm.row,MID(V55,9,LEN(V55)))&gt;0,IF(COUNTIF(_xlpm.row,W55)&gt;0,IF(COUNTIF(_xlpm.row,X55)&gt;0,1,0),0))))))</f>
        <v>0</v>
      </c>
      <c r="Z55" s="6">
        <f t="shared" si="74"/>
        <v>0</v>
      </c>
      <c r="AA55" s="8">
        <f t="shared" si="18"/>
        <v>0</v>
      </c>
      <c r="AB55">
        <f t="shared" si="19"/>
        <v>0</v>
      </c>
    </row>
    <row r="56" spans="1:28" x14ac:dyDescent="0.15">
      <c r="A56">
        <v>55</v>
      </c>
      <c r="B56" t="s">
        <v>109</v>
      </c>
      <c r="C56" t="s">
        <v>117</v>
      </c>
      <c r="D56" t="s">
        <v>110</v>
      </c>
      <c r="E56" t="s">
        <v>111</v>
      </c>
      <c r="N56" t="str">
        <f t="shared" si="65"/>
        <v>Level 2 ส่วนลดน้อยtier 1</v>
      </c>
      <c r="O56" t="s">
        <v>128</v>
      </c>
      <c r="P56" t="s">
        <v>110</v>
      </c>
      <c r="Q56" cm="1">
        <f t="array" ref="Q56">SUM(_xlfn.BYROW(B22:E149,_xlfn.LAMBDA(_xlpm.row,IF(COUNTIF(_xlpm.row,MID(O56,1,7))&gt;0,IF(COUNTIF(_xlpm.row,MID(O56,9,LEN(O56)))&gt;0,IF(COUNTIF(_xlpm.row,P56)&gt;0,1,0),0)))))</f>
        <v>1</v>
      </c>
      <c r="R56">
        <f t="shared" si="66"/>
        <v>7.8125E-3</v>
      </c>
      <c r="S56">
        <f t="shared" si="67"/>
        <v>1</v>
      </c>
      <c r="T56">
        <f t="shared" si="68"/>
        <v>2.9767441860465116</v>
      </c>
      <c r="V56" s="11" t="str">
        <f>O18</f>
        <v>Level 2 ส่วนลดน้อย</v>
      </c>
      <c r="W56" s="12" t="s">
        <v>112</v>
      </c>
      <c r="X56" t="str">
        <f t="shared" ref="X56" si="89">$W$3</f>
        <v>Not Converted</v>
      </c>
      <c r="Y56" cm="1">
        <f t="array" ref="Y56">SUM(_xlfn.BYROW($B$2:$E$129,_xlfn.LAMBDA(_xlpm.row,IF(COUNTIF(_xlpm.row,MID(V56,1,7))&gt;0,IF(COUNTIF(_xlpm.row,MID(V56,9,LEN(V56)))&gt;0,IF(COUNTIF(_xlpm.row,W56)&gt;0,IF(COUNTIF(_xlpm.row,X56)&gt;0,1,0),0))))))</f>
        <v>0</v>
      </c>
      <c r="Z56" s="6">
        <f t="shared" si="74"/>
        <v>0</v>
      </c>
      <c r="AA56" s="8">
        <f t="shared" si="18"/>
        <v>0</v>
      </c>
      <c r="AB56">
        <f t="shared" si="19"/>
        <v>0</v>
      </c>
    </row>
    <row r="57" spans="1:28" x14ac:dyDescent="0.15">
      <c r="A57">
        <v>56</v>
      </c>
      <c r="B57" t="s">
        <v>119</v>
      </c>
      <c r="C57" t="s">
        <v>106</v>
      </c>
      <c r="D57" t="s">
        <v>110</v>
      </c>
      <c r="E57" t="s">
        <v>108</v>
      </c>
      <c r="N57" t="str">
        <f t="shared" si="65"/>
        <v>Level 2 ส่วนลดน้อยtier 2</v>
      </c>
      <c r="O57" t="s">
        <v>128</v>
      </c>
      <c r="P57" t="s">
        <v>115</v>
      </c>
      <c r="Q57" cm="1">
        <f t="array" ref="Q57">SUM(_xlfn.BYROW(B23:E150,_xlfn.LAMBDA(_xlpm.row,IF(COUNTIF(_xlpm.row,MID(O57,1,7))&gt;0,IF(COUNTIF(_xlpm.row,MID(O57,9,LEN(O57)))&gt;0,IF(COUNTIF(_xlpm.row,P57)&gt;0,1,0),0)))))</f>
        <v>0</v>
      </c>
      <c r="R57">
        <f t="shared" si="66"/>
        <v>0</v>
      </c>
      <c r="S57">
        <f t="shared" si="67"/>
        <v>0</v>
      </c>
      <c r="T57">
        <f t="shared" si="68"/>
        <v>0</v>
      </c>
      <c r="V57" s="11" t="str">
        <f>O17</f>
        <v>Level 2 ส่วนลดน้อย</v>
      </c>
      <c r="W57" s="12" t="s">
        <v>107</v>
      </c>
      <c r="X57" t="str">
        <f t="shared" ref="X57" si="90">$W$2</f>
        <v>Converted</v>
      </c>
      <c r="Y57" cm="1">
        <f t="array" ref="Y57">SUM(_xlfn.BYROW($B$2:$E$129,_xlfn.LAMBDA(_xlpm.row,IF(COUNTIF(_xlpm.row,MID(V57,1,7))&gt;0,IF(COUNTIF(_xlpm.row,MID(V57,9,LEN(V57)))&gt;0,IF(COUNTIF(_xlpm.row,W57)&gt;0,IF(COUNTIF(_xlpm.row,X57)&gt;0,1,0),0))))))</f>
        <v>0</v>
      </c>
      <c r="Z57" s="6">
        <f t="shared" si="74"/>
        <v>0</v>
      </c>
      <c r="AA57" s="8">
        <f t="shared" si="18"/>
        <v>0</v>
      </c>
      <c r="AB57">
        <f t="shared" si="19"/>
        <v>0</v>
      </c>
    </row>
    <row r="58" spans="1:28" x14ac:dyDescent="0.15">
      <c r="A58">
        <v>57</v>
      </c>
      <c r="B58" t="s">
        <v>113</v>
      </c>
      <c r="C58" t="s">
        <v>106</v>
      </c>
      <c r="D58" t="s">
        <v>110</v>
      </c>
      <c r="E58" t="s">
        <v>108</v>
      </c>
      <c r="N58" t="str">
        <f t="shared" si="65"/>
        <v>Level 2 ส่วนลดน้อยtier 3</v>
      </c>
      <c r="O58" t="s">
        <v>128</v>
      </c>
      <c r="P58" t="s">
        <v>118</v>
      </c>
      <c r="Q58" cm="1">
        <f t="array" ref="Q58">SUM(_xlfn.BYROW(B24:E151,_xlfn.LAMBDA(_xlpm.row,IF(COUNTIF(_xlpm.row,MID(O58,1,7))&gt;0,IF(COUNTIF(_xlpm.row,MID(O58,9,LEN(O58)))&gt;0,IF(COUNTIF(_xlpm.row,P58)&gt;0,1,0),0)))))</f>
        <v>0</v>
      </c>
      <c r="R58">
        <f t="shared" si="66"/>
        <v>0</v>
      </c>
      <c r="S58">
        <f t="shared" si="67"/>
        <v>0</v>
      </c>
      <c r="T58">
        <f t="shared" si="68"/>
        <v>0</v>
      </c>
      <c r="V58" s="11" t="str">
        <f>O18</f>
        <v>Level 2 ส่วนลดน้อย</v>
      </c>
      <c r="W58" s="12" t="s">
        <v>107</v>
      </c>
      <c r="X58" t="str">
        <f t="shared" ref="X58" si="91">$W$3</f>
        <v>Not Converted</v>
      </c>
      <c r="Y58" cm="1">
        <f t="array" ref="Y58">SUM(_xlfn.BYROW($B$2:$E$129,_xlfn.LAMBDA(_xlpm.row,IF(COUNTIF(_xlpm.row,MID(V58,1,7))&gt;0,IF(COUNTIF(_xlpm.row,MID(V58,9,LEN(V58)))&gt;0,IF(COUNTIF(_xlpm.row,W58)&gt;0,IF(COUNTIF(_xlpm.row,X58)&gt;0,1,0),0))))))</f>
        <v>0</v>
      </c>
      <c r="Z58" s="6">
        <f t="shared" si="74"/>
        <v>0</v>
      </c>
      <c r="AA58" s="8">
        <f t="shared" si="18"/>
        <v>0</v>
      </c>
      <c r="AB58">
        <f t="shared" si="19"/>
        <v>0</v>
      </c>
    </row>
    <row r="59" spans="1:28" x14ac:dyDescent="0.15">
      <c r="A59">
        <v>58</v>
      </c>
      <c r="B59" t="s">
        <v>105</v>
      </c>
      <c r="C59" t="s">
        <v>106</v>
      </c>
      <c r="D59" t="s">
        <v>112</v>
      </c>
      <c r="E59" t="s">
        <v>108</v>
      </c>
      <c r="N59" t="str">
        <f t="shared" si="65"/>
        <v>Level 2 ส่วนลดน้อยtier 4</v>
      </c>
      <c r="O59" t="s">
        <v>128</v>
      </c>
      <c r="P59" t="s">
        <v>112</v>
      </c>
      <c r="Q59" cm="1">
        <f t="array" ref="Q59">SUM(_xlfn.BYROW(B25:E152,_xlfn.LAMBDA(_xlpm.row,IF(COUNTIF(_xlpm.row,MID(O59,1,7))&gt;0,IF(COUNTIF(_xlpm.row,MID(O59,9,LEN(O59)))&gt;0,IF(COUNTIF(_xlpm.row,P59)&gt;0,1,0),0)))))</f>
        <v>0</v>
      </c>
      <c r="R59">
        <f t="shared" si="66"/>
        <v>0</v>
      </c>
      <c r="S59">
        <f t="shared" si="67"/>
        <v>0</v>
      </c>
      <c r="T59">
        <f t="shared" si="68"/>
        <v>0</v>
      </c>
      <c r="V59" s="11" t="str">
        <f>O19</f>
        <v>Level 2 ได้ส่วนลดมาก</v>
      </c>
      <c r="W59" s="12" t="s">
        <v>110</v>
      </c>
      <c r="X59" t="str">
        <f t="shared" ref="X59" si="92">$W$2</f>
        <v>Converted</v>
      </c>
      <c r="Y59" cm="1">
        <f t="array" ref="Y59">SUM(_xlfn.BYROW($B$2:$E$129,_xlfn.LAMBDA(_xlpm.row,IF(COUNTIF(_xlpm.row,MID(V59,1,7))&gt;0,IF(COUNTIF(_xlpm.row,MID(V59,9,LEN(V59)))&gt;0,IF(COUNTIF(_xlpm.row,W59)&gt;0,IF(COUNTIF(_xlpm.row,X59)&gt;0,1,0),0))))))</f>
        <v>0</v>
      </c>
      <c r="Z59" s="6">
        <f t="shared" si="74"/>
        <v>0</v>
      </c>
      <c r="AA59" s="8">
        <f t="shared" si="18"/>
        <v>0</v>
      </c>
      <c r="AB59">
        <f t="shared" si="19"/>
        <v>0</v>
      </c>
    </row>
    <row r="60" spans="1:28" x14ac:dyDescent="0.15">
      <c r="A60">
        <v>59</v>
      </c>
      <c r="B60" t="s">
        <v>116</v>
      </c>
      <c r="C60" t="s">
        <v>106</v>
      </c>
      <c r="D60" t="s">
        <v>115</v>
      </c>
      <c r="E60" t="s">
        <v>108</v>
      </c>
      <c r="N60" t="str">
        <f t="shared" si="65"/>
        <v>Level 2 ส่วนลดน้อยtier 5</v>
      </c>
      <c r="O60" t="s">
        <v>128</v>
      </c>
      <c r="P60" t="s">
        <v>107</v>
      </c>
      <c r="Q60" cm="1">
        <f t="array" ref="Q60">SUM(_xlfn.BYROW(B26:E153,_xlfn.LAMBDA(_xlpm.row,IF(COUNTIF(_xlpm.row,MID(O60,1,7))&gt;0,IF(COUNTIF(_xlpm.row,MID(O60,9,LEN(O60)))&gt;0,IF(COUNTIF(_xlpm.row,P60)&gt;0,1,0),0)))))</f>
        <v>0</v>
      </c>
      <c r="R60">
        <f t="shared" si="66"/>
        <v>0</v>
      </c>
      <c r="S60">
        <f t="shared" si="67"/>
        <v>0</v>
      </c>
      <c r="T60">
        <f t="shared" si="68"/>
        <v>0</v>
      </c>
      <c r="V60" s="11" t="str">
        <f>O20</f>
        <v>Level 2 ได้ส่วนลดมาก</v>
      </c>
      <c r="W60" s="12" t="s">
        <v>110</v>
      </c>
      <c r="X60" t="str">
        <f t="shared" ref="X60" si="93">$W$3</f>
        <v>Not Converted</v>
      </c>
      <c r="Y60" cm="1">
        <f t="array" ref="Y60">SUM(_xlfn.BYROW($B$2:$E$129,_xlfn.LAMBDA(_xlpm.row,IF(COUNTIF(_xlpm.row,MID(V60,1,7))&gt;0,IF(COUNTIF(_xlpm.row,MID(V60,9,LEN(V60)))&gt;0,IF(COUNTIF(_xlpm.row,W60)&gt;0,IF(COUNTIF(_xlpm.row,X60)&gt;0,1,0),0))))))</f>
        <v>0</v>
      </c>
      <c r="Z60" s="6">
        <f t="shared" si="74"/>
        <v>0</v>
      </c>
      <c r="AA60" s="8">
        <f t="shared" si="18"/>
        <v>0</v>
      </c>
      <c r="AB60">
        <f t="shared" si="19"/>
        <v>0</v>
      </c>
    </row>
    <row r="61" spans="1:28" x14ac:dyDescent="0.15">
      <c r="A61">
        <v>60</v>
      </c>
      <c r="B61" t="s">
        <v>105</v>
      </c>
      <c r="C61" t="s">
        <v>106</v>
      </c>
      <c r="D61" t="s">
        <v>107</v>
      </c>
      <c r="E61" t="s">
        <v>108</v>
      </c>
      <c r="N61" t="str">
        <f t="shared" si="65"/>
        <v>Level 2 ได้ส่วนลดมากtier 1</v>
      </c>
      <c r="O61" t="s">
        <v>129</v>
      </c>
      <c r="P61" t="s">
        <v>110</v>
      </c>
      <c r="Q61" cm="1">
        <f t="array" ref="Q61">SUM(_xlfn.BYROW(B27:E154,_xlfn.LAMBDA(_xlpm.row,IF(COUNTIF(_xlpm.row,MID(O61,1,7))&gt;0,IF(COUNTIF(_xlpm.row,MID(O61,9,LEN(O61)))&gt;0,IF(COUNTIF(_xlpm.row,P61)&gt;0,1,0),0)))))</f>
        <v>0</v>
      </c>
      <c r="R61">
        <f t="shared" si="66"/>
        <v>0</v>
      </c>
      <c r="S61">
        <f t="shared" si="67"/>
        <v>0</v>
      </c>
      <c r="T61">
        <f t="shared" si="68"/>
        <v>0</v>
      </c>
      <c r="V61" s="11" t="str">
        <f>O19</f>
        <v>Level 2 ได้ส่วนลดมาก</v>
      </c>
      <c r="W61" s="12" t="s">
        <v>115</v>
      </c>
      <c r="X61" t="str">
        <f t="shared" ref="X61" si="94">$W$2</f>
        <v>Converted</v>
      </c>
      <c r="Y61" cm="1">
        <f t="array" ref="Y61">SUM(_xlfn.BYROW($B$2:$E$129,_xlfn.LAMBDA(_xlpm.row,IF(COUNTIF(_xlpm.row,MID(V61,1,7))&gt;0,IF(COUNTIF(_xlpm.row,MID(V61,9,LEN(V61)))&gt;0,IF(COUNTIF(_xlpm.row,W61)&gt;0,IF(COUNTIF(_xlpm.row,X61)&gt;0,1,0),0))))))</f>
        <v>0</v>
      </c>
      <c r="Z61" s="6">
        <f t="shared" si="74"/>
        <v>0</v>
      </c>
      <c r="AA61" s="8">
        <f t="shared" si="18"/>
        <v>0</v>
      </c>
      <c r="AB61">
        <f t="shared" si="19"/>
        <v>0</v>
      </c>
    </row>
    <row r="62" spans="1:28" x14ac:dyDescent="0.15">
      <c r="A62">
        <v>61</v>
      </c>
      <c r="B62" t="s">
        <v>105</v>
      </c>
      <c r="C62" t="s">
        <v>106</v>
      </c>
      <c r="D62" t="s">
        <v>118</v>
      </c>
      <c r="E62" t="s">
        <v>108</v>
      </c>
      <c r="N62" t="str">
        <f t="shared" si="65"/>
        <v>Level 2 ได้ส่วนลดมากtier 2</v>
      </c>
      <c r="O62" t="s">
        <v>129</v>
      </c>
      <c r="P62" t="s">
        <v>115</v>
      </c>
      <c r="Q62" cm="1">
        <f t="array" ref="Q62">SUM(_xlfn.BYROW(B28:E155,_xlfn.LAMBDA(_xlpm.row,IF(COUNTIF(_xlpm.row,MID(O62,1,7))&gt;0,IF(COUNTIF(_xlpm.row,MID(O62,9,LEN(O62)))&gt;0,IF(COUNTIF(_xlpm.row,P62)&gt;0,1,0),0)))))</f>
        <v>0</v>
      </c>
      <c r="R62">
        <f t="shared" si="66"/>
        <v>0</v>
      </c>
      <c r="S62">
        <f t="shared" si="67"/>
        <v>0</v>
      </c>
      <c r="T62">
        <f t="shared" si="68"/>
        <v>0</v>
      </c>
      <c r="V62" s="11" t="str">
        <f>O20</f>
        <v>Level 2 ได้ส่วนลดมาก</v>
      </c>
      <c r="W62" s="12" t="s">
        <v>115</v>
      </c>
      <c r="X62" t="str">
        <f t="shared" ref="X62" si="95">$W$3</f>
        <v>Not Converted</v>
      </c>
      <c r="Y62" cm="1">
        <f t="array" ref="Y62">SUM(_xlfn.BYROW($B$2:$E$129,_xlfn.LAMBDA(_xlpm.row,IF(COUNTIF(_xlpm.row,MID(V62,1,7))&gt;0,IF(COUNTIF(_xlpm.row,MID(V62,9,LEN(V62)))&gt;0,IF(COUNTIF(_xlpm.row,W62)&gt;0,IF(COUNTIF(_xlpm.row,X62)&gt;0,1,0),0))))))</f>
        <v>0</v>
      </c>
      <c r="Z62" s="6">
        <f t="shared" si="74"/>
        <v>0</v>
      </c>
      <c r="AA62" s="8">
        <f t="shared" si="18"/>
        <v>0</v>
      </c>
      <c r="AB62">
        <f t="shared" si="19"/>
        <v>0</v>
      </c>
    </row>
    <row r="63" spans="1:28" x14ac:dyDescent="0.15">
      <c r="A63">
        <v>62</v>
      </c>
      <c r="B63" t="s">
        <v>113</v>
      </c>
      <c r="C63" t="s">
        <v>106</v>
      </c>
      <c r="D63" t="s">
        <v>112</v>
      </c>
      <c r="E63" t="s">
        <v>108</v>
      </c>
      <c r="N63" t="str">
        <f t="shared" si="65"/>
        <v>Level 2 ได้ส่วนลดมากtier 3</v>
      </c>
      <c r="O63" t="s">
        <v>129</v>
      </c>
      <c r="P63" t="s">
        <v>118</v>
      </c>
      <c r="Q63" cm="1">
        <f t="array" ref="Q63">SUM(_xlfn.BYROW(B29:E156,_xlfn.LAMBDA(_xlpm.row,IF(COUNTIF(_xlpm.row,MID(O63,1,7))&gt;0,IF(COUNTIF(_xlpm.row,MID(O63,9,LEN(O63)))&gt;0,IF(COUNTIF(_xlpm.row,P63)&gt;0,1,0),0)))))</f>
        <v>0</v>
      </c>
      <c r="R63">
        <f t="shared" si="66"/>
        <v>0</v>
      </c>
      <c r="S63">
        <f t="shared" si="67"/>
        <v>0</v>
      </c>
      <c r="T63">
        <f t="shared" si="68"/>
        <v>0</v>
      </c>
      <c r="V63" s="11" t="str">
        <f>O19</f>
        <v>Level 2 ได้ส่วนลดมาก</v>
      </c>
      <c r="W63" s="12" t="s">
        <v>118</v>
      </c>
      <c r="X63" t="str">
        <f t="shared" ref="X63" si="96">$W$2</f>
        <v>Converted</v>
      </c>
      <c r="Y63" cm="1">
        <f t="array" ref="Y63">SUM(_xlfn.BYROW($B$2:$E$129,_xlfn.LAMBDA(_xlpm.row,IF(COUNTIF(_xlpm.row,MID(V63,1,7))&gt;0,IF(COUNTIF(_xlpm.row,MID(V63,9,LEN(V63)))&gt;0,IF(COUNTIF(_xlpm.row,W63)&gt;0,IF(COUNTIF(_xlpm.row,X63)&gt;0,1,0),0))))))</f>
        <v>0</v>
      </c>
      <c r="Z63" s="6">
        <f t="shared" si="74"/>
        <v>0</v>
      </c>
      <c r="AA63" s="8">
        <f t="shared" si="18"/>
        <v>0</v>
      </c>
      <c r="AB63">
        <f t="shared" si="19"/>
        <v>0</v>
      </c>
    </row>
    <row r="64" spans="1:28" x14ac:dyDescent="0.15">
      <c r="A64">
        <v>63</v>
      </c>
      <c r="B64" t="s">
        <v>119</v>
      </c>
      <c r="C64" t="s">
        <v>106</v>
      </c>
      <c r="D64" t="s">
        <v>118</v>
      </c>
      <c r="E64" t="s">
        <v>111</v>
      </c>
      <c r="N64" t="str">
        <f t="shared" si="65"/>
        <v>Level 2 ได้ส่วนลดมากtier 4</v>
      </c>
      <c r="O64" t="s">
        <v>129</v>
      </c>
      <c r="P64" t="s">
        <v>112</v>
      </c>
      <c r="Q64" cm="1">
        <f t="array" ref="Q64">SUM(_xlfn.BYROW(B30:E157,_xlfn.LAMBDA(_xlpm.row,IF(COUNTIF(_xlpm.row,MID(O64,1,7))&gt;0,IF(COUNTIF(_xlpm.row,MID(O64,9,LEN(O64)))&gt;0,IF(COUNTIF(_xlpm.row,P64)&gt;0,1,0),0)))))</f>
        <v>1</v>
      </c>
      <c r="R64">
        <f t="shared" si="66"/>
        <v>7.8125E-3</v>
      </c>
      <c r="S64">
        <f t="shared" si="67"/>
        <v>1</v>
      </c>
      <c r="T64">
        <f t="shared" si="68"/>
        <v>4.9230769230769234</v>
      </c>
      <c r="V64" s="11" t="str">
        <f>O20</f>
        <v>Level 2 ได้ส่วนลดมาก</v>
      </c>
      <c r="W64" s="12" t="s">
        <v>118</v>
      </c>
      <c r="X64" t="str">
        <f t="shared" ref="X64" si="97">$W$3</f>
        <v>Not Converted</v>
      </c>
      <c r="Y64" cm="1">
        <f t="array" ref="Y64">SUM(_xlfn.BYROW($B$2:$E$129,_xlfn.LAMBDA(_xlpm.row,IF(COUNTIF(_xlpm.row,MID(V64,1,7))&gt;0,IF(COUNTIF(_xlpm.row,MID(V64,9,LEN(V64)))&gt;0,IF(COUNTIF(_xlpm.row,W64)&gt;0,IF(COUNTIF(_xlpm.row,X64)&gt;0,1,0),0))))))</f>
        <v>0</v>
      </c>
      <c r="Z64" s="6">
        <f t="shared" si="74"/>
        <v>0</v>
      </c>
      <c r="AA64" s="8">
        <f t="shared" si="18"/>
        <v>0</v>
      </c>
      <c r="AB64">
        <f t="shared" si="19"/>
        <v>0</v>
      </c>
    </row>
    <row r="65" spans="1:28" x14ac:dyDescent="0.15">
      <c r="A65">
        <v>64</v>
      </c>
      <c r="B65" t="s">
        <v>119</v>
      </c>
      <c r="C65" t="s">
        <v>106</v>
      </c>
      <c r="D65" t="s">
        <v>110</v>
      </c>
      <c r="E65" t="s">
        <v>108</v>
      </c>
      <c r="N65" t="str">
        <f t="shared" si="65"/>
        <v>Level 2 ได้ส่วนลดมากtier 5</v>
      </c>
      <c r="O65" t="s">
        <v>129</v>
      </c>
      <c r="P65" t="s">
        <v>107</v>
      </c>
      <c r="Q65" cm="1">
        <f t="array" ref="Q65">SUM(_xlfn.BYROW(B31:E158,_xlfn.LAMBDA(_xlpm.row,IF(COUNTIF(_xlpm.row,MID(O65,1,7))&gt;0,IF(COUNTIF(_xlpm.row,MID(O65,9,LEN(O65)))&gt;0,IF(COUNTIF(_xlpm.row,P65)&gt;0,1,0),0)))))</f>
        <v>0</v>
      </c>
      <c r="R65">
        <f t="shared" si="66"/>
        <v>0</v>
      </c>
      <c r="S65">
        <f t="shared" si="67"/>
        <v>0</v>
      </c>
      <c r="T65">
        <f t="shared" si="68"/>
        <v>0</v>
      </c>
      <c r="V65" s="11" t="str">
        <f>O19</f>
        <v>Level 2 ได้ส่วนลดมาก</v>
      </c>
      <c r="W65" s="12" t="s">
        <v>112</v>
      </c>
      <c r="X65" t="str">
        <f t="shared" ref="X65" si="98">$W$2</f>
        <v>Converted</v>
      </c>
      <c r="Y65" cm="1">
        <f t="array" ref="Y65">SUM(_xlfn.BYROW($B$2:$E$129,_xlfn.LAMBDA(_xlpm.row,IF(COUNTIF(_xlpm.row,MID(V65,1,7))&gt;0,IF(COUNTIF(_xlpm.row,MID(V65,9,LEN(V65)))&gt;0,IF(COUNTIF(_xlpm.row,W65)&gt;0,IF(COUNTIF(_xlpm.row,X65)&gt;0,1,0),0))))))</f>
        <v>0</v>
      </c>
      <c r="Z65" s="6">
        <f t="shared" si="74"/>
        <v>0</v>
      </c>
      <c r="AA65" s="8">
        <f t="shared" si="18"/>
        <v>0</v>
      </c>
      <c r="AB65">
        <f t="shared" si="19"/>
        <v>0</v>
      </c>
    </row>
    <row r="66" spans="1:28" x14ac:dyDescent="0.15">
      <c r="A66">
        <v>65</v>
      </c>
      <c r="B66" t="s">
        <v>105</v>
      </c>
      <c r="C66" t="s">
        <v>106</v>
      </c>
      <c r="D66" t="s">
        <v>107</v>
      </c>
      <c r="E66" t="s">
        <v>108</v>
      </c>
      <c r="N66" t="str">
        <f t="shared" si="65"/>
        <v>Level 3 ไม่ได้ส่วนลดtier 1</v>
      </c>
      <c r="O66" t="s">
        <v>130</v>
      </c>
      <c r="P66" t="s">
        <v>110</v>
      </c>
      <c r="Q66" cm="1">
        <f t="array" ref="Q66">SUM(_xlfn.BYROW(B32:E159,_xlfn.LAMBDA(_xlpm.row,IF(COUNTIF(_xlpm.row,MID(O66,1,7))&gt;0,IF(COUNTIF(_xlpm.row,MID(O66,9,LEN(O66)))&gt;0,IF(COUNTIF(_xlpm.row,P66)&gt;0,1,0),0)))))</f>
        <v>3</v>
      </c>
      <c r="R66">
        <f t="shared" si="66"/>
        <v>2.34375E-2</v>
      </c>
      <c r="S66">
        <f t="shared" si="67"/>
        <v>0.12</v>
      </c>
      <c r="T66">
        <f t="shared" si="68"/>
        <v>0.3572093023255814</v>
      </c>
      <c r="V66" s="11" t="str">
        <f>O20</f>
        <v>Level 2 ได้ส่วนลดมาก</v>
      </c>
      <c r="W66" s="12" t="s">
        <v>112</v>
      </c>
      <c r="X66" t="str">
        <f t="shared" ref="X66" si="99">$W$3</f>
        <v>Not Converted</v>
      </c>
      <c r="Y66" cm="1">
        <f t="array" ref="Y66">SUM(_xlfn.BYROW($B$2:$E$129,_xlfn.LAMBDA(_xlpm.row,IF(COUNTIF(_xlpm.row,MID(V66,1,7))&gt;0,IF(COUNTIF(_xlpm.row,MID(V66,9,LEN(V66)))&gt;0,IF(COUNTIF(_xlpm.row,W66)&gt;0,IF(COUNTIF(_xlpm.row,X66)&gt;0,1,0),0))))))</f>
        <v>1</v>
      </c>
      <c r="Z66" s="6">
        <f t="shared" si="74"/>
        <v>7.8125E-3</v>
      </c>
      <c r="AA66" s="8">
        <f t="shared" si="18"/>
        <v>1</v>
      </c>
      <c r="AB66">
        <f t="shared" si="19"/>
        <v>1.3473684210526315</v>
      </c>
    </row>
    <row r="67" spans="1:28" x14ac:dyDescent="0.15">
      <c r="A67">
        <v>66</v>
      </c>
      <c r="B67" t="s">
        <v>109</v>
      </c>
      <c r="C67" t="s">
        <v>117</v>
      </c>
      <c r="D67" t="s">
        <v>110</v>
      </c>
      <c r="E67" t="s">
        <v>111</v>
      </c>
      <c r="N67" t="str">
        <f t="shared" si="65"/>
        <v>Level 3 ไม่ได้ส่วนลดtier 2</v>
      </c>
      <c r="O67" t="s">
        <v>130</v>
      </c>
      <c r="P67" t="s">
        <v>115</v>
      </c>
      <c r="Q67" cm="1">
        <f t="array" ref="Q67">SUM(_xlfn.BYROW(B33:E160,_xlfn.LAMBDA(_xlpm.row,IF(COUNTIF(_xlpm.row,MID(O67,1,7))&gt;0,IF(COUNTIF(_xlpm.row,MID(O67,9,LEN(O67)))&gt;0,IF(COUNTIF(_xlpm.row,P67)&gt;0,1,0),0)))))</f>
        <v>2</v>
      </c>
      <c r="R67">
        <f t="shared" si="66"/>
        <v>1.5625E-2</v>
      </c>
      <c r="S67">
        <f t="shared" si="67"/>
        <v>0.08</v>
      </c>
      <c r="T67">
        <f t="shared" si="68"/>
        <v>1.28</v>
      </c>
      <c r="V67" s="11" t="str">
        <f>O19</f>
        <v>Level 2 ได้ส่วนลดมาก</v>
      </c>
      <c r="W67" s="12" t="s">
        <v>107</v>
      </c>
      <c r="X67" t="str">
        <f t="shared" ref="X67" si="100">$W$2</f>
        <v>Converted</v>
      </c>
      <c r="Y67" cm="1">
        <f t="array" ref="Y67">SUM(_xlfn.BYROW($B$2:$E$129,_xlfn.LAMBDA(_xlpm.row,IF(COUNTIF(_xlpm.row,MID(V67,1,7))&gt;0,IF(COUNTIF(_xlpm.row,MID(V67,9,LEN(V67)))&gt;0,IF(COUNTIF(_xlpm.row,W67)&gt;0,IF(COUNTIF(_xlpm.row,X67)&gt;0,1,0),0))))))</f>
        <v>0</v>
      </c>
      <c r="Z67" s="6">
        <f t="shared" si="74"/>
        <v>0</v>
      </c>
      <c r="AA67" s="8">
        <f t="shared" si="18"/>
        <v>0</v>
      </c>
      <c r="AB67">
        <f t="shared" si="19"/>
        <v>0</v>
      </c>
    </row>
    <row r="68" spans="1:28" x14ac:dyDescent="0.15">
      <c r="A68">
        <v>67</v>
      </c>
      <c r="B68" t="s">
        <v>116</v>
      </c>
      <c r="C68" t="s">
        <v>106</v>
      </c>
      <c r="D68" t="s">
        <v>107</v>
      </c>
      <c r="E68" t="s">
        <v>108</v>
      </c>
      <c r="N68" t="str">
        <f t="shared" si="65"/>
        <v>Level 3 ไม่ได้ส่วนลดtier 3</v>
      </c>
      <c r="O68" t="s">
        <v>130</v>
      </c>
      <c r="P68" t="s">
        <v>118</v>
      </c>
      <c r="Q68" cm="1">
        <f t="array" ref="Q68">SUM(_xlfn.BYROW(B34:E161,_xlfn.LAMBDA(_xlpm.row,IF(COUNTIF(_xlpm.row,MID(O68,1,7))&gt;0,IF(COUNTIF(_xlpm.row,MID(O68,9,LEN(O68)))&gt;0,IF(COUNTIF(_xlpm.row,P68)&gt;0,1,0),0)))))</f>
        <v>5</v>
      </c>
      <c r="R68">
        <f t="shared" si="66"/>
        <v>3.90625E-2</v>
      </c>
      <c r="S68">
        <f t="shared" si="67"/>
        <v>0.2</v>
      </c>
      <c r="T68">
        <f t="shared" si="68"/>
        <v>0.98461538461538467</v>
      </c>
      <c r="V68" s="11" t="str">
        <f>O20</f>
        <v>Level 2 ได้ส่วนลดมาก</v>
      </c>
      <c r="W68" s="12" t="s">
        <v>107</v>
      </c>
      <c r="X68" t="str">
        <f t="shared" ref="X68" si="101">$W$3</f>
        <v>Not Converted</v>
      </c>
      <c r="Y68" cm="1">
        <f t="array" ref="Y68">SUM(_xlfn.BYROW($B$2:$E$129,_xlfn.LAMBDA(_xlpm.row,IF(COUNTIF(_xlpm.row,MID(V68,1,7))&gt;0,IF(COUNTIF(_xlpm.row,MID(V68,9,LEN(V68)))&gt;0,IF(COUNTIF(_xlpm.row,W68)&gt;0,IF(COUNTIF(_xlpm.row,X68)&gt;0,1,0),0))))))</f>
        <v>0</v>
      </c>
      <c r="Z68" s="6">
        <f t="shared" si="74"/>
        <v>0</v>
      </c>
      <c r="AA68" s="8">
        <f t="shared" si="18"/>
        <v>0</v>
      </c>
      <c r="AB68">
        <f t="shared" si="19"/>
        <v>0</v>
      </c>
    </row>
    <row r="69" spans="1:28" x14ac:dyDescent="0.15">
      <c r="A69">
        <v>68</v>
      </c>
      <c r="B69" t="s">
        <v>119</v>
      </c>
      <c r="C69" t="s">
        <v>114</v>
      </c>
      <c r="D69" t="s">
        <v>110</v>
      </c>
      <c r="E69" t="s">
        <v>108</v>
      </c>
      <c r="N69" t="str">
        <f t="shared" si="65"/>
        <v>Level 3 ไม่ได้ส่วนลดtier 4</v>
      </c>
      <c r="O69" t="s">
        <v>130</v>
      </c>
      <c r="P69" t="s">
        <v>112</v>
      </c>
      <c r="Q69" cm="1">
        <f t="array" ref="Q69">SUM(_xlfn.BYROW(B35:E162,_xlfn.LAMBDA(_xlpm.row,IF(COUNTIF(_xlpm.row,MID(O69,1,7))&gt;0,IF(COUNTIF(_xlpm.row,MID(O69,9,LEN(O69)))&gt;0,IF(COUNTIF(_xlpm.row,P69)&gt;0,1,0),0)))))</f>
        <v>5</v>
      </c>
      <c r="R69">
        <f t="shared" si="66"/>
        <v>3.90625E-2</v>
      </c>
      <c r="S69">
        <f t="shared" si="67"/>
        <v>0.2</v>
      </c>
      <c r="T69">
        <f t="shared" si="68"/>
        <v>0.98461538461538467</v>
      </c>
      <c r="V69" s="11" t="str">
        <f>I15</f>
        <v>Level 3 ไม่ได้ส่วนลด</v>
      </c>
      <c r="W69" s="12" t="s">
        <v>110</v>
      </c>
      <c r="X69" t="str">
        <f t="shared" ref="X69" si="102">$W$2</f>
        <v>Converted</v>
      </c>
      <c r="Y69" cm="1">
        <f t="array" ref="Y69">SUM(_xlfn.BYROW($B$2:$E$129,_xlfn.LAMBDA(_xlpm.row,IF(COUNTIF(_xlpm.row,MID(V69,1,7))&gt;0,IF(COUNTIF(_xlpm.row,MID(V69,9,LEN(V69)))&gt;0,IF(COUNTIF(_xlpm.row,W69)&gt;0,IF(COUNTIF(_xlpm.row,X69)&gt;0,1,0),0))))))</f>
        <v>3</v>
      </c>
      <c r="Z69" s="6">
        <f t="shared" si="74"/>
        <v>2.34375E-2</v>
      </c>
      <c r="AA69" s="8">
        <f t="shared" si="18"/>
        <v>1</v>
      </c>
      <c r="AB69">
        <f t="shared" si="19"/>
        <v>3.8787878787878789</v>
      </c>
    </row>
    <row r="70" spans="1:28" x14ac:dyDescent="0.15">
      <c r="A70">
        <v>69</v>
      </c>
      <c r="B70" t="s">
        <v>109</v>
      </c>
      <c r="C70" t="s">
        <v>106</v>
      </c>
      <c r="D70" t="s">
        <v>112</v>
      </c>
      <c r="E70" t="s">
        <v>108</v>
      </c>
      <c r="N70" t="str">
        <f t="shared" si="65"/>
        <v>Level 3 ไม่ได้ส่วนลดtier 5</v>
      </c>
      <c r="O70" t="s">
        <v>130</v>
      </c>
      <c r="P70" t="s">
        <v>107</v>
      </c>
      <c r="Q70" cm="1">
        <f t="array" ref="Q70">SUM(_xlfn.BYROW(B36:E163,_xlfn.LAMBDA(_xlpm.row,IF(COUNTIF(_xlpm.row,MID(O70,1,7))&gt;0,IF(COUNTIF(_xlpm.row,MID(O70,9,LEN(O70)))&gt;0,IF(COUNTIF(_xlpm.row,P70)&gt;0,1,0),0)))))</f>
        <v>4</v>
      </c>
      <c r="R70">
        <f t="shared" si="66"/>
        <v>3.125E-2</v>
      </c>
      <c r="S70">
        <f t="shared" si="67"/>
        <v>0.16</v>
      </c>
      <c r="T70">
        <f t="shared" si="68"/>
        <v>0.81920000000000004</v>
      </c>
      <c r="V70" s="11" t="str">
        <f>I15</f>
        <v>Level 3 ไม่ได้ส่วนลด</v>
      </c>
      <c r="W70" s="12" t="s">
        <v>110</v>
      </c>
      <c r="X70" t="str">
        <f t="shared" ref="X70" si="103">$W$3</f>
        <v>Not Converted</v>
      </c>
      <c r="Y70" cm="1">
        <f t="array" ref="Y70">SUM(_xlfn.BYROW($B$2:$E$129,_xlfn.LAMBDA(_xlpm.row,IF(COUNTIF(_xlpm.row,MID(V70,1,7))&gt;0,IF(COUNTIF(_xlpm.row,MID(V70,9,LEN(V70)))&gt;0,IF(COUNTIF(_xlpm.row,W70)&gt;0,IF(COUNTIF(_xlpm.row,X70)&gt;0,1,0),0))))))</f>
        <v>0</v>
      </c>
      <c r="Z70" s="6">
        <f t="shared" si="74"/>
        <v>0</v>
      </c>
      <c r="AA70" s="8">
        <f t="shared" si="18"/>
        <v>0</v>
      </c>
      <c r="AB70">
        <f t="shared" si="19"/>
        <v>0</v>
      </c>
    </row>
    <row r="71" spans="1:28" x14ac:dyDescent="0.15">
      <c r="A71">
        <v>70</v>
      </c>
      <c r="B71" t="s">
        <v>119</v>
      </c>
      <c r="C71" t="s">
        <v>106</v>
      </c>
      <c r="D71" t="s">
        <v>107</v>
      </c>
      <c r="E71" t="s">
        <v>108</v>
      </c>
      <c r="N71" t="str">
        <f t="shared" si="65"/>
        <v>Level 3 ส่วนลดน้อยtier 1</v>
      </c>
      <c r="O71" t="s">
        <v>131</v>
      </c>
      <c r="P71" t="s">
        <v>110</v>
      </c>
      <c r="Q71" cm="1">
        <f t="array" ref="Q71">SUM(_xlfn.BYROW(B37:E164,_xlfn.LAMBDA(_xlpm.row,IF(COUNTIF(_xlpm.row,MID(O71,1,7))&gt;0,IF(COUNTIF(_xlpm.row,MID(O71,9,LEN(O71)))&gt;0,IF(COUNTIF(_xlpm.row,P71)&gt;0,1,0),0)))))</f>
        <v>0</v>
      </c>
      <c r="R71">
        <f t="shared" si="66"/>
        <v>0</v>
      </c>
      <c r="S71">
        <f t="shared" si="67"/>
        <v>0</v>
      </c>
      <c r="T71">
        <f t="shared" si="68"/>
        <v>0</v>
      </c>
      <c r="V71" s="11" t="str">
        <f>I15</f>
        <v>Level 3 ไม่ได้ส่วนลด</v>
      </c>
      <c r="W71" s="12" t="s">
        <v>115</v>
      </c>
      <c r="X71" t="str">
        <f t="shared" ref="X71" si="104">$W$2</f>
        <v>Converted</v>
      </c>
      <c r="Y71" cm="1">
        <f t="array" ref="Y71">SUM(_xlfn.BYROW($B$2:$E$129,_xlfn.LAMBDA(_xlpm.row,IF(COUNTIF(_xlpm.row,MID(V71,1,7))&gt;0,IF(COUNTIF(_xlpm.row,MID(V71,9,LEN(V71)))&gt;0,IF(COUNTIF(_xlpm.row,W71)&gt;0,IF(COUNTIF(_xlpm.row,X71)&gt;0,1,0),0))))))</f>
        <v>0</v>
      </c>
      <c r="Z71" s="6">
        <f t="shared" si="74"/>
        <v>0</v>
      </c>
      <c r="AA71" s="8">
        <f t="shared" si="18"/>
        <v>0</v>
      </c>
      <c r="AB71">
        <f t="shared" si="19"/>
        <v>0</v>
      </c>
    </row>
    <row r="72" spans="1:28" x14ac:dyDescent="0.15">
      <c r="A72">
        <v>71</v>
      </c>
      <c r="B72" t="s">
        <v>116</v>
      </c>
      <c r="C72" t="s">
        <v>106</v>
      </c>
      <c r="D72" t="s">
        <v>112</v>
      </c>
      <c r="E72" t="s">
        <v>108</v>
      </c>
      <c r="N72" t="str">
        <f t="shared" si="65"/>
        <v>Level 3 ส่วนลดน้อยtier 2</v>
      </c>
      <c r="O72" t="s">
        <v>131</v>
      </c>
      <c r="P72" t="s">
        <v>115</v>
      </c>
      <c r="Q72" cm="1">
        <f t="array" ref="Q72">SUM(_xlfn.BYROW(B38:E165,_xlfn.LAMBDA(_xlpm.row,IF(COUNTIF(_xlpm.row,MID(O72,1,7))&gt;0,IF(COUNTIF(_xlpm.row,MID(O72,9,LEN(O72)))&gt;0,IF(COUNTIF(_xlpm.row,P72)&gt;0,1,0),0)))))</f>
        <v>0</v>
      </c>
      <c r="R72">
        <f t="shared" si="66"/>
        <v>0</v>
      </c>
      <c r="S72">
        <f t="shared" si="67"/>
        <v>0</v>
      </c>
      <c r="T72">
        <f t="shared" si="68"/>
        <v>0</v>
      </c>
      <c r="V72" s="11" t="str">
        <f>I15</f>
        <v>Level 3 ไม่ได้ส่วนลด</v>
      </c>
      <c r="W72" s="12" t="s">
        <v>115</v>
      </c>
      <c r="X72" t="str">
        <f t="shared" ref="X72" si="105">$W$3</f>
        <v>Not Converted</v>
      </c>
      <c r="Y72" cm="1">
        <f t="array" ref="Y72">SUM(_xlfn.BYROW($B$2:$E$129,_xlfn.LAMBDA(_xlpm.row,IF(COUNTIF(_xlpm.row,MID(V72,1,7))&gt;0,IF(COUNTIF(_xlpm.row,MID(V72,9,LEN(V72)))&gt;0,IF(COUNTIF(_xlpm.row,W72)&gt;0,IF(COUNTIF(_xlpm.row,X72)&gt;0,1,0),0))))))</f>
        <v>4</v>
      </c>
      <c r="Z72" s="6">
        <f t="shared" si="74"/>
        <v>3.125E-2</v>
      </c>
      <c r="AA72" s="8">
        <f t="shared" si="18"/>
        <v>2</v>
      </c>
      <c r="AB72">
        <f t="shared" si="19"/>
        <v>2.6947368421052631</v>
      </c>
    </row>
    <row r="73" spans="1:28" x14ac:dyDescent="0.15">
      <c r="A73">
        <v>72</v>
      </c>
      <c r="B73" t="s">
        <v>116</v>
      </c>
      <c r="C73" t="s">
        <v>106</v>
      </c>
      <c r="D73" t="s">
        <v>118</v>
      </c>
      <c r="E73" t="s">
        <v>108</v>
      </c>
      <c r="N73" t="str">
        <f t="shared" si="65"/>
        <v>Level 3 ส่วนลดน้อยtier 3</v>
      </c>
      <c r="O73" t="s">
        <v>131</v>
      </c>
      <c r="P73" t="s">
        <v>118</v>
      </c>
      <c r="Q73" cm="1">
        <f t="array" ref="Q73">SUM(_xlfn.BYROW(B39:E166,_xlfn.LAMBDA(_xlpm.row,IF(COUNTIF(_xlpm.row,MID(O73,1,7))&gt;0,IF(COUNTIF(_xlpm.row,MID(O73,9,LEN(O73)))&gt;0,IF(COUNTIF(_xlpm.row,P73)&gt;0,1,0),0)))))</f>
        <v>0</v>
      </c>
      <c r="R73">
        <f t="shared" si="66"/>
        <v>0</v>
      </c>
      <c r="S73">
        <f t="shared" si="67"/>
        <v>0</v>
      </c>
      <c r="T73">
        <f t="shared" si="68"/>
        <v>0</v>
      </c>
      <c r="V73" s="11" t="str">
        <f>I15</f>
        <v>Level 3 ไม่ได้ส่วนลด</v>
      </c>
      <c r="W73" s="12" t="s">
        <v>118</v>
      </c>
      <c r="X73" t="str">
        <f t="shared" ref="X73" si="106">$W$2</f>
        <v>Converted</v>
      </c>
      <c r="Y73" cm="1">
        <f t="array" ref="Y73">SUM(_xlfn.BYROW($B$2:$E$129,_xlfn.LAMBDA(_xlpm.row,IF(COUNTIF(_xlpm.row,MID(V73,1,7))&gt;0,IF(COUNTIF(_xlpm.row,MID(V73,9,LEN(V73)))&gt;0,IF(COUNTIF(_xlpm.row,W73)&gt;0,IF(COUNTIF(_xlpm.row,X73)&gt;0,1,0),0))))))</f>
        <v>0</v>
      </c>
      <c r="Z73" s="6">
        <f t="shared" ref="Z73:Z104" si="107">Y73/MAX(A:A)</f>
        <v>0</v>
      </c>
      <c r="AA73" s="8">
        <f t="shared" si="18"/>
        <v>0</v>
      </c>
      <c r="AB73">
        <f t="shared" si="19"/>
        <v>0</v>
      </c>
    </row>
    <row r="74" spans="1:28" x14ac:dyDescent="0.15">
      <c r="A74">
        <v>73</v>
      </c>
      <c r="B74" t="s">
        <v>116</v>
      </c>
      <c r="C74" t="s">
        <v>106</v>
      </c>
      <c r="D74" t="s">
        <v>118</v>
      </c>
      <c r="E74" t="s">
        <v>108</v>
      </c>
      <c r="N74" t="str">
        <f t="shared" si="65"/>
        <v>Level 3 ส่วนลดน้อยtier 4</v>
      </c>
      <c r="O74" t="s">
        <v>131</v>
      </c>
      <c r="P74" t="s">
        <v>112</v>
      </c>
      <c r="Q74" cm="1">
        <f t="array" ref="Q74">SUM(_xlfn.BYROW(B40:E167,_xlfn.LAMBDA(_xlpm.row,IF(COUNTIF(_xlpm.row,MID(O74,1,7))&gt;0,IF(COUNTIF(_xlpm.row,MID(O74,9,LEN(O74)))&gt;0,IF(COUNTIF(_xlpm.row,P74)&gt;0,1,0),0)))))</f>
        <v>0</v>
      </c>
      <c r="R74">
        <f t="shared" si="66"/>
        <v>0</v>
      </c>
      <c r="S74">
        <f t="shared" si="67"/>
        <v>0</v>
      </c>
      <c r="T74">
        <f t="shared" si="68"/>
        <v>0</v>
      </c>
      <c r="V74" s="11" t="str">
        <f>I15</f>
        <v>Level 3 ไม่ได้ส่วนลด</v>
      </c>
      <c r="W74" s="12" t="s">
        <v>118</v>
      </c>
      <c r="X74" t="str">
        <f t="shared" ref="X74" si="108">$W$3</f>
        <v>Not Converted</v>
      </c>
      <c r="Y74" cm="1">
        <f t="array" ref="Y74">SUM(_xlfn.BYROW($B$2:$E$129,_xlfn.LAMBDA(_xlpm.row,IF(COUNTIF(_xlpm.row,MID(V74,1,7))&gt;0,IF(COUNTIF(_xlpm.row,MID(V74,9,LEN(V74)))&gt;0,IF(COUNTIF(_xlpm.row,W74)&gt;0,IF(COUNTIF(_xlpm.row,X74)&gt;0,1,0),0))))))</f>
        <v>6</v>
      </c>
      <c r="Z74" s="6">
        <f t="shared" si="107"/>
        <v>4.6875E-2</v>
      </c>
      <c r="AA74" s="8">
        <f t="shared" ref="AA74:AA128" si="109">IFERROR(Z74/VLOOKUP(V74&amp;W74,$N$36:$R$95,5,0),0)</f>
        <v>1.2</v>
      </c>
      <c r="AB74">
        <f t="shared" ref="AB74:AB128" si="110">IFERROR(Z74/ (VLOOKUP(V74&amp;W74,$N$36:$R$95,5,0)*VLOOKUP(X74,$W$2:$Y$3,3,0) ),0)</f>
        <v>1.6168421052631579</v>
      </c>
    </row>
    <row r="75" spans="1:28" x14ac:dyDescent="0.15">
      <c r="A75">
        <v>74</v>
      </c>
      <c r="B75" t="s">
        <v>113</v>
      </c>
      <c r="C75" t="s">
        <v>106</v>
      </c>
      <c r="D75" t="s">
        <v>110</v>
      </c>
      <c r="E75" t="s">
        <v>108</v>
      </c>
      <c r="N75" t="str">
        <f t="shared" si="65"/>
        <v>Level 3 ส่วนลดน้อยtier 5</v>
      </c>
      <c r="O75" t="s">
        <v>131</v>
      </c>
      <c r="P75" t="s">
        <v>107</v>
      </c>
      <c r="Q75" cm="1">
        <f t="array" ref="Q75">SUM(_xlfn.BYROW(B41:E168,_xlfn.LAMBDA(_xlpm.row,IF(COUNTIF(_xlpm.row,MID(O75,1,7))&gt;0,IF(COUNTIF(_xlpm.row,MID(O75,9,LEN(O75)))&gt;0,IF(COUNTIF(_xlpm.row,P75)&gt;0,1,0),0)))))</f>
        <v>0</v>
      </c>
      <c r="R75">
        <f t="shared" si="66"/>
        <v>0</v>
      </c>
      <c r="S75">
        <f t="shared" si="67"/>
        <v>0</v>
      </c>
      <c r="T75">
        <f t="shared" si="68"/>
        <v>0</v>
      </c>
      <c r="V75" s="11" t="str">
        <f>I15</f>
        <v>Level 3 ไม่ได้ส่วนลด</v>
      </c>
      <c r="W75" s="12" t="s">
        <v>112</v>
      </c>
      <c r="X75" t="str">
        <f t="shared" ref="X75" si="111">$W$2</f>
        <v>Converted</v>
      </c>
      <c r="Y75" cm="1">
        <f t="array" ref="Y75">SUM(_xlfn.BYROW($B$2:$E$129,_xlfn.LAMBDA(_xlpm.row,IF(COUNTIF(_xlpm.row,MID(V75,1,7))&gt;0,IF(COUNTIF(_xlpm.row,MID(V75,9,LEN(V75)))&gt;0,IF(COUNTIF(_xlpm.row,W75)&gt;0,IF(COUNTIF(_xlpm.row,X75)&gt;0,1,0),0))))))</f>
        <v>0</v>
      </c>
      <c r="Z75" s="6">
        <f t="shared" si="107"/>
        <v>0</v>
      </c>
      <c r="AA75" s="8">
        <f t="shared" si="109"/>
        <v>0</v>
      </c>
      <c r="AB75">
        <f t="shared" si="110"/>
        <v>0</v>
      </c>
    </row>
    <row r="76" spans="1:28" x14ac:dyDescent="0.15">
      <c r="A76">
        <v>75</v>
      </c>
      <c r="B76" t="s">
        <v>113</v>
      </c>
      <c r="C76" t="s">
        <v>106</v>
      </c>
      <c r="D76" t="s">
        <v>112</v>
      </c>
      <c r="E76" t="s">
        <v>108</v>
      </c>
      <c r="N76" t="str">
        <f t="shared" si="65"/>
        <v>Level 3 ได้ส่วนลดมากtier 1</v>
      </c>
      <c r="O76" t="s">
        <v>132</v>
      </c>
      <c r="P76" t="s">
        <v>110</v>
      </c>
      <c r="Q76" cm="1">
        <f t="array" ref="Q76">SUM(_xlfn.BYROW(B42:E169,_xlfn.LAMBDA(_xlpm.row,IF(COUNTIF(_xlpm.row,MID(O76,1,7))&gt;0,IF(COUNTIF(_xlpm.row,MID(O76,9,LEN(O76)))&gt;0,IF(COUNTIF(_xlpm.row,P76)&gt;0,1,0),0)))))</f>
        <v>1</v>
      </c>
      <c r="R76">
        <f t="shared" si="66"/>
        <v>7.8125E-3</v>
      </c>
      <c r="S76">
        <f t="shared" si="67"/>
        <v>1</v>
      </c>
      <c r="T76">
        <f t="shared" si="68"/>
        <v>2.9767441860465116</v>
      </c>
      <c r="V76" s="11" t="str">
        <f>I15</f>
        <v>Level 3 ไม่ได้ส่วนลด</v>
      </c>
      <c r="W76" s="12" t="s">
        <v>112</v>
      </c>
      <c r="X76" t="str">
        <f t="shared" ref="X76" si="112">$W$3</f>
        <v>Not Converted</v>
      </c>
      <c r="Y76" cm="1">
        <f t="array" ref="Y76">SUM(_xlfn.BYROW($B$2:$E$129,_xlfn.LAMBDA(_xlpm.row,IF(COUNTIF(_xlpm.row,MID(V76,1,7))&gt;0,IF(COUNTIF(_xlpm.row,MID(V76,9,LEN(V76)))&gt;0,IF(COUNTIF(_xlpm.row,W76)&gt;0,IF(COUNTIF(_xlpm.row,X76)&gt;0,1,0),0))))))</f>
        <v>7</v>
      </c>
      <c r="Z76" s="6">
        <f t="shared" si="107"/>
        <v>5.46875E-2</v>
      </c>
      <c r="AA76" s="8">
        <f t="shared" si="109"/>
        <v>1.4</v>
      </c>
      <c r="AB76">
        <f t="shared" si="110"/>
        <v>1.8863157894736842</v>
      </c>
    </row>
    <row r="77" spans="1:28" x14ac:dyDescent="0.15">
      <c r="A77">
        <v>76</v>
      </c>
      <c r="B77" t="s">
        <v>116</v>
      </c>
      <c r="C77" t="s">
        <v>106</v>
      </c>
      <c r="D77" t="s">
        <v>107</v>
      </c>
      <c r="E77" t="s">
        <v>108</v>
      </c>
      <c r="N77" t="str">
        <f t="shared" si="65"/>
        <v>Level 3 ได้ส่วนลดมากtier 2</v>
      </c>
      <c r="O77" t="s">
        <v>132</v>
      </c>
      <c r="P77" t="s">
        <v>115</v>
      </c>
      <c r="Q77" cm="1">
        <f t="array" ref="Q77">SUM(_xlfn.BYROW(B43:E170,_xlfn.LAMBDA(_xlpm.row,IF(COUNTIF(_xlpm.row,MID(O77,1,7))&gt;0,IF(COUNTIF(_xlpm.row,MID(O77,9,LEN(O77)))&gt;0,IF(COUNTIF(_xlpm.row,P77)&gt;0,1,0),0)))))</f>
        <v>0</v>
      </c>
      <c r="R77">
        <f t="shared" si="66"/>
        <v>0</v>
      </c>
      <c r="S77">
        <f t="shared" si="67"/>
        <v>0</v>
      </c>
      <c r="T77">
        <f t="shared" si="68"/>
        <v>0</v>
      </c>
      <c r="V77" s="11" t="str">
        <f>I15</f>
        <v>Level 3 ไม่ได้ส่วนลด</v>
      </c>
      <c r="W77" s="12" t="s">
        <v>107</v>
      </c>
      <c r="X77" t="str">
        <f t="shared" ref="X77" si="113">$W$2</f>
        <v>Converted</v>
      </c>
      <c r="Y77" cm="1">
        <f t="array" ref="Y77">SUM(_xlfn.BYROW($B$2:$E$129,_xlfn.LAMBDA(_xlpm.row,IF(COUNTIF(_xlpm.row,MID(V77,1,7))&gt;0,IF(COUNTIF(_xlpm.row,MID(V77,9,LEN(V77)))&gt;0,IF(COUNTIF(_xlpm.row,W77)&gt;0,IF(COUNTIF(_xlpm.row,X77)&gt;0,1,0),0))))))</f>
        <v>0</v>
      </c>
      <c r="Z77" s="6">
        <f t="shared" si="107"/>
        <v>0</v>
      </c>
      <c r="AA77" s="8">
        <f t="shared" si="109"/>
        <v>0</v>
      </c>
      <c r="AB77">
        <f t="shared" si="110"/>
        <v>0</v>
      </c>
    </row>
    <row r="78" spans="1:28" x14ac:dyDescent="0.15">
      <c r="A78">
        <v>77</v>
      </c>
      <c r="B78" t="s">
        <v>119</v>
      </c>
      <c r="C78" t="s">
        <v>117</v>
      </c>
      <c r="D78" t="s">
        <v>110</v>
      </c>
      <c r="E78" t="s">
        <v>108</v>
      </c>
      <c r="N78" t="str">
        <f t="shared" si="65"/>
        <v>Level 3 ได้ส่วนลดมากtier 3</v>
      </c>
      <c r="O78" t="s">
        <v>132</v>
      </c>
      <c r="P78" t="s">
        <v>118</v>
      </c>
      <c r="Q78" cm="1">
        <f t="array" ref="Q78">SUM(_xlfn.BYROW(B44:E171,_xlfn.LAMBDA(_xlpm.row,IF(COUNTIF(_xlpm.row,MID(O78,1,7))&gt;0,IF(COUNTIF(_xlpm.row,MID(O78,9,LEN(O78)))&gt;0,IF(COUNTIF(_xlpm.row,P78)&gt;0,1,0),0)))))</f>
        <v>0</v>
      </c>
      <c r="R78">
        <f t="shared" si="66"/>
        <v>0</v>
      </c>
      <c r="S78">
        <f t="shared" si="67"/>
        <v>0</v>
      </c>
      <c r="T78">
        <f t="shared" si="68"/>
        <v>0</v>
      </c>
      <c r="V78" s="11" t="str">
        <f>I15</f>
        <v>Level 3 ไม่ได้ส่วนลด</v>
      </c>
      <c r="W78" s="12" t="s">
        <v>107</v>
      </c>
      <c r="X78" t="str">
        <f t="shared" ref="X78" si="114">$W$3</f>
        <v>Not Converted</v>
      </c>
      <c r="Y78" cm="1">
        <f t="array" ref="Y78">SUM(_xlfn.BYROW($B$2:$E$129,_xlfn.LAMBDA(_xlpm.row,IF(COUNTIF(_xlpm.row,MID(V78,1,7))&gt;0,IF(COUNTIF(_xlpm.row,MID(V78,9,LEN(V78)))&gt;0,IF(COUNTIF(_xlpm.row,W78)&gt;0,IF(COUNTIF(_xlpm.row,X78)&gt;0,1,0),0))))))</f>
        <v>5</v>
      </c>
      <c r="Z78" s="6">
        <f t="shared" si="107"/>
        <v>3.90625E-2</v>
      </c>
      <c r="AA78" s="8">
        <f t="shared" si="109"/>
        <v>1.25</v>
      </c>
      <c r="AB78">
        <f t="shared" si="110"/>
        <v>1.6842105263157894</v>
      </c>
    </row>
    <row r="79" spans="1:28" x14ac:dyDescent="0.15">
      <c r="A79">
        <v>78</v>
      </c>
      <c r="B79" t="s">
        <v>105</v>
      </c>
      <c r="C79" t="s">
        <v>106</v>
      </c>
      <c r="D79" t="s">
        <v>112</v>
      </c>
      <c r="E79" t="s">
        <v>108</v>
      </c>
      <c r="N79" t="str">
        <f t="shared" si="65"/>
        <v>Level 3 ได้ส่วนลดมากtier 4</v>
      </c>
      <c r="O79" t="s">
        <v>132</v>
      </c>
      <c r="P79" t="s">
        <v>112</v>
      </c>
      <c r="Q79" cm="1">
        <f t="array" ref="Q79">SUM(_xlfn.BYROW(B45:E172,_xlfn.LAMBDA(_xlpm.row,IF(COUNTIF(_xlpm.row,MID(O79,1,7))&gt;0,IF(COUNTIF(_xlpm.row,MID(O79,9,LEN(O79)))&gt;0,IF(COUNTIF(_xlpm.row,P79)&gt;0,1,0),0)))))</f>
        <v>0</v>
      </c>
      <c r="R79">
        <f t="shared" si="66"/>
        <v>0</v>
      </c>
      <c r="S79">
        <f t="shared" si="67"/>
        <v>0</v>
      </c>
      <c r="T79">
        <f t="shared" si="68"/>
        <v>0</v>
      </c>
      <c r="V79" s="11" t="str">
        <f>I16</f>
        <v>Level 3 ส่วนลดน้อย</v>
      </c>
      <c r="W79" s="12" t="s">
        <v>110</v>
      </c>
      <c r="X79" t="str">
        <f t="shared" ref="X79" si="115">$W$2</f>
        <v>Converted</v>
      </c>
      <c r="Y79" cm="1">
        <f t="array" ref="Y79">SUM(_xlfn.BYROW($B$2:$E$129,_xlfn.LAMBDA(_xlpm.row,IF(COUNTIF(_xlpm.row,MID(V79,1,7))&gt;0,IF(COUNTIF(_xlpm.row,MID(V79,9,LEN(V79)))&gt;0,IF(COUNTIF(_xlpm.row,W79)&gt;0,IF(COUNTIF(_xlpm.row,X79)&gt;0,1,0),0))))))</f>
        <v>0</v>
      </c>
      <c r="Z79" s="6">
        <f t="shared" si="107"/>
        <v>0</v>
      </c>
      <c r="AA79" s="8">
        <f t="shared" si="109"/>
        <v>0</v>
      </c>
      <c r="AB79">
        <f t="shared" si="110"/>
        <v>0</v>
      </c>
    </row>
    <row r="80" spans="1:28" x14ac:dyDescent="0.15">
      <c r="A80">
        <v>79</v>
      </c>
      <c r="B80" t="s">
        <v>109</v>
      </c>
      <c r="C80" t="s">
        <v>117</v>
      </c>
      <c r="D80" t="s">
        <v>110</v>
      </c>
      <c r="E80" t="s">
        <v>108</v>
      </c>
      <c r="N80" t="str">
        <f t="shared" si="65"/>
        <v>Level 3 ได้ส่วนลดมากtier 5</v>
      </c>
      <c r="O80" t="s">
        <v>132</v>
      </c>
      <c r="P80" t="s">
        <v>107</v>
      </c>
      <c r="Q80" cm="1">
        <f t="array" ref="Q80">SUM(_xlfn.BYROW(B46:E173,_xlfn.LAMBDA(_xlpm.row,IF(COUNTIF(_xlpm.row,MID(O80,1,7))&gt;0,IF(COUNTIF(_xlpm.row,MID(O80,9,LEN(O80)))&gt;0,IF(COUNTIF(_xlpm.row,P80)&gt;0,1,0),0)))))</f>
        <v>0</v>
      </c>
      <c r="R80">
        <f t="shared" si="66"/>
        <v>0</v>
      </c>
      <c r="S80">
        <f t="shared" si="67"/>
        <v>0</v>
      </c>
      <c r="T80">
        <f t="shared" si="68"/>
        <v>0</v>
      </c>
      <c r="V80" s="11" t="str">
        <f>I16</f>
        <v>Level 3 ส่วนลดน้อย</v>
      </c>
      <c r="W80" s="12" t="s">
        <v>110</v>
      </c>
      <c r="X80" t="str">
        <f t="shared" ref="X80" si="116">$W$3</f>
        <v>Not Converted</v>
      </c>
      <c r="Y80" cm="1">
        <f t="array" ref="Y80">SUM(_xlfn.BYROW($B$2:$E$129,_xlfn.LAMBDA(_xlpm.row,IF(COUNTIF(_xlpm.row,MID(V80,1,7))&gt;0,IF(COUNTIF(_xlpm.row,MID(V80,9,LEN(V80)))&gt;0,IF(COUNTIF(_xlpm.row,W80)&gt;0,IF(COUNTIF(_xlpm.row,X80)&gt;0,1,0),0))))))</f>
        <v>0</v>
      </c>
      <c r="Z80" s="6">
        <f t="shared" si="107"/>
        <v>0</v>
      </c>
      <c r="AA80" s="8">
        <f t="shared" si="109"/>
        <v>0</v>
      </c>
      <c r="AB80">
        <f t="shared" si="110"/>
        <v>0</v>
      </c>
    </row>
    <row r="81" spans="1:28" x14ac:dyDescent="0.15">
      <c r="A81">
        <v>80</v>
      </c>
      <c r="B81" t="s">
        <v>119</v>
      </c>
      <c r="C81" t="s">
        <v>106</v>
      </c>
      <c r="D81" t="s">
        <v>118</v>
      </c>
      <c r="E81" t="s">
        <v>108</v>
      </c>
      <c r="N81" t="str">
        <f t="shared" si="65"/>
        <v>Level 4 ไม่ได้ส่วนลดtier 1</v>
      </c>
      <c r="O81" t="s">
        <v>133</v>
      </c>
      <c r="P81" t="s">
        <v>110</v>
      </c>
      <c r="Q81" cm="1">
        <f t="array" ref="Q81">SUM(_xlfn.BYROW(B47:E174,_xlfn.LAMBDA(_xlpm.row,IF(COUNTIF(_xlpm.row,MID(O81,1,7))&gt;0,IF(COUNTIF(_xlpm.row,MID(O81,9,LEN(O81)))&gt;0,IF(COUNTIF(_xlpm.row,P81)&gt;0,1,0),0)))))</f>
        <v>3</v>
      </c>
      <c r="R81">
        <f t="shared" si="66"/>
        <v>2.34375E-2</v>
      </c>
      <c r="S81">
        <f t="shared" si="67"/>
        <v>0.125</v>
      </c>
      <c r="T81">
        <f t="shared" si="68"/>
        <v>0.37209302325581395</v>
      </c>
      <c r="V81" s="11" t="str">
        <f>I16</f>
        <v>Level 3 ส่วนลดน้อย</v>
      </c>
      <c r="W81" s="12" t="s">
        <v>115</v>
      </c>
      <c r="X81" t="str">
        <f t="shared" ref="X81" si="117">$W$2</f>
        <v>Converted</v>
      </c>
      <c r="Y81" cm="1">
        <f t="array" ref="Y81">SUM(_xlfn.BYROW($B$2:$E$129,_xlfn.LAMBDA(_xlpm.row,IF(COUNTIF(_xlpm.row,MID(V81,1,7))&gt;0,IF(COUNTIF(_xlpm.row,MID(V81,9,LEN(V81)))&gt;0,IF(COUNTIF(_xlpm.row,W81)&gt;0,IF(COUNTIF(_xlpm.row,X81)&gt;0,1,0),0))))))</f>
        <v>0</v>
      </c>
      <c r="Z81" s="6">
        <f t="shared" si="107"/>
        <v>0</v>
      </c>
      <c r="AA81" s="8">
        <f t="shared" si="109"/>
        <v>0</v>
      </c>
      <c r="AB81">
        <f t="shared" si="110"/>
        <v>0</v>
      </c>
    </row>
    <row r="82" spans="1:28" x14ac:dyDescent="0.15">
      <c r="A82">
        <v>81</v>
      </c>
      <c r="B82" t="s">
        <v>116</v>
      </c>
      <c r="C82" t="s">
        <v>106</v>
      </c>
      <c r="D82" t="s">
        <v>115</v>
      </c>
      <c r="E82" t="s">
        <v>108</v>
      </c>
      <c r="N82" t="str">
        <f t="shared" si="65"/>
        <v>Level 4 ไม่ได้ส่วนลดtier 2</v>
      </c>
      <c r="O82" t="s">
        <v>133</v>
      </c>
      <c r="P82" t="s">
        <v>115</v>
      </c>
      <c r="Q82" cm="1">
        <f t="array" ref="Q82">SUM(_xlfn.BYROW(B48:E175,_xlfn.LAMBDA(_xlpm.row,IF(COUNTIF(_xlpm.row,MID(O82,1,7))&gt;0,IF(COUNTIF(_xlpm.row,MID(O82,9,LEN(O82)))&gt;0,IF(COUNTIF(_xlpm.row,P82)&gt;0,1,0),0)))))</f>
        <v>1</v>
      </c>
      <c r="R82">
        <f t="shared" si="66"/>
        <v>7.8125E-3</v>
      </c>
      <c r="S82">
        <f t="shared" si="67"/>
        <v>4.1666666666666664E-2</v>
      </c>
      <c r="T82">
        <f t="shared" si="68"/>
        <v>0.66666666666666663</v>
      </c>
      <c r="V82" s="11" t="str">
        <f>I16</f>
        <v>Level 3 ส่วนลดน้อย</v>
      </c>
      <c r="W82" s="12" t="s">
        <v>115</v>
      </c>
      <c r="X82" t="str">
        <f t="shared" ref="X82" si="118">$W$3</f>
        <v>Not Converted</v>
      </c>
      <c r="Y82" cm="1">
        <f t="array" ref="Y82">SUM(_xlfn.BYROW($B$2:$E$129,_xlfn.LAMBDA(_xlpm.row,IF(COUNTIF(_xlpm.row,MID(V82,1,7))&gt;0,IF(COUNTIF(_xlpm.row,MID(V82,9,LEN(V82)))&gt;0,IF(COUNTIF(_xlpm.row,W82)&gt;0,IF(COUNTIF(_xlpm.row,X82)&gt;0,1,0),0))))))</f>
        <v>0</v>
      </c>
      <c r="Z82" s="6">
        <f t="shared" si="107"/>
        <v>0</v>
      </c>
      <c r="AA82" s="8">
        <f t="shared" si="109"/>
        <v>0</v>
      </c>
      <c r="AB82">
        <f t="shared" si="110"/>
        <v>0</v>
      </c>
    </row>
    <row r="83" spans="1:28" x14ac:dyDescent="0.15">
      <c r="A83">
        <v>82</v>
      </c>
      <c r="B83" t="s">
        <v>109</v>
      </c>
      <c r="C83" t="s">
        <v>117</v>
      </c>
      <c r="D83" t="s">
        <v>110</v>
      </c>
      <c r="E83" t="s">
        <v>111</v>
      </c>
      <c r="N83" t="str">
        <f t="shared" si="65"/>
        <v>Level 4 ไม่ได้ส่วนลดtier 3</v>
      </c>
      <c r="O83" t="s">
        <v>133</v>
      </c>
      <c r="P83" t="s">
        <v>118</v>
      </c>
      <c r="Q83" cm="1">
        <f t="array" ref="Q83">SUM(_xlfn.BYROW(B49:E176,_xlfn.LAMBDA(_xlpm.row,IF(COUNTIF(_xlpm.row,MID(O83,1,7))&gt;0,IF(COUNTIF(_xlpm.row,MID(O83,9,LEN(O83)))&gt;0,IF(COUNTIF(_xlpm.row,P83)&gt;0,1,0),0)))))</f>
        <v>3</v>
      </c>
      <c r="R83">
        <f t="shared" si="66"/>
        <v>2.34375E-2</v>
      </c>
      <c r="S83">
        <f t="shared" si="67"/>
        <v>0.125</v>
      </c>
      <c r="T83">
        <f t="shared" si="68"/>
        <v>0.61538461538461542</v>
      </c>
      <c r="V83" s="11" t="str">
        <f>I16</f>
        <v>Level 3 ส่วนลดน้อย</v>
      </c>
      <c r="W83" s="12" t="s">
        <v>118</v>
      </c>
      <c r="X83" t="str">
        <f t="shared" ref="X83" si="119">$W$2</f>
        <v>Converted</v>
      </c>
      <c r="Y83" cm="1">
        <f t="array" ref="Y83">SUM(_xlfn.BYROW($B$2:$E$129,_xlfn.LAMBDA(_xlpm.row,IF(COUNTIF(_xlpm.row,MID(V83,1,7))&gt;0,IF(COUNTIF(_xlpm.row,MID(V83,9,LEN(V83)))&gt;0,IF(COUNTIF(_xlpm.row,W83)&gt;0,IF(COUNTIF(_xlpm.row,X83)&gt;0,1,0),0))))))</f>
        <v>0</v>
      </c>
      <c r="Z83" s="6">
        <f t="shared" si="107"/>
        <v>0</v>
      </c>
      <c r="AA83" s="8">
        <f t="shared" si="109"/>
        <v>0</v>
      </c>
      <c r="AB83">
        <f t="shared" si="110"/>
        <v>0</v>
      </c>
    </row>
    <row r="84" spans="1:28" x14ac:dyDescent="0.15">
      <c r="A84">
        <v>83</v>
      </c>
      <c r="B84" t="s">
        <v>109</v>
      </c>
      <c r="C84" t="s">
        <v>117</v>
      </c>
      <c r="D84" t="s">
        <v>110</v>
      </c>
      <c r="E84" t="s">
        <v>111</v>
      </c>
      <c r="N84" t="str">
        <f t="shared" si="65"/>
        <v>Level 4 ไม่ได้ส่วนลดtier 4</v>
      </c>
      <c r="O84" t="s">
        <v>133</v>
      </c>
      <c r="P84" t="s">
        <v>112</v>
      </c>
      <c r="Q84" cm="1">
        <f t="array" ref="Q84">SUM(_xlfn.BYROW(B50:E177,_xlfn.LAMBDA(_xlpm.row,IF(COUNTIF(_xlpm.row,MID(O84,1,7))&gt;0,IF(COUNTIF(_xlpm.row,MID(O84,9,LEN(O84)))&gt;0,IF(COUNTIF(_xlpm.row,P84)&gt;0,1,0),0)))))</f>
        <v>2</v>
      </c>
      <c r="R84">
        <f t="shared" si="66"/>
        <v>1.5625E-2</v>
      </c>
      <c r="S84">
        <f t="shared" si="67"/>
        <v>8.3333333333333329E-2</v>
      </c>
      <c r="T84">
        <f t="shared" si="68"/>
        <v>0.41025641025641024</v>
      </c>
      <c r="V84" s="11" t="str">
        <f>I16</f>
        <v>Level 3 ส่วนลดน้อย</v>
      </c>
      <c r="W84" s="12" t="s">
        <v>118</v>
      </c>
      <c r="X84" t="str">
        <f t="shared" ref="X84" si="120">$W$3</f>
        <v>Not Converted</v>
      </c>
      <c r="Y84" cm="1">
        <f t="array" ref="Y84">SUM(_xlfn.BYROW($B$2:$E$129,_xlfn.LAMBDA(_xlpm.row,IF(COUNTIF(_xlpm.row,MID(V84,1,7))&gt;0,IF(COUNTIF(_xlpm.row,MID(V84,9,LEN(V84)))&gt;0,IF(COUNTIF(_xlpm.row,W84)&gt;0,IF(COUNTIF(_xlpm.row,X84)&gt;0,1,0),0))))))</f>
        <v>0</v>
      </c>
      <c r="Z84" s="6">
        <f t="shared" si="107"/>
        <v>0</v>
      </c>
      <c r="AA84" s="8">
        <f t="shared" si="109"/>
        <v>0</v>
      </c>
      <c r="AB84">
        <f t="shared" si="110"/>
        <v>0</v>
      </c>
    </row>
    <row r="85" spans="1:28" x14ac:dyDescent="0.15">
      <c r="A85">
        <v>84</v>
      </c>
      <c r="B85" t="s">
        <v>109</v>
      </c>
      <c r="C85" t="s">
        <v>117</v>
      </c>
      <c r="D85" t="s">
        <v>110</v>
      </c>
      <c r="E85" t="s">
        <v>111</v>
      </c>
      <c r="N85" t="str">
        <f t="shared" si="65"/>
        <v>Level 4 ไม่ได้ส่วนลดtier 5</v>
      </c>
      <c r="O85" t="s">
        <v>133</v>
      </c>
      <c r="P85" t="s">
        <v>107</v>
      </c>
      <c r="Q85" cm="1">
        <f t="array" ref="Q85">SUM(_xlfn.BYROW(B51:E178,_xlfn.LAMBDA(_xlpm.row,IF(COUNTIF(_xlpm.row,MID(O85,1,7))&gt;0,IF(COUNTIF(_xlpm.row,MID(O85,9,LEN(O85)))&gt;0,IF(COUNTIF(_xlpm.row,P85)&gt;0,1,0),0)))))</f>
        <v>8</v>
      </c>
      <c r="R85">
        <f t="shared" si="66"/>
        <v>6.25E-2</v>
      </c>
      <c r="S85">
        <f t="shared" si="67"/>
        <v>0.33333333333333331</v>
      </c>
      <c r="T85">
        <f t="shared" si="68"/>
        <v>1.7066666666666668</v>
      </c>
      <c r="V85" s="11" t="str">
        <f>I16</f>
        <v>Level 3 ส่วนลดน้อย</v>
      </c>
      <c r="W85" s="12" t="s">
        <v>112</v>
      </c>
      <c r="X85" t="str">
        <f t="shared" ref="X85" si="121">$W$2</f>
        <v>Converted</v>
      </c>
      <c r="Y85" cm="1">
        <f t="array" ref="Y85">SUM(_xlfn.BYROW($B$2:$E$129,_xlfn.LAMBDA(_xlpm.row,IF(COUNTIF(_xlpm.row,MID(V85,1,7))&gt;0,IF(COUNTIF(_xlpm.row,MID(V85,9,LEN(V85)))&gt;0,IF(COUNTIF(_xlpm.row,W85)&gt;0,IF(COUNTIF(_xlpm.row,X85)&gt;0,1,0),0))))))</f>
        <v>0</v>
      </c>
      <c r="Z85" s="6">
        <f t="shared" si="107"/>
        <v>0</v>
      </c>
      <c r="AA85" s="8">
        <f t="shared" si="109"/>
        <v>0</v>
      </c>
      <c r="AB85">
        <f t="shared" si="110"/>
        <v>0</v>
      </c>
    </row>
    <row r="86" spans="1:28" x14ac:dyDescent="0.15">
      <c r="A86">
        <v>85</v>
      </c>
      <c r="B86" t="s">
        <v>109</v>
      </c>
      <c r="C86" t="s">
        <v>117</v>
      </c>
      <c r="D86" t="s">
        <v>110</v>
      </c>
      <c r="E86" t="s">
        <v>111</v>
      </c>
      <c r="N86" t="str">
        <f t="shared" si="65"/>
        <v>Level 4 ส่วนลดน้อยtier 1</v>
      </c>
      <c r="O86" t="s">
        <v>134</v>
      </c>
      <c r="P86" t="s">
        <v>110</v>
      </c>
      <c r="Q86" cm="1">
        <f t="array" ref="Q86">SUM(_xlfn.BYROW(B52:E179,_xlfn.LAMBDA(_xlpm.row,IF(COUNTIF(_xlpm.row,MID(O86,1,7))&gt;0,IF(COUNTIF(_xlpm.row,MID(O86,9,LEN(O86)))&gt;0,IF(COUNTIF(_xlpm.row,P86)&gt;0,1,0),0)))))</f>
        <v>1</v>
      </c>
      <c r="R86">
        <f t="shared" si="66"/>
        <v>7.8125E-3</v>
      </c>
      <c r="S86">
        <f t="shared" si="67"/>
        <v>0.33333333333333331</v>
      </c>
      <c r="T86">
        <f t="shared" si="68"/>
        <v>0.99224806201550386</v>
      </c>
      <c r="V86" s="11" t="str">
        <f>I16</f>
        <v>Level 3 ส่วนลดน้อย</v>
      </c>
      <c r="W86" s="12" t="s">
        <v>112</v>
      </c>
      <c r="X86" t="str">
        <f t="shared" ref="X86" si="122">$W$3</f>
        <v>Not Converted</v>
      </c>
      <c r="Y86" cm="1">
        <f t="array" ref="Y86">SUM(_xlfn.BYROW($B$2:$E$129,_xlfn.LAMBDA(_xlpm.row,IF(COUNTIF(_xlpm.row,MID(V86,1,7))&gt;0,IF(COUNTIF(_xlpm.row,MID(V86,9,LEN(V86)))&gt;0,IF(COUNTIF(_xlpm.row,W86)&gt;0,IF(COUNTIF(_xlpm.row,X86)&gt;0,1,0),0))))))</f>
        <v>0</v>
      </c>
      <c r="Z86" s="6">
        <f t="shared" si="107"/>
        <v>0</v>
      </c>
      <c r="AA86" s="8">
        <f t="shared" si="109"/>
        <v>0</v>
      </c>
      <c r="AB86">
        <f t="shared" si="110"/>
        <v>0</v>
      </c>
    </row>
    <row r="87" spans="1:28" x14ac:dyDescent="0.15">
      <c r="A87">
        <v>86</v>
      </c>
      <c r="B87" t="s">
        <v>109</v>
      </c>
      <c r="C87" t="s">
        <v>117</v>
      </c>
      <c r="D87" t="s">
        <v>110</v>
      </c>
      <c r="E87" t="s">
        <v>111</v>
      </c>
      <c r="N87" t="str">
        <f t="shared" si="65"/>
        <v>Level 4 ส่วนลดน้อยtier 2</v>
      </c>
      <c r="O87" t="s">
        <v>134</v>
      </c>
      <c r="P87" t="s">
        <v>115</v>
      </c>
      <c r="Q87" cm="1">
        <f t="array" ref="Q87">SUM(_xlfn.BYROW(B53:E180,_xlfn.LAMBDA(_xlpm.row,IF(COUNTIF(_xlpm.row,MID(O87,1,7))&gt;0,IF(COUNTIF(_xlpm.row,MID(O87,9,LEN(O87)))&gt;0,IF(COUNTIF(_xlpm.row,P87)&gt;0,1,0),0)))))</f>
        <v>0</v>
      </c>
      <c r="R87">
        <f t="shared" si="66"/>
        <v>0</v>
      </c>
      <c r="S87">
        <f t="shared" si="67"/>
        <v>0</v>
      </c>
      <c r="T87">
        <f t="shared" si="68"/>
        <v>0</v>
      </c>
      <c r="V87" s="11" t="str">
        <f>I16</f>
        <v>Level 3 ส่วนลดน้อย</v>
      </c>
      <c r="W87" s="12" t="s">
        <v>107</v>
      </c>
      <c r="X87" t="str">
        <f t="shared" ref="X87" si="123">$W$2</f>
        <v>Converted</v>
      </c>
      <c r="Y87" cm="1">
        <f t="array" ref="Y87">SUM(_xlfn.BYROW($B$2:$E$129,_xlfn.LAMBDA(_xlpm.row,IF(COUNTIF(_xlpm.row,MID(V87,1,7))&gt;0,IF(COUNTIF(_xlpm.row,MID(V87,9,LEN(V87)))&gt;0,IF(COUNTIF(_xlpm.row,W87)&gt;0,IF(COUNTIF(_xlpm.row,X87)&gt;0,1,0),0))))))</f>
        <v>0</v>
      </c>
      <c r="Z87" s="6">
        <f t="shared" si="107"/>
        <v>0</v>
      </c>
      <c r="AA87" s="8">
        <f t="shared" si="109"/>
        <v>0</v>
      </c>
      <c r="AB87">
        <f t="shared" si="110"/>
        <v>0</v>
      </c>
    </row>
    <row r="88" spans="1:28" x14ac:dyDescent="0.15">
      <c r="A88">
        <v>87</v>
      </c>
      <c r="B88" t="s">
        <v>109</v>
      </c>
      <c r="C88" t="s">
        <v>117</v>
      </c>
      <c r="D88" t="s">
        <v>110</v>
      </c>
      <c r="E88" t="s">
        <v>111</v>
      </c>
      <c r="N88" t="str">
        <f t="shared" si="65"/>
        <v>Level 4 ส่วนลดน้อยtier 3</v>
      </c>
      <c r="O88" t="s">
        <v>134</v>
      </c>
      <c r="P88" t="s">
        <v>118</v>
      </c>
      <c r="Q88" cm="1">
        <f t="array" ref="Q88">SUM(_xlfn.BYROW(B54:E181,_xlfn.LAMBDA(_xlpm.row,IF(COUNTIF(_xlpm.row,MID(O88,1,7))&gt;0,IF(COUNTIF(_xlpm.row,MID(O88,9,LEN(O88)))&gt;0,IF(COUNTIF(_xlpm.row,P88)&gt;0,1,0),0)))))</f>
        <v>0</v>
      </c>
      <c r="R88">
        <f t="shared" si="66"/>
        <v>0</v>
      </c>
      <c r="S88">
        <f t="shared" si="67"/>
        <v>0</v>
      </c>
      <c r="T88">
        <f t="shared" si="68"/>
        <v>0</v>
      </c>
      <c r="V88" s="11" t="str">
        <f>I16</f>
        <v>Level 3 ส่วนลดน้อย</v>
      </c>
      <c r="W88" s="12" t="s">
        <v>107</v>
      </c>
      <c r="X88" t="str">
        <f t="shared" ref="X88" si="124">$W$3</f>
        <v>Not Converted</v>
      </c>
      <c r="Y88" cm="1">
        <f t="array" ref="Y88">SUM(_xlfn.BYROW($B$2:$E$129,_xlfn.LAMBDA(_xlpm.row,IF(COUNTIF(_xlpm.row,MID(V88,1,7))&gt;0,IF(COUNTIF(_xlpm.row,MID(V88,9,LEN(V88)))&gt;0,IF(COUNTIF(_xlpm.row,W88)&gt;0,IF(COUNTIF(_xlpm.row,X88)&gt;0,1,0),0))))))</f>
        <v>0</v>
      </c>
      <c r="Z88" s="6">
        <f t="shared" si="107"/>
        <v>0</v>
      </c>
      <c r="AA88" s="8">
        <f t="shared" si="109"/>
        <v>0</v>
      </c>
      <c r="AB88">
        <f t="shared" si="110"/>
        <v>0</v>
      </c>
    </row>
    <row r="89" spans="1:28" x14ac:dyDescent="0.15">
      <c r="A89">
        <v>88</v>
      </c>
      <c r="B89" t="s">
        <v>113</v>
      </c>
      <c r="C89" t="s">
        <v>106</v>
      </c>
      <c r="D89" t="s">
        <v>118</v>
      </c>
      <c r="E89" t="s">
        <v>111</v>
      </c>
      <c r="N89" t="str">
        <f t="shared" si="65"/>
        <v>Level 4 ส่วนลดน้อยtier 4</v>
      </c>
      <c r="O89" t="s">
        <v>134</v>
      </c>
      <c r="P89" t="s">
        <v>112</v>
      </c>
      <c r="Q89" cm="1">
        <f t="array" ref="Q89">SUM(_xlfn.BYROW(B55:E182,_xlfn.LAMBDA(_xlpm.row,IF(COUNTIF(_xlpm.row,MID(O89,1,7))&gt;0,IF(COUNTIF(_xlpm.row,MID(O89,9,LEN(O89)))&gt;0,IF(COUNTIF(_xlpm.row,P89)&gt;0,1,0),0)))))</f>
        <v>0</v>
      </c>
      <c r="R89">
        <f t="shared" si="66"/>
        <v>0</v>
      </c>
      <c r="S89">
        <f t="shared" si="67"/>
        <v>0</v>
      </c>
      <c r="T89">
        <f t="shared" si="68"/>
        <v>0</v>
      </c>
      <c r="V89" s="11" t="str">
        <f>I17</f>
        <v>Level 3 ได้ส่วนลดมาก</v>
      </c>
      <c r="W89" s="12" t="s">
        <v>110</v>
      </c>
      <c r="X89" t="str">
        <f t="shared" ref="X89" si="125">$W$2</f>
        <v>Converted</v>
      </c>
      <c r="Y89" cm="1">
        <f t="array" ref="Y89">SUM(_xlfn.BYROW($B$2:$E$129,_xlfn.LAMBDA(_xlpm.row,IF(COUNTIF(_xlpm.row,MID(V89,1,7))&gt;0,IF(COUNTIF(_xlpm.row,MID(V89,9,LEN(V89)))&gt;0,IF(COUNTIF(_xlpm.row,W89)&gt;0,IF(COUNTIF(_xlpm.row,X89)&gt;0,1,0),0))))))</f>
        <v>0</v>
      </c>
      <c r="Z89" s="6">
        <f t="shared" si="107"/>
        <v>0</v>
      </c>
      <c r="AA89" s="8">
        <f t="shared" si="109"/>
        <v>0</v>
      </c>
      <c r="AB89">
        <f t="shared" si="110"/>
        <v>0</v>
      </c>
    </row>
    <row r="90" spans="1:28" x14ac:dyDescent="0.15">
      <c r="A90">
        <v>89</v>
      </c>
      <c r="B90" t="s">
        <v>109</v>
      </c>
      <c r="C90" t="s">
        <v>106</v>
      </c>
      <c r="D90" t="s">
        <v>110</v>
      </c>
      <c r="E90" t="s">
        <v>108</v>
      </c>
      <c r="N90" t="str">
        <f t="shared" si="65"/>
        <v>Level 4 ส่วนลดน้อยtier 5</v>
      </c>
      <c r="O90" t="s">
        <v>134</v>
      </c>
      <c r="P90" t="s">
        <v>107</v>
      </c>
      <c r="Q90" cm="1">
        <f t="array" ref="Q90">SUM(_xlfn.BYROW(B56:E183,_xlfn.LAMBDA(_xlpm.row,IF(COUNTIF(_xlpm.row,MID(O90,1,7))&gt;0,IF(COUNTIF(_xlpm.row,MID(O90,9,LEN(O90)))&gt;0,IF(COUNTIF(_xlpm.row,P90)&gt;0,1,0),0)))))</f>
        <v>0</v>
      </c>
      <c r="R90">
        <f t="shared" si="66"/>
        <v>0</v>
      </c>
      <c r="S90">
        <f t="shared" si="67"/>
        <v>0</v>
      </c>
      <c r="T90">
        <f t="shared" si="68"/>
        <v>0</v>
      </c>
      <c r="V90" s="11" t="str">
        <f>I17</f>
        <v>Level 3 ได้ส่วนลดมาก</v>
      </c>
      <c r="W90" s="12" t="s">
        <v>110</v>
      </c>
      <c r="X90" t="str">
        <f t="shared" ref="X90" si="126">$W$3</f>
        <v>Not Converted</v>
      </c>
      <c r="Y90" cm="1">
        <f t="array" ref="Y90">SUM(_xlfn.BYROW($B$2:$E$129,_xlfn.LAMBDA(_xlpm.row,IF(COUNTIF(_xlpm.row,MID(V90,1,7))&gt;0,IF(COUNTIF(_xlpm.row,MID(V90,9,LEN(V90)))&gt;0,IF(COUNTIF(_xlpm.row,W90)&gt;0,IF(COUNTIF(_xlpm.row,X90)&gt;0,1,0),0))))))</f>
        <v>1</v>
      </c>
      <c r="Z90" s="6">
        <f t="shared" si="107"/>
        <v>7.8125E-3</v>
      </c>
      <c r="AA90" s="8">
        <f t="shared" si="109"/>
        <v>1</v>
      </c>
      <c r="AB90">
        <f t="shared" si="110"/>
        <v>1.3473684210526315</v>
      </c>
    </row>
    <row r="91" spans="1:28" x14ac:dyDescent="0.15">
      <c r="A91">
        <v>90</v>
      </c>
      <c r="B91" t="s">
        <v>113</v>
      </c>
      <c r="C91" t="s">
        <v>114</v>
      </c>
      <c r="D91" t="s">
        <v>110</v>
      </c>
      <c r="E91" t="s">
        <v>108</v>
      </c>
      <c r="N91" t="str">
        <f t="shared" si="65"/>
        <v>Level 4 ได้ส่วนลดมากtier 1</v>
      </c>
      <c r="O91" t="s">
        <v>135</v>
      </c>
      <c r="P91" t="s">
        <v>110</v>
      </c>
      <c r="Q91" cm="1">
        <f t="array" ref="Q91">SUM(_xlfn.BYROW(B57:E184,_xlfn.LAMBDA(_xlpm.row,IF(COUNTIF(_xlpm.row,MID(O91,1,7))&gt;0,IF(COUNTIF(_xlpm.row,MID(O91,9,LEN(O91)))&gt;0,IF(COUNTIF(_xlpm.row,P91)&gt;0,1,0),0)))))</f>
        <v>1</v>
      </c>
      <c r="R91">
        <f t="shared" si="66"/>
        <v>7.8125E-3</v>
      </c>
      <c r="S91">
        <f t="shared" si="67"/>
        <v>0.5</v>
      </c>
      <c r="T91">
        <f t="shared" si="68"/>
        <v>1.4883720930232558</v>
      </c>
      <c r="V91" s="11" t="str">
        <f>I17</f>
        <v>Level 3 ได้ส่วนลดมาก</v>
      </c>
      <c r="W91" s="12" t="s">
        <v>115</v>
      </c>
      <c r="X91" t="str">
        <f t="shared" ref="X91" si="127">$W$2</f>
        <v>Converted</v>
      </c>
      <c r="Y91" cm="1">
        <f t="array" ref="Y91">SUM(_xlfn.BYROW($B$2:$E$129,_xlfn.LAMBDA(_xlpm.row,IF(COUNTIF(_xlpm.row,MID(V91,1,7))&gt;0,IF(COUNTIF(_xlpm.row,MID(V91,9,LEN(V91)))&gt;0,IF(COUNTIF(_xlpm.row,W91)&gt;0,IF(COUNTIF(_xlpm.row,X91)&gt;0,1,0),0))))))</f>
        <v>0</v>
      </c>
      <c r="Z91" s="6">
        <f t="shared" si="107"/>
        <v>0</v>
      </c>
      <c r="AA91" s="8">
        <f t="shared" si="109"/>
        <v>0</v>
      </c>
      <c r="AB91">
        <f t="shared" si="110"/>
        <v>0</v>
      </c>
    </row>
    <row r="92" spans="1:28" x14ac:dyDescent="0.15">
      <c r="A92">
        <v>91</v>
      </c>
      <c r="B92" t="s">
        <v>116</v>
      </c>
      <c r="C92" t="s">
        <v>106</v>
      </c>
      <c r="D92" t="s">
        <v>107</v>
      </c>
      <c r="E92" t="s">
        <v>108</v>
      </c>
      <c r="N92" t="str">
        <f t="shared" si="65"/>
        <v>Level 4 ได้ส่วนลดมากtier 2</v>
      </c>
      <c r="O92" t="s">
        <v>135</v>
      </c>
      <c r="P92" t="s">
        <v>115</v>
      </c>
      <c r="Q92" cm="1">
        <f t="array" ref="Q92">SUM(_xlfn.BYROW(B58:E185,_xlfn.LAMBDA(_xlpm.row,IF(COUNTIF(_xlpm.row,MID(O92,1,7))&gt;0,IF(COUNTIF(_xlpm.row,MID(O92,9,LEN(O92)))&gt;0,IF(COUNTIF(_xlpm.row,P92)&gt;0,1,0),0)))))</f>
        <v>0</v>
      </c>
      <c r="R92">
        <f t="shared" si="66"/>
        <v>0</v>
      </c>
      <c r="S92">
        <f t="shared" si="67"/>
        <v>0</v>
      </c>
      <c r="T92">
        <f t="shared" si="68"/>
        <v>0</v>
      </c>
      <c r="V92" s="11" t="str">
        <f>I17</f>
        <v>Level 3 ได้ส่วนลดมาก</v>
      </c>
      <c r="W92" s="12" t="s">
        <v>115</v>
      </c>
      <c r="X92" t="str">
        <f t="shared" ref="X92" si="128">$W$3</f>
        <v>Not Converted</v>
      </c>
      <c r="Y92" cm="1">
        <f t="array" ref="Y92">SUM(_xlfn.BYROW($B$2:$E$129,_xlfn.LAMBDA(_xlpm.row,IF(COUNTIF(_xlpm.row,MID(V92,1,7))&gt;0,IF(COUNTIF(_xlpm.row,MID(V92,9,LEN(V92)))&gt;0,IF(COUNTIF(_xlpm.row,W92)&gt;0,IF(COUNTIF(_xlpm.row,X92)&gt;0,1,0),0))))))</f>
        <v>0</v>
      </c>
      <c r="Z92" s="6">
        <f t="shared" si="107"/>
        <v>0</v>
      </c>
      <c r="AA92" s="8">
        <f t="shared" si="109"/>
        <v>0</v>
      </c>
      <c r="AB92">
        <f t="shared" si="110"/>
        <v>0</v>
      </c>
    </row>
    <row r="93" spans="1:28" x14ac:dyDescent="0.15">
      <c r="A93">
        <v>92</v>
      </c>
      <c r="B93" t="s">
        <v>113</v>
      </c>
      <c r="C93" t="s">
        <v>106</v>
      </c>
      <c r="D93" t="s">
        <v>112</v>
      </c>
      <c r="E93" t="s">
        <v>108</v>
      </c>
      <c r="N93" t="str">
        <f t="shared" si="65"/>
        <v>Level 4 ได้ส่วนลดมากtier 3</v>
      </c>
      <c r="O93" t="s">
        <v>135</v>
      </c>
      <c r="P93" t="s">
        <v>118</v>
      </c>
      <c r="Q93" cm="1">
        <f t="array" ref="Q93">SUM(_xlfn.BYROW(B59:E186,_xlfn.LAMBDA(_xlpm.row,IF(COUNTIF(_xlpm.row,MID(O93,1,7))&gt;0,IF(COUNTIF(_xlpm.row,MID(O93,9,LEN(O93)))&gt;0,IF(COUNTIF(_xlpm.row,P93)&gt;0,1,0),0)))))</f>
        <v>0</v>
      </c>
      <c r="R93">
        <f t="shared" si="66"/>
        <v>0</v>
      </c>
      <c r="S93">
        <f t="shared" si="67"/>
        <v>0</v>
      </c>
      <c r="T93">
        <f t="shared" si="68"/>
        <v>0</v>
      </c>
      <c r="V93" s="11" t="str">
        <f>I17</f>
        <v>Level 3 ได้ส่วนลดมาก</v>
      </c>
      <c r="W93" s="12" t="s">
        <v>118</v>
      </c>
      <c r="X93" t="str">
        <f t="shared" ref="X93" si="129">$W$2</f>
        <v>Converted</v>
      </c>
      <c r="Y93" cm="1">
        <f t="array" ref="Y93">SUM(_xlfn.BYROW($B$2:$E$129,_xlfn.LAMBDA(_xlpm.row,IF(COUNTIF(_xlpm.row,MID(V93,1,7))&gt;0,IF(COUNTIF(_xlpm.row,MID(V93,9,LEN(V93)))&gt;0,IF(COUNTIF(_xlpm.row,W93)&gt;0,IF(COUNTIF(_xlpm.row,X93)&gt;0,1,0),0))))))</f>
        <v>0</v>
      </c>
      <c r="Z93" s="6">
        <f t="shared" si="107"/>
        <v>0</v>
      </c>
      <c r="AA93" s="8">
        <f t="shared" si="109"/>
        <v>0</v>
      </c>
      <c r="AB93">
        <f t="shared" si="110"/>
        <v>0</v>
      </c>
    </row>
    <row r="94" spans="1:28" x14ac:dyDescent="0.15">
      <c r="A94">
        <v>93</v>
      </c>
      <c r="B94" t="s">
        <v>105</v>
      </c>
      <c r="C94" t="s">
        <v>106</v>
      </c>
      <c r="D94" t="s">
        <v>118</v>
      </c>
      <c r="E94" t="s">
        <v>108</v>
      </c>
      <c r="N94" t="str">
        <f t="shared" si="65"/>
        <v>Level 4 ได้ส่วนลดมากtier 4</v>
      </c>
      <c r="O94" t="s">
        <v>135</v>
      </c>
      <c r="P94" t="s">
        <v>112</v>
      </c>
      <c r="Q94" cm="1">
        <f t="array" ref="Q94">SUM(_xlfn.BYROW(B60:E187,_xlfn.LAMBDA(_xlpm.row,IF(COUNTIF(_xlpm.row,MID(O94,1,7))&gt;0,IF(COUNTIF(_xlpm.row,MID(O94,9,LEN(O94)))&gt;0,IF(COUNTIF(_xlpm.row,P94)&gt;0,1,0),0)))))</f>
        <v>0</v>
      </c>
      <c r="R94">
        <f t="shared" si="66"/>
        <v>0</v>
      </c>
      <c r="S94">
        <f t="shared" si="67"/>
        <v>0</v>
      </c>
      <c r="T94">
        <f t="shared" si="68"/>
        <v>0</v>
      </c>
      <c r="V94" s="11" t="str">
        <f>I17</f>
        <v>Level 3 ได้ส่วนลดมาก</v>
      </c>
      <c r="W94" s="12" t="s">
        <v>118</v>
      </c>
      <c r="X94" t="str">
        <f t="shared" ref="X94" si="130">$W$3</f>
        <v>Not Converted</v>
      </c>
      <c r="Y94" cm="1">
        <f t="array" ref="Y94">SUM(_xlfn.BYROW($B$2:$E$129,_xlfn.LAMBDA(_xlpm.row,IF(COUNTIF(_xlpm.row,MID(V94,1,7))&gt;0,IF(COUNTIF(_xlpm.row,MID(V94,9,LEN(V94)))&gt;0,IF(COUNTIF(_xlpm.row,W94)&gt;0,IF(COUNTIF(_xlpm.row,X94)&gt;0,1,0),0))))))</f>
        <v>0</v>
      </c>
      <c r="Z94" s="6">
        <f t="shared" si="107"/>
        <v>0</v>
      </c>
      <c r="AA94" s="8">
        <f t="shared" si="109"/>
        <v>0</v>
      </c>
      <c r="AB94">
        <f t="shared" si="110"/>
        <v>0</v>
      </c>
    </row>
    <row r="95" spans="1:28" x14ac:dyDescent="0.15">
      <c r="A95">
        <v>94</v>
      </c>
      <c r="B95" t="s">
        <v>116</v>
      </c>
      <c r="C95" t="s">
        <v>106</v>
      </c>
      <c r="D95" t="s">
        <v>112</v>
      </c>
      <c r="E95" t="s">
        <v>108</v>
      </c>
      <c r="N95" t="str">
        <f t="shared" si="65"/>
        <v>Level 4 ได้ส่วนลดมากtier 5</v>
      </c>
      <c r="O95" t="s">
        <v>135</v>
      </c>
      <c r="P95" t="s">
        <v>107</v>
      </c>
      <c r="Q95" cm="1">
        <f t="array" ref="Q95">SUM(_xlfn.BYROW(B61:E188,_xlfn.LAMBDA(_xlpm.row,IF(COUNTIF(_xlpm.row,MID(O95,1,7))&gt;0,IF(COUNTIF(_xlpm.row,MID(O95,9,LEN(O95)))&gt;0,IF(COUNTIF(_xlpm.row,P95)&gt;0,1,0),0)))))</f>
        <v>0</v>
      </c>
      <c r="R95">
        <f t="shared" si="66"/>
        <v>0</v>
      </c>
      <c r="S95">
        <f t="shared" si="67"/>
        <v>0</v>
      </c>
      <c r="T95">
        <f t="shared" si="68"/>
        <v>0</v>
      </c>
      <c r="V95" s="11" t="str">
        <f>I17</f>
        <v>Level 3 ได้ส่วนลดมาก</v>
      </c>
      <c r="W95" s="12" t="s">
        <v>112</v>
      </c>
      <c r="X95" t="str">
        <f t="shared" ref="X95" si="131">$W$2</f>
        <v>Converted</v>
      </c>
      <c r="Y95" cm="1">
        <f t="array" ref="Y95">SUM(_xlfn.BYROW($B$2:$E$129,_xlfn.LAMBDA(_xlpm.row,IF(COUNTIF(_xlpm.row,MID(V95,1,7))&gt;0,IF(COUNTIF(_xlpm.row,MID(V95,9,LEN(V95)))&gt;0,IF(COUNTIF(_xlpm.row,W95)&gt;0,IF(COUNTIF(_xlpm.row,X95)&gt;0,1,0),0))))))</f>
        <v>0</v>
      </c>
      <c r="Z95" s="6">
        <f t="shared" si="107"/>
        <v>0</v>
      </c>
      <c r="AA95" s="8">
        <f t="shared" si="109"/>
        <v>0</v>
      </c>
      <c r="AB95">
        <f t="shared" si="110"/>
        <v>0</v>
      </c>
    </row>
    <row r="96" spans="1:28" x14ac:dyDescent="0.15">
      <c r="A96">
        <v>95</v>
      </c>
      <c r="B96" t="s">
        <v>116</v>
      </c>
      <c r="C96" t="s">
        <v>106</v>
      </c>
      <c r="D96" t="s">
        <v>110</v>
      </c>
      <c r="E96" t="s">
        <v>111</v>
      </c>
      <c r="V96" s="11" t="str">
        <f>I17</f>
        <v>Level 3 ได้ส่วนลดมาก</v>
      </c>
      <c r="W96" s="12" t="s">
        <v>112</v>
      </c>
      <c r="X96" t="str">
        <f t="shared" ref="X96" si="132">$W$3</f>
        <v>Not Converted</v>
      </c>
      <c r="Y96" cm="1">
        <f t="array" ref="Y96">SUM(_xlfn.BYROW($B$2:$E$129,_xlfn.LAMBDA(_xlpm.row,IF(COUNTIF(_xlpm.row,MID(V96,1,7))&gt;0,IF(COUNTIF(_xlpm.row,MID(V96,9,LEN(V96)))&gt;0,IF(COUNTIF(_xlpm.row,W96)&gt;0,IF(COUNTIF(_xlpm.row,X96)&gt;0,1,0),0))))))</f>
        <v>0</v>
      </c>
      <c r="Z96" s="6">
        <f t="shared" si="107"/>
        <v>0</v>
      </c>
      <c r="AA96" s="8">
        <f t="shared" si="109"/>
        <v>0</v>
      </c>
      <c r="AB96">
        <f t="shared" si="110"/>
        <v>0</v>
      </c>
    </row>
    <row r="97" spans="1:28" x14ac:dyDescent="0.15">
      <c r="A97">
        <v>96</v>
      </c>
      <c r="B97" t="s">
        <v>105</v>
      </c>
      <c r="C97" t="s">
        <v>106</v>
      </c>
      <c r="D97" t="s">
        <v>110</v>
      </c>
      <c r="E97" t="s">
        <v>108</v>
      </c>
      <c r="V97" s="11" t="str">
        <f>I17</f>
        <v>Level 3 ได้ส่วนลดมาก</v>
      </c>
      <c r="W97" s="12" t="s">
        <v>107</v>
      </c>
      <c r="X97" t="str">
        <f t="shared" ref="X97" si="133">$W$2</f>
        <v>Converted</v>
      </c>
      <c r="Y97" cm="1">
        <f t="array" ref="Y97">SUM(_xlfn.BYROW($B$2:$E$129,_xlfn.LAMBDA(_xlpm.row,IF(COUNTIF(_xlpm.row,MID(V97,1,7))&gt;0,IF(COUNTIF(_xlpm.row,MID(V97,9,LEN(V97)))&gt;0,IF(COUNTIF(_xlpm.row,W97)&gt;0,IF(COUNTIF(_xlpm.row,X97)&gt;0,1,0),0))))))</f>
        <v>0</v>
      </c>
      <c r="Z97" s="6">
        <f t="shared" si="107"/>
        <v>0</v>
      </c>
      <c r="AA97" s="8">
        <f t="shared" si="109"/>
        <v>0</v>
      </c>
      <c r="AB97">
        <f t="shared" si="110"/>
        <v>0</v>
      </c>
    </row>
    <row r="98" spans="1:28" x14ac:dyDescent="0.15">
      <c r="A98">
        <v>97</v>
      </c>
      <c r="B98" t="s">
        <v>113</v>
      </c>
      <c r="C98" t="s">
        <v>106</v>
      </c>
      <c r="D98" t="s">
        <v>118</v>
      </c>
      <c r="E98" t="s">
        <v>108</v>
      </c>
      <c r="V98" s="11" t="str">
        <f>I17</f>
        <v>Level 3 ได้ส่วนลดมาก</v>
      </c>
      <c r="W98" s="12" t="s">
        <v>107</v>
      </c>
      <c r="X98" t="str">
        <f t="shared" ref="X98" si="134">$W$3</f>
        <v>Not Converted</v>
      </c>
      <c r="Y98" cm="1">
        <f t="array" ref="Y98">SUM(_xlfn.BYROW($B$2:$E$129,_xlfn.LAMBDA(_xlpm.row,IF(COUNTIF(_xlpm.row,MID(V98,1,7))&gt;0,IF(COUNTIF(_xlpm.row,MID(V98,9,LEN(V98)))&gt;0,IF(COUNTIF(_xlpm.row,W98)&gt;0,IF(COUNTIF(_xlpm.row,X98)&gt;0,1,0),0))))))</f>
        <v>0</v>
      </c>
      <c r="Z98" s="6">
        <f t="shared" si="107"/>
        <v>0</v>
      </c>
      <c r="AA98" s="8">
        <f t="shared" si="109"/>
        <v>0</v>
      </c>
      <c r="AB98">
        <f t="shared" si="110"/>
        <v>0</v>
      </c>
    </row>
    <row r="99" spans="1:28" x14ac:dyDescent="0.15">
      <c r="A99">
        <v>98</v>
      </c>
      <c r="B99" t="s">
        <v>116</v>
      </c>
      <c r="C99" t="s">
        <v>106</v>
      </c>
      <c r="D99" t="s">
        <v>112</v>
      </c>
      <c r="E99" t="s">
        <v>108</v>
      </c>
      <c r="V99" s="11" t="str">
        <f>I18</f>
        <v>Level 4 ไม่ได้ส่วนลด</v>
      </c>
      <c r="W99" s="12" t="s">
        <v>110</v>
      </c>
      <c r="X99" t="str">
        <f t="shared" ref="X99" si="135">$W$2</f>
        <v>Converted</v>
      </c>
      <c r="Y99" cm="1">
        <f t="array" ref="Y99">SUM(_xlfn.BYROW($B$2:$E$129,_xlfn.LAMBDA(_xlpm.row,IF(COUNTIF(_xlpm.row,MID(V99,1,7))&gt;0,IF(COUNTIF(_xlpm.row,MID(V99,9,LEN(V99)))&gt;0,IF(COUNTIF(_xlpm.row,W99)&gt;0,IF(COUNTIF(_xlpm.row,X99)&gt;0,1,0),0))))))</f>
        <v>0</v>
      </c>
      <c r="Z99" s="6">
        <f t="shared" si="107"/>
        <v>0</v>
      </c>
      <c r="AA99" s="8">
        <f t="shared" si="109"/>
        <v>0</v>
      </c>
      <c r="AB99">
        <f t="shared" si="110"/>
        <v>0</v>
      </c>
    </row>
    <row r="100" spans="1:28" x14ac:dyDescent="0.15">
      <c r="A100">
        <v>99</v>
      </c>
      <c r="B100" t="s">
        <v>119</v>
      </c>
      <c r="C100" t="s">
        <v>106</v>
      </c>
      <c r="D100" t="s">
        <v>118</v>
      </c>
      <c r="E100" t="s">
        <v>108</v>
      </c>
      <c r="V100" s="11" t="str">
        <f>I18</f>
        <v>Level 4 ไม่ได้ส่วนลด</v>
      </c>
      <c r="W100" s="12" t="s">
        <v>110</v>
      </c>
      <c r="X100" t="str">
        <f t="shared" ref="X100" si="136">$W$3</f>
        <v>Not Converted</v>
      </c>
      <c r="Y100" cm="1">
        <f t="array" ref="Y100">SUM(_xlfn.BYROW($B$2:$E$129,_xlfn.LAMBDA(_xlpm.row,IF(COUNTIF(_xlpm.row,MID(V100,1,7))&gt;0,IF(COUNTIF(_xlpm.row,MID(V100,9,LEN(V100)))&gt;0,IF(COUNTIF(_xlpm.row,W100)&gt;0,IF(COUNTIF(_xlpm.row,X100)&gt;0,1,0),0))))))</f>
        <v>3</v>
      </c>
      <c r="Z100" s="6">
        <f t="shared" si="107"/>
        <v>2.34375E-2</v>
      </c>
      <c r="AA100" s="8">
        <f t="shared" si="109"/>
        <v>1</v>
      </c>
      <c r="AB100">
        <f t="shared" si="110"/>
        <v>1.3473684210526315</v>
      </c>
    </row>
    <row r="101" spans="1:28" x14ac:dyDescent="0.15">
      <c r="A101">
        <v>100</v>
      </c>
      <c r="B101" t="s">
        <v>116</v>
      </c>
      <c r="C101" t="s">
        <v>106</v>
      </c>
      <c r="D101" t="s">
        <v>112</v>
      </c>
      <c r="E101" t="s">
        <v>108</v>
      </c>
      <c r="V101" s="11" t="str">
        <f>I18</f>
        <v>Level 4 ไม่ได้ส่วนลด</v>
      </c>
      <c r="W101" s="12" t="s">
        <v>115</v>
      </c>
      <c r="X101" t="str">
        <f t="shared" ref="X101" si="137">$W$2</f>
        <v>Converted</v>
      </c>
      <c r="Y101" cm="1">
        <f t="array" ref="Y101">SUM(_xlfn.BYROW($B$2:$E$129,_xlfn.LAMBDA(_xlpm.row,IF(COUNTIF(_xlpm.row,MID(V101,1,7))&gt;0,IF(COUNTIF(_xlpm.row,MID(V101,9,LEN(V101)))&gt;0,IF(COUNTIF(_xlpm.row,W101)&gt;0,IF(COUNTIF(_xlpm.row,X101)&gt;0,1,0),0))))))</f>
        <v>0</v>
      </c>
      <c r="Z101" s="6">
        <f t="shared" si="107"/>
        <v>0</v>
      </c>
      <c r="AA101" s="8">
        <f t="shared" si="109"/>
        <v>0</v>
      </c>
      <c r="AB101">
        <f t="shared" si="110"/>
        <v>0</v>
      </c>
    </row>
    <row r="102" spans="1:28" x14ac:dyDescent="0.15">
      <c r="A102">
        <v>101</v>
      </c>
      <c r="B102" t="s">
        <v>119</v>
      </c>
      <c r="C102" t="s">
        <v>106</v>
      </c>
      <c r="D102" t="s">
        <v>112</v>
      </c>
      <c r="E102" t="s">
        <v>108</v>
      </c>
      <c r="V102" s="11" t="str">
        <f>I18</f>
        <v>Level 4 ไม่ได้ส่วนลด</v>
      </c>
      <c r="W102" s="12" t="s">
        <v>115</v>
      </c>
      <c r="X102" t="str">
        <f t="shared" ref="X102" si="138">$W$3</f>
        <v>Not Converted</v>
      </c>
      <c r="Y102" cm="1">
        <f t="array" ref="Y102">SUM(_xlfn.BYROW($B$2:$E$129,_xlfn.LAMBDA(_xlpm.row,IF(COUNTIF(_xlpm.row,MID(V102,1,7))&gt;0,IF(COUNTIF(_xlpm.row,MID(V102,9,LEN(V102)))&gt;0,IF(COUNTIF(_xlpm.row,W102)&gt;0,IF(COUNTIF(_xlpm.row,X102)&gt;0,1,0),0))))))</f>
        <v>1</v>
      </c>
      <c r="Z102" s="6">
        <f t="shared" si="107"/>
        <v>7.8125E-3</v>
      </c>
      <c r="AA102" s="8">
        <f t="shared" si="109"/>
        <v>1</v>
      </c>
      <c r="AB102">
        <f t="shared" si="110"/>
        <v>1.3473684210526315</v>
      </c>
    </row>
    <row r="103" spans="1:28" x14ac:dyDescent="0.15">
      <c r="A103">
        <v>102</v>
      </c>
      <c r="B103" t="s">
        <v>119</v>
      </c>
      <c r="C103" t="s">
        <v>106</v>
      </c>
      <c r="D103" t="s">
        <v>112</v>
      </c>
      <c r="E103" t="s">
        <v>108</v>
      </c>
      <c r="V103" s="11" t="str">
        <f>I18</f>
        <v>Level 4 ไม่ได้ส่วนลด</v>
      </c>
      <c r="W103" s="12" t="s">
        <v>118</v>
      </c>
      <c r="X103" t="str">
        <f t="shared" ref="X103" si="139">$W$2</f>
        <v>Converted</v>
      </c>
      <c r="Y103" cm="1">
        <f t="array" ref="Y103">SUM(_xlfn.BYROW($B$2:$E$129,_xlfn.LAMBDA(_xlpm.row,IF(COUNTIF(_xlpm.row,MID(V103,1,7))&gt;0,IF(COUNTIF(_xlpm.row,MID(V103,9,LEN(V103)))&gt;0,IF(COUNTIF(_xlpm.row,W103)&gt;0,IF(COUNTIF(_xlpm.row,X103)&gt;0,1,0),0))))))</f>
        <v>1</v>
      </c>
      <c r="Z103" s="6">
        <f t="shared" si="107"/>
        <v>7.8125E-3</v>
      </c>
      <c r="AA103" s="8">
        <f t="shared" si="109"/>
        <v>0.33333333333333331</v>
      </c>
      <c r="AB103">
        <f t="shared" si="110"/>
        <v>1.292929292929293</v>
      </c>
    </row>
    <row r="104" spans="1:28" x14ac:dyDescent="0.15">
      <c r="A104">
        <v>103</v>
      </c>
      <c r="B104" t="s">
        <v>119</v>
      </c>
      <c r="C104" t="s">
        <v>106</v>
      </c>
      <c r="D104" t="s">
        <v>110</v>
      </c>
      <c r="E104" t="s">
        <v>108</v>
      </c>
      <c r="V104" s="11" t="str">
        <f>I18</f>
        <v>Level 4 ไม่ได้ส่วนลด</v>
      </c>
      <c r="W104" s="12" t="s">
        <v>118</v>
      </c>
      <c r="X104" t="str">
        <f t="shared" ref="X104" si="140">$W$3</f>
        <v>Not Converted</v>
      </c>
      <c r="Y104" cm="1">
        <f t="array" ref="Y104">SUM(_xlfn.BYROW($B$2:$E$129,_xlfn.LAMBDA(_xlpm.row,IF(COUNTIF(_xlpm.row,MID(V104,1,7))&gt;0,IF(COUNTIF(_xlpm.row,MID(V104,9,LEN(V104)))&gt;0,IF(COUNTIF(_xlpm.row,W104)&gt;0,IF(COUNTIF(_xlpm.row,X104)&gt;0,1,0),0))))))</f>
        <v>7</v>
      </c>
      <c r="Z104" s="6">
        <f t="shared" si="107"/>
        <v>5.46875E-2</v>
      </c>
      <c r="AA104" s="8">
        <f t="shared" si="109"/>
        <v>2.3333333333333335</v>
      </c>
      <c r="AB104">
        <f t="shared" si="110"/>
        <v>3.143859649122807</v>
      </c>
    </row>
    <row r="105" spans="1:28" x14ac:dyDescent="0.15">
      <c r="A105">
        <v>104</v>
      </c>
      <c r="B105" t="s">
        <v>105</v>
      </c>
      <c r="C105" t="s">
        <v>106</v>
      </c>
      <c r="D105" t="s">
        <v>112</v>
      </c>
      <c r="E105" t="s">
        <v>108</v>
      </c>
      <c r="V105" s="11" t="str">
        <f>I18</f>
        <v>Level 4 ไม่ได้ส่วนลด</v>
      </c>
      <c r="W105" s="12" t="s">
        <v>112</v>
      </c>
      <c r="X105" t="str">
        <f t="shared" ref="X105" si="141">$W$2</f>
        <v>Converted</v>
      </c>
      <c r="Y105" cm="1">
        <f t="array" ref="Y105">SUM(_xlfn.BYROW($B$2:$E$129,_xlfn.LAMBDA(_xlpm.row,IF(COUNTIF(_xlpm.row,MID(V105,1,7))&gt;0,IF(COUNTIF(_xlpm.row,MID(V105,9,LEN(V105)))&gt;0,IF(COUNTIF(_xlpm.row,W105)&gt;0,IF(COUNTIF(_xlpm.row,X105)&gt;0,1,0),0))))))</f>
        <v>0</v>
      </c>
      <c r="Z105" s="6">
        <f t="shared" ref="Z105:Z128" si="142">Y105/MAX(A:A)</f>
        <v>0</v>
      </c>
      <c r="AA105" s="8">
        <f t="shared" si="109"/>
        <v>0</v>
      </c>
      <c r="AB105">
        <f t="shared" si="110"/>
        <v>0</v>
      </c>
    </row>
    <row r="106" spans="1:28" x14ac:dyDescent="0.15">
      <c r="A106">
        <v>105</v>
      </c>
      <c r="B106" t="s">
        <v>119</v>
      </c>
      <c r="C106" t="s">
        <v>106</v>
      </c>
      <c r="D106" t="s">
        <v>107</v>
      </c>
      <c r="E106" t="s">
        <v>108</v>
      </c>
      <c r="V106" s="11" t="str">
        <f>I18</f>
        <v>Level 4 ไม่ได้ส่วนลด</v>
      </c>
      <c r="W106" s="12" t="s">
        <v>112</v>
      </c>
      <c r="X106" t="str">
        <f t="shared" ref="X106" si="143">$W$3</f>
        <v>Not Converted</v>
      </c>
      <c r="Y106" cm="1">
        <f t="array" ref="Y106">SUM(_xlfn.BYROW($B$2:$E$129,_xlfn.LAMBDA(_xlpm.row,IF(COUNTIF(_xlpm.row,MID(V106,1,7))&gt;0,IF(COUNTIF(_xlpm.row,MID(V106,9,LEN(V106)))&gt;0,IF(COUNTIF(_xlpm.row,W106)&gt;0,IF(COUNTIF(_xlpm.row,X106)&gt;0,1,0),0))))))</f>
        <v>2</v>
      </c>
      <c r="Z106" s="6">
        <f t="shared" si="142"/>
        <v>1.5625E-2</v>
      </c>
      <c r="AA106" s="8">
        <f t="shared" si="109"/>
        <v>1</v>
      </c>
      <c r="AB106">
        <f t="shared" si="110"/>
        <v>1.3473684210526315</v>
      </c>
    </row>
    <row r="107" spans="1:28" x14ac:dyDescent="0.15">
      <c r="A107">
        <v>106</v>
      </c>
      <c r="B107" t="s">
        <v>109</v>
      </c>
      <c r="C107" t="s">
        <v>117</v>
      </c>
      <c r="D107" t="s">
        <v>110</v>
      </c>
      <c r="E107" t="s">
        <v>108</v>
      </c>
      <c r="V107" s="11" t="str">
        <f>I18</f>
        <v>Level 4 ไม่ได้ส่วนลด</v>
      </c>
      <c r="W107" s="12" t="s">
        <v>107</v>
      </c>
      <c r="X107" t="str">
        <f t="shared" ref="X107" si="144">$W$2</f>
        <v>Converted</v>
      </c>
      <c r="Y107" cm="1">
        <f t="array" ref="Y107">SUM(_xlfn.BYROW($B$2:$E$129,_xlfn.LAMBDA(_xlpm.row,IF(COUNTIF(_xlpm.row,MID(V107,1,7))&gt;0,IF(COUNTIF(_xlpm.row,MID(V107,9,LEN(V107)))&gt;0,IF(COUNTIF(_xlpm.row,W107)&gt;0,IF(COUNTIF(_xlpm.row,X107)&gt;0,1,0),0))))))</f>
        <v>1</v>
      </c>
      <c r="Z107" s="6">
        <f t="shared" si="142"/>
        <v>7.8125E-3</v>
      </c>
      <c r="AA107" s="8">
        <f t="shared" si="109"/>
        <v>0.125</v>
      </c>
      <c r="AB107">
        <f t="shared" si="110"/>
        <v>0.48484848484848486</v>
      </c>
    </row>
    <row r="108" spans="1:28" x14ac:dyDescent="0.15">
      <c r="A108">
        <v>107</v>
      </c>
      <c r="B108" t="s">
        <v>119</v>
      </c>
      <c r="C108" t="s">
        <v>106</v>
      </c>
      <c r="D108" t="s">
        <v>115</v>
      </c>
      <c r="E108" t="s">
        <v>108</v>
      </c>
      <c r="V108" s="11" t="str">
        <f>I18</f>
        <v>Level 4 ไม่ได้ส่วนลด</v>
      </c>
      <c r="W108" s="12" t="s">
        <v>107</v>
      </c>
      <c r="X108" t="str">
        <f t="shared" ref="X108" si="145">$W$3</f>
        <v>Not Converted</v>
      </c>
      <c r="Y108" cm="1">
        <f t="array" ref="Y108">SUM(_xlfn.BYROW($B$2:$E$129,_xlfn.LAMBDA(_xlpm.row,IF(COUNTIF(_xlpm.row,MID(V108,1,7))&gt;0,IF(COUNTIF(_xlpm.row,MID(V108,9,LEN(V108)))&gt;0,IF(COUNTIF(_xlpm.row,W108)&gt;0,IF(COUNTIF(_xlpm.row,X108)&gt;0,1,0),0))))))</f>
        <v>9</v>
      </c>
      <c r="Z108" s="6">
        <f t="shared" si="142"/>
        <v>7.03125E-2</v>
      </c>
      <c r="AA108" s="8">
        <f t="shared" si="109"/>
        <v>1.125</v>
      </c>
      <c r="AB108">
        <f t="shared" si="110"/>
        <v>1.5157894736842106</v>
      </c>
    </row>
    <row r="109" spans="1:28" x14ac:dyDescent="0.15">
      <c r="A109">
        <v>108</v>
      </c>
      <c r="B109" t="s">
        <v>116</v>
      </c>
      <c r="C109" t="s">
        <v>117</v>
      </c>
      <c r="D109" t="s">
        <v>110</v>
      </c>
      <c r="E109" t="s">
        <v>108</v>
      </c>
      <c r="V109" s="11" t="str">
        <f>I19</f>
        <v>Level 4 ส่วนลดน้อย</v>
      </c>
      <c r="W109" s="12" t="s">
        <v>110</v>
      </c>
      <c r="X109" t="str">
        <f t="shared" ref="X109" si="146">$W$2</f>
        <v>Converted</v>
      </c>
      <c r="Y109" cm="1">
        <f t="array" ref="Y109">SUM(_xlfn.BYROW($B$2:$E$129,_xlfn.LAMBDA(_xlpm.row,IF(COUNTIF(_xlpm.row,MID(V109,1,7))&gt;0,IF(COUNTIF(_xlpm.row,MID(V109,9,LEN(V109)))&gt;0,IF(COUNTIF(_xlpm.row,W109)&gt;0,IF(COUNTIF(_xlpm.row,X109)&gt;0,1,0),0))))))</f>
        <v>0</v>
      </c>
      <c r="Z109" s="6">
        <f t="shared" si="142"/>
        <v>0</v>
      </c>
      <c r="AA109" s="8">
        <f t="shared" si="109"/>
        <v>0</v>
      </c>
      <c r="AB109">
        <f t="shared" si="110"/>
        <v>0</v>
      </c>
    </row>
    <row r="110" spans="1:28" x14ac:dyDescent="0.15">
      <c r="A110">
        <v>109</v>
      </c>
      <c r="B110" t="s">
        <v>119</v>
      </c>
      <c r="C110" t="s">
        <v>106</v>
      </c>
      <c r="D110" t="s">
        <v>107</v>
      </c>
      <c r="E110" t="s">
        <v>108</v>
      </c>
      <c r="V110" s="11" t="str">
        <f>I19</f>
        <v>Level 4 ส่วนลดน้อย</v>
      </c>
      <c r="W110" s="12" t="s">
        <v>110</v>
      </c>
      <c r="X110" t="str">
        <f t="shared" ref="X110" si="147">$W$3</f>
        <v>Not Converted</v>
      </c>
      <c r="Y110" cm="1">
        <f t="array" ref="Y110">SUM(_xlfn.BYROW($B$2:$E$129,_xlfn.LAMBDA(_xlpm.row,IF(COUNTIF(_xlpm.row,MID(V110,1,7))&gt;0,IF(COUNTIF(_xlpm.row,MID(V110,9,LEN(V110)))&gt;0,IF(COUNTIF(_xlpm.row,W110)&gt;0,IF(COUNTIF(_xlpm.row,X110)&gt;0,1,0),0))))))</f>
        <v>2</v>
      </c>
      <c r="Z110" s="6">
        <f t="shared" si="142"/>
        <v>1.5625E-2</v>
      </c>
      <c r="AA110" s="8">
        <f t="shared" si="109"/>
        <v>2</v>
      </c>
      <c r="AB110">
        <f t="shared" si="110"/>
        <v>2.6947368421052631</v>
      </c>
    </row>
    <row r="111" spans="1:28" x14ac:dyDescent="0.15">
      <c r="A111">
        <v>110</v>
      </c>
      <c r="B111" t="s">
        <v>116</v>
      </c>
      <c r="C111" t="s">
        <v>106</v>
      </c>
      <c r="D111" t="s">
        <v>118</v>
      </c>
      <c r="E111" t="s">
        <v>108</v>
      </c>
      <c r="V111" s="11" t="str">
        <f>I19</f>
        <v>Level 4 ส่วนลดน้อย</v>
      </c>
      <c r="W111" s="12" t="s">
        <v>115</v>
      </c>
      <c r="X111" t="str">
        <f t="shared" ref="X111" si="148">$W$2</f>
        <v>Converted</v>
      </c>
      <c r="Y111" cm="1">
        <f t="array" ref="Y111">SUM(_xlfn.BYROW($B$2:$E$129,_xlfn.LAMBDA(_xlpm.row,IF(COUNTIF(_xlpm.row,MID(V111,1,7))&gt;0,IF(COUNTIF(_xlpm.row,MID(V111,9,LEN(V111)))&gt;0,IF(COUNTIF(_xlpm.row,W111)&gt;0,IF(COUNTIF(_xlpm.row,X111)&gt;0,1,0),0))))))</f>
        <v>0</v>
      </c>
      <c r="Z111" s="6">
        <f t="shared" si="142"/>
        <v>0</v>
      </c>
      <c r="AA111" s="8">
        <f t="shared" si="109"/>
        <v>0</v>
      </c>
      <c r="AB111">
        <f t="shared" si="110"/>
        <v>0</v>
      </c>
    </row>
    <row r="112" spans="1:28" x14ac:dyDescent="0.15">
      <c r="A112">
        <v>111</v>
      </c>
      <c r="B112" t="s">
        <v>116</v>
      </c>
      <c r="C112" t="s">
        <v>106</v>
      </c>
      <c r="D112" t="s">
        <v>112</v>
      </c>
      <c r="E112" t="s">
        <v>108</v>
      </c>
      <c r="V112" s="11" t="str">
        <f>I19</f>
        <v>Level 4 ส่วนลดน้อย</v>
      </c>
      <c r="W112" s="12" t="s">
        <v>115</v>
      </c>
      <c r="X112" t="str">
        <f t="shared" ref="X112" si="149">$W$3</f>
        <v>Not Converted</v>
      </c>
      <c r="Y112" cm="1">
        <f t="array" ref="Y112">SUM(_xlfn.BYROW($B$2:$E$129,_xlfn.LAMBDA(_xlpm.row,IF(COUNTIF(_xlpm.row,MID(V112,1,7))&gt;0,IF(COUNTIF(_xlpm.row,MID(V112,9,LEN(V112)))&gt;0,IF(COUNTIF(_xlpm.row,W112)&gt;0,IF(COUNTIF(_xlpm.row,X112)&gt;0,1,0),0))))))</f>
        <v>1</v>
      </c>
      <c r="Z112" s="6">
        <f t="shared" si="142"/>
        <v>7.8125E-3</v>
      </c>
      <c r="AA112" s="8">
        <f t="shared" si="109"/>
        <v>0</v>
      </c>
      <c r="AB112">
        <f t="shared" si="110"/>
        <v>0</v>
      </c>
    </row>
    <row r="113" spans="1:28" x14ac:dyDescent="0.15">
      <c r="A113">
        <v>112</v>
      </c>
      <c r="B113" t="s">
        <v>113</v>
      </c>
      <c r="C113" t="s">
        <v>117</v>
      </c>
      <c r="D113" t="s">
        <v>112</v>
      </c>
      <c r="E113" t="s">
        <v>108</v>
      </c>
      <c r="V113" s="11" t="str">
        <f>I19</f>
        <v>Level 4 ส่วนลดน้อย</v>
      </c>
      <c r="W113" s="12" t="s">
        <v>118</v>
      </c>
      <c r="X113" t="str">
        <f t="shared" ref="X113" si="150">$W$2</f>
        <v>Converted</v>
      </c>
      <c r="Y113" cm="1">
        <f t="array" ref="Y113">SUM(_xlfn.BYROW($B$2:$E$129,_xlfn.LAMBDA(_xlpm.row,IF(COUNTIF(_xlpm.row,MID(V113,1,7))&gt;0,IF(COUNTIF(_xlpm.row,MID(V113,9,LEN(V113)))&gt;0,IF(COUNTIF(_xlpm.row,W113)&gt;0,IF(COUNTIF(_xlpm.row,X113)&gt;0,1,0),0))))))</f>
        <v>0</v>
      </c>
      <c r="Z113" s="6">
        <f t="shared" si="142"/>
        <v>0</v>
      </c>
      <c r="AA113" s="8">
        <f t="shared" si="109"/>
        <v>0</v>
      </c>
      <c r="AB113">
        <f t="shared" si="110"/>
        <v>0</v>
      </c>
    </row>
    <row r="114" spans="1:28" x14ac:dyDescent="0.15">
      <c r="A114">
        <v>113</v>
      </c>
      <c r="B114" t="s">
        <v>116</v>
      </c>
      <c r="C114" t="s">
        <v>106</v>
      </c>
      <c r="D114" t="s">
        <v>118</v>
      </c>
      <c r="E114" t="s">
        <v>108</v>
      </c>
      <c r="V114" s="11" t="str">
        <f>I19</f>
        <v>Level 4 ส่วนลดน้อย</v>
      </c>
      <c r="W114" s="12" t="s">
        <v>118</v>
      </c>
      <c r="X114" t="str">
        <f t="shared" ref="X114" si="151">$W$3</f>
        <v>Not Converted</v>
      </c>
      <c r="Y114" cm="1">
        <f t="array" ref="Y114">SUM(_xlfn.BYROW($B$2:$E$129,_xlfn.LAMBDA(_xlpm.row,IF(COUNTIF(_xlpm.row,MID(V114,1,7))&gt;0,IF(COUNTIF(_xlpm.row,MID(V114,9,LEN(V114)))&gt;0,IF(COUNTIF(_xlpm.row,W114)&gt;0,IF(COUNTIF(_xlpm.row,X114)&gt;0,1,0),0))))))</f>
        <v>0</v>
      </c>
      <c r="Z114" s="6">
        <f t="shared" si="142"/>
        <v>0</v>
      </c>
      <c r="AA114" s="8">
        <f t="shared" si="109"/>
        <v>0</v>
      </c>
      <c r="AB114">
        <f t="shared" si="110"/>
        <v>0</v>
      </c>
    </row>
    <row r="115" spans="1:28" x14ac:dyDescent="0.15">
      <c r="A115">
        <v>114</v>
      </c>
      <c r="B115" t="s">
        <v>119</v>
      </c>
      <c r="C115" t="s">
        <v>106</v>
      </c>
      <c r="D115" t="s">
        <v>107</v>
      </c>
      <c r="E115" t="s">
        <v>108</v>
      </c>
      <c r="V115" s="11" t="str">
        <f>I19</f>
        <v>Level 4 ส่วนลดน้อย</v>
      </c>
      <c r="W115" s="12" t="s">
        <v>112</v>
      </c>
      <c r="X115" t="str">
        <f t="shared" ref="X115" si="152">$W$2</f>
        <v>Converted</v>
      </c>
      <c r="Y115" cm="1">
        <f t="array" ref="Y115">SUM(_xlfn.BYROW($B$2:$E$129,_xlfn.LAMBDA(_xlpm.row,IF(COUNTIF(_xlpm.row,MID(V115,1,7))&gt;0,IF(COUNTIF(_xlpm.row,MID(V115,9,LEN(V115)))&gt;0,IF(COUNTIF(_xlpm.row,W115)&gt;0,IF(COUNTIF(_xlpm.row,X115)&gt;0,1,0),0))))))</f>
        <v>0</v>
      </c>
      <c r="Z115" s="6">
        <f t="shared" si="142"/>
        <v>0</v>
      </c>
      <c r="AA115" s="8">
        <f t="shared" si="109"/>
        <v>0</v>
      </c>
      <c r="AB115">
        <f t="shared" si="110"/>
        <v>0</v>
      </c>
    </row>
    <row r="116" spans="1:28" x14ac:dyDescent="0.15">
      <c r="A116">
        <v>115</v>
      </c>
      <c r="B116" t="s">
        <v>116</v>
      </c>
      <c r="C116" t="s">
        <v>106</v>
      </c>
      <c r="D116" t="s">
        <v>118</v>
      </c>
      <c r="E116" t="s">
        <v>108</v>
      </c>
      <c r="V116" s="11" t="str">
        <f>I19</f>
        <v>Level 4 ส่วนลดน้อย</v>
      </c>
      <c r="W116" s="12" t="s">
        <v>112</v>
      </c>
      <c r="X116" t="str">
        <f t="shared" ref="X116" si="153">$W$3</f>
        <v>Not Converted</v>
      </c>
      <c r="Y116" cm="1">
        <f t="array" ref="Y116">SUM(_xlfn.BYROW($B$2:$E$129,_xlfn.LAMBDA(_xlpm.row,IF(COUNTIF(_xlpm.row,MID(V116,1,7))&gt;0,IF(COUNTIF(_xlpm.row,MID(V116,9,LEN(V116)))&gt;0,IF(COUNTIF(_xlpm.row,W116)&gt;0,IF(COUNTIF(_xlpm.row,X116)&gt;0,1,0),0))))))</f>
        <v>0</v>
      </c>
      <c r="Z116" s="6">
        <f t="shared" si="142"/>
        <v>0</v>
      </c>
      <c r="AA116" s="8">
        <f t="shared" si="109"/>
        <v>0</v>
      </c>
      <c r="AB116">
        <f t="shared" si="110"/>
        <v>0</v>
      </c>
    </row>
    <row r="117" spans="1:28" x14ac:dyDescent="0.15">
      <c r="A117">
        <v>116</v>
      </c>
      <c r="B117" t="s">
        <v>105</v>
      </c>
      <c r="C117" t="s">
        <v>106</v>
      </c>
      <c r="D117" t="s">
        <v>107</v>
      </c>
      <c r="E117" t="s">
        <v>108</v>
      </c>
      <c r="V117" s="11" t="str">
        <f>I19</f>
        <v>Level 4 ส่วนลดน้อย</v>
      </c>
      <c r="W117" s="12" t="s">
        <v>107</v>
      </c>
      <c r="X117" t="str">
        <f t="shared" ref="X117" si="154">$W$2</f>
        <v>Converted</v>
      </c>
      <c r="Y117" cm="1">
        <f t="array" ref="Y117">SUM(_xlfn.BYROW($B$2:$E$129,_xlfn.LAMBDA(_xlpm.row,IF(COUNTIF(_xlpm.row,MID(V117,1,7))&gt;0,IF(COUNTIF(_xlpm.row,MID(V117,9,LEN(V117)))&gt;0,IF(COUNTIF(_xlpm.row,W117)&gt;0,IF(COUNTIF(_xlpm.row,X117)&gt;0,1,0),0))))))</f>
        <v>0</v>
      </c>
      <c r="Z117" s="6">
        <f t="shared" si="142"/>
        <v>0</v>
      </c>
      <c r="AA117" s="8">
        <f t="shared" si="109"/>
        <v>0</v>
      </c>
      <c r="AB117">
        <f t="shared" si="110"/>
        <v>0</v>
      </c>
    </row>
    <row r="118" spans="1:28" x14ac:dyDescent="0.15">
      <c r="A118">
        <v>117</v>
      </c>
      <c r="B118" t="s">
        <v>109</v>
      </c>
      <c r="C118" t="s">
        <v>117</v>
      </c>
      <c r="D118" t="s">
        <v>110</v>
      </c>
      <c r="E118" t="s">
        <v>111</v>
      </c>
      <c r="V118" s="11" t="str">
        <f>I19</f>
        <v>Level 4 ส่วนลดน้อย</v>
      </c>
      <c r="W118" s="12" t="s">
        <v>107</v>
      </c>
      <c r="X118" t="str">
        <f t="shared" ref="X118" si="155">$W$3</f>
        <v>Not Converted</v>
      </c>
      <c r="Y118" cm="1">
        <f t="array" ref="Y118">SUM(_xlfn.BYROW($B$2:$E$129,_xlfn.LAMBDA(_xlpm.row,IF(COUNTIF(_xlpm.row,MID(V118,1,7))&gt;0,IF(COUNTIF(_xlpm.row,MID(V118,9,LEN(V118)))&gt;0,IF(COUNTIF(_xlpm.row,W118)&gt;0,IF(COUNTIF(_xlpm.row,X118)&gt;0,1,0),0))))))</f>
        <v>0</v>
      </c>
      <c r="Z118" s="6">
        <f t="shared" si="142"/>
        <v>0</v>
      </c>
      <c r="AA118" s="8">
        <f t="shared" si="109"/>
        <v>0</v>
      </c>
      <c r="AB118">
        <f t="shared" si="110"/>
        <v>0</v>
      </c>
    </row>
    <row r="119" spans="1:28" x14ac:dyDescent="0.15">
      <c r="A119">
        <v>118</v>
      </c>
      <c r="B119" t="s">
        <v>113</v>
      </c>
      <c r="C119" t="s">
        <v>106</v>
      </c>
      <c r="D119" t="s">
        <v>118</v>
      </c>
      <c r="E119" t="s">
        <v>108</v>
      </c>
      <c r="V119" s="11" t="str">
        <f>I20</f>
        <v>Level 4 ได้ส่วนลดมาก</v>
      </c>
      <c r="W119" s="12" t="s">
        <v>110</v>
      </c>
      <c r="X119" t="str">
        <f t="shared" ref="X119" si="156">$W$2</f>
        <v>Converted</v>
      </c>
      <c r="Y119" cm="1">
        <f t="array" ref="Y119">SUM(_xlfn.BYROW($B$2:$E$129,_xlfn.LAMBDA(_xlpm.row,IF(COUNTIF(_xlpm.row,MID(V119,1,7))&gt;0,IF(COUNTIF(_xlpm.row,MID(V119,9,LEN(V119)))&gt;0,IF(COUNTIF(_xlpm.row,W119)&gt;0,IF(COUNTIF(_xlpm.row,X119)&gt;0,1,0),0))))))</f>
        <v>0</v>
      </c>
      <c r="Z119" s="6">
        <f t="shared" si="142"/>
        <v>0</v>
      </c>
      <c r="AA119" s="8">
        <f t="shared" si="109"/>
        <v>0</v>
      </c>
      <c r="AB119">
        <f t="shared" si="110"/>
        <v>0</v>
      </c>
    </row>
    <row r="120" spans="1:28" x14ac:dyDescent="0.15">
      <c r="A120">
        <v>119</v>
      </c>
      <c r="B120" t="s">
        <v>113</v>
      </c>
      <c r="C120" t="s">
        <v>106</v>
      </c>
      <c r="D120" t="s">
        <v>112</v>
      </c>
      <c r="E120" t="s">
        <v>108</v>
      </c>
      <c r="V120" s="11" t="str">
        <f>I20</f>
        <v>Level 4 ได้ส่วนลดมาก</v>
      </c>
      <c r="W120" s="12" t="s">
        <v>110</v>
      </c>
      <c r="X120" t="str">
        <f t="shared" ref="X120" si="157">$W$3</f>
        <v>Not Converted</v>
      </c>
      <c r="Y120" cm="1">
        <f t="array" ref="Y120">SUM(_xlfn.BYROW($B$2:$E$129,_xlfn.LAMBDA(_xlpm.row,IF(COUNTIF(_xlpm.row,MID(V120,1,7))&gt;0,IF(COUNTIF(_xlpm.row,MID(V120,9,LEN(V120)))&gt;0,IF(COUNTIF(_xlpm.row,W120)&gt;0,IF(COUNTIF(_xlpm.row,X120)&gt;0,1,0),0))))))</f>
        <v>1</v>
      </c>
      <c r="Z120" s="6">
        <f t="shared" si="142"/>
        <v>7.8125E-3</v>
      </c>
      <c r="AA120" s="8">
        <f t="shared" si="109"/>
        <v>1</v>
      </c>
      <c r="AB120">
        <f t="shared" si="110"/>
        <v>1.3473684210526315</v>
      </c>
    </row>
    <row r="121" spans="1:28" x14ac:dyDescent="0.15">
      <c r="A121">
        <v>120</v>
      </c>
      <c r="B121" t="s">
        <v>116</v>
      </c>
      <c r="C121" t="s">
        <v>106</v>
      </c>
      <c r="D121" t="s">
        <v>110</v>
      </c>
      <c r="E121" t="s">
        <v>111</v>
      </c>
      <c r="V121" s="11" t="str">
        <f>I20</f>
        <v>Level 4 ได้ส่วนลดมาก</v>
      </c>
      <c r="W121" s="12" t="s">
        <v>115</v>
      </c>
      <c r="X121" t="str">
        <f t="shared" ref="X121" si="158">$W$2</f>
        <v>Converted</v>
      </c>
      <c r="Y121" cm="1">
        <f t="array" ref="Y121">SUM(_xlfn.BYROW($B$2:$E$129,_xlfn.LAMBDA(_xlpm.row,IF(COUNTIF(_xlpm.row,MID(V121,1,7))&gt;0,IF(COUNTIF(_xlpm.row,MID(V121,9,LEN(V121)))&gt;0,IF(COUNTIF(_xlpm.row,W121)&gt;0,IF(COUNTIF(_xlpm.row,X121)&gt;0,1,0),0))))))</f>
        <v>0</v>
      </c>
      <c r="Z121" s="6">
        <f t="shared" si="142"/>
        <v>0</v>
      </c>
      <c r="AA121" s="8">
        <f t="shared" si="109"/>
        <v>0</v>
      </c>
      <c r="AB121">
        <f t="shared" si="110"/>
        <v>0</v>
      </c>
    </row>
    <row r="122" spans="1:28" x14ac:dyDescent="0.15">
      <c r="A122">
        <v>121</v>
      </c>
      <c r="B122" t="s">
        <v>113</v>
      </c>
      <c r="C122" t="s">
        <v>106</v>
      </c>
      <c r="D122" t="s">
        <v>118</v>
      </c>
      <c r="E122" t="s">
        <v>111</v>
      </c>
      <c r="V122" s="11" t="str">
        <f>I20</f>
        <v>Level 4 ได้ส่วนลดมาก</v>
      </c>
      <c r="W122" s="12" t="s">
        <v>115</v>
      </c>
      <c r="X122" t="str">
        <f t="shared" ref="X122" si="159">$W$3</f>
        <v>Not Converted</v>
      </c>
      <c r="Y122" cm="1">
        <f t="array" ref="Y122">SUM(_xlfn.BYROW($B$2:$E$129,_xlfn.LAMBDA(_xlpm.row,IF(COUNTIF(_xlpm.row,MID(V122,1,7))&gt;0,IF(COUNTIF(_xlpm.row,MID(V122,9,LEN(V122)))&gt;0,IF(COUNTIF(_xlpm.row,W122)&gt;0,IF(COUNTIF(_xlpm.row,X122)&gt;0,1,0),0))))))</f>
        <v>0</v>
      </c>
      <c r="Z122" s="6">
        <f t="shared" si="142"/>
        <v>0</v>
      </c>
      <c r="AA122" s="8">
        <f t="shared" si="109"/>
        <v>0</v>
      </c>
      <c r="AB122">
        <f t="shared" si="110"/>
        <v>0</v>
      </c>
    </row>
    <row r="123" spans="1:28" x14ac:dyDescent="0.15">
      <c r="A123">
        <v>122</v>
      </c>
      <c r="B123" t="s">
        <v>105</v>
      </c>
      <c r="C123" t="s">
        <v>106</v>
      </c>
      <c r="D123" t="s">
        <v>107</v>
      </c>
      <c r="E123" t="s">
        <v>108</v>
      </c>
      <c r="V123" s="11" t="str">
        <f>I20</f>
        <v>Level 4 ได้ส่วนลดมาก</v>
      </c>
      <c r="W123" s="12" t="s">
        <v>118</v>
      </c>
      <c r="X123" t="str">
        <f t="shared" ref="X123" si="160">$W$2</f>
        <v>Converted</v>
      </c>
      <c r="Y123" cm="1">
        <f t="array" ref="Y123">SUM(_xlfn.BYROW($B$2:$E$129,_xlfn.LAMBDA(_xlpm.row,IF(COUNTIF(_xlpm.row,MID(V123,1,7))&gt;0,IF(COUNTIF(_xlpm.row,MID(V123,9,LEN(V123)))&gt;0,IF(COUNTIF(_xlpm.row,W123)&gt;0,IF(COUNTIF(_xlpm.row,X123)&gt;0,1,0),0))))))</f>
        <v>0</v>
      </c>
      <c r="Z123" s="6">
        <f t="shared" si="142"/>
        <v>0</v>
      </c>
      <c r="AA123" s="8">
        <f t="shared" si="109"/>
        <v>0</v>
      </c>
      <c r="AB123">
        <f t="shared" si="110"/>
        <v>0</v>
      </c>
    </row>
    <row r="124" spans="1:28" x14ac:dyDescent="0.15">
      <c r="A124">
        <v>123</v>
      </c>
      <c r="B124" t="s">
        <v>119</v>
      </c>
      <c r="C124" t="s">
        <v>106</v>
      </c>
      <c r="D124" t="s">
        <v>107</v>
      </c>
      <c r="E124" t="s">
        <v>108</v>
      </c>
      <c r="V124" s="11" t="str">
        <f>I20</f>
        <v>Level 4 ได้ส่วนลดมาก</v>
      </c>
      <c r="W124" s="12" t="s">
        <v>118</v>
      </c>
      <c r="X124" t="str">
        <f t="shared" ref="X124" si="161">$W$3</f>
        <v>Not Converted</v>
      </c>
      <c r="Y124" cm="1">
        <f t="array" ref="Y124">SUM(_xlfn.BYROW($B$2:$E$129,_xlfn.LAMBDA(_xlpm.row,IF(COUNTIF(_xlpm.row,MID(V124,1,7))&gt;0,IF(COUNTIF(_xlpm.row,MID(V124,9,LEN(V124)))&gt;0,IF(COUNTIF(_xlpm.row,W124)&gt;0,IF(COUNTIF(_xlpm.row,X124)&gt;0,1,0),0))))))</f>
        <v>0</v>
      </c>
      <c r="Z124" s="6">
        <f t="shared" si="142"/>
        <v>0</v>
      </c>
      <c r="AA124" s="8">
        <f t="shared" si="109"/>
        <v>0</v>
      </c>
      <c r="AB124">
        <f t="shared" si="110"/>
        <v>0</v>
      </c>
    </row>
    <row r="125" spans="1:28" x14ac:dyDescent="0.15">
      <c r="A125">
        <v>124</v>
      </c>
      <c r="B125" t="s">
        <v>119</v>
      </c>
      <c r="C125" t="s">
        <v>106</v>
      </c>
      <c r="D125" t="s">
        <v>107</v>
      </c>
      <c r="E125" t="s">
        <v>111</v>
      </c>
      <c r="V125" s="11" t="str">
        <f>I20</f>
        <v>Level 4 ได้ส่วนลดมาก</v>
      </c>
      <c r="W125" s="12" t="s">
        <v>112</v>
      </c>
      <c r="X125" t="str">
        <f t="shared" ref="X125" si="162">$W$2</f>
        <v>Converted</v>
      </c>
      <c r="Y125" cm="1">
        <f t="array" ref="Y125">SUM(_xlfn.BYROW($B$2:$E$129,_xlfn.LAMBDA(_xlpm.row,IF(COUNTIF(_xlpm.row,MID(V125,1,7))&gt;0,IF(COUNTIF(_xlpm.row,MID(V125,9,LEN(V125)))&gt;0,IF(COUNTIF(_xlpm.row,W125)&gt;0,IF(COUNTIF(_xlpm.row,X125)&gt;0,1,0),0))))))</f>
        <v>1</v>
      </c>
      <c r="Z125" s="6">
        <f t="shared" si="142"/>
        <v>7.8125E-3</v>
      </c>
      <c r="AA125" s="8">
        <f t="shared" si="109"/>
        <v>0</v>
      </c>
      <c r="AB125">
        <f t="shared" si="110"/>
        <v>0</v>
      </c>
    </row>
    <row r="126" spans="1:28" x14ac:dyDescent="0.15">
      <c r="A126">
        <v>125</v>
      </c>
      <c r="B126" t="s">
        <v>109</v>
      </c>
      <c r="C126" t="s">
        <v>106</v>
      </c>
      <c r="D126" t="s">
        <v>112</v>
      </c>
      <c r="E126" t="s">
        <v>108</v>
      </c>
      <c r="V126" s="11" t="str">
        <f>I20</f>
        <v>Level 4 ได้ส่วนลดมาก</v>
      </c>
      <c r="W126" s="12" t="s">
        <v>112</v>
      </c>
      <c r="X126" t="str">
        <f t="shared" ref="X126" si="163">$W$3</f>
        <v>Not Converted</v>
      </c>
      <c r="Y126" cm="1">
        <f t="array" ref="Y126">SUM(_xlfn.BYROW($B$2:$E$129,_xlfn.LAMBDA(_xlpm.row,IF(COUNTIF(_xlpm.row,MID(V126,1,7))&gt;0,IF(COUNTIF(_xlpm.row,MID(V126,9,LEN(V126)))&gt;0,IF(COUNTIF(_xlpm.row,W126)&gt;0,IF(COUNTIF(_xlpm.row,X126)&gt;0,1,0),0))))))</f>
        <v>0</v>
      </c>
      <c r="Z126" s="6">
        <f t="shared" si="142"/>
        <v>0</v>
      </c>
      <c r="AA126" s="8">
        <f t="shared" si="109"/>
        <v>0</v>
      </c>
      <c r="AB126">
        <f t="shared" si="110"/>
        <v>0</v>
      </c>
    </row>
    <row r="127" spans="1:28" x14ac:dyDescent="0.15">
      <c r="A127">
        <v>126</v>
      </c>
      <c r="B127" t="s">
        <v>119</v>
      </c>
      <c r="C127" t="s">
        <v>106</v>
      </c>
      <c r="D127" t="s">
        <v>107</v>
      </c>
      <c r="E127" t="s">
        <v>108</v>
      </c>
      <c r="V127" s="11" t="str">
        <f>I20</f>
        <v>Level 4 ได้ส่วนลดมาก</v>
      </c>
      <c r="W127" s="12" t="s">
        <v>107</v>
      </c>
      <c r="X127" t="str">
        <f t="shared" ref="X127" si="164">$W$2</f>
        <v>Converted</v>
      </c>
      <c r="Y127" cm="1">
        <f t="array" ref="Y127">SUM(_xlfn.BYROW($B$2:$E$129,_xlfn.LAMBDA(_xlpm.row,IF(COUNTIF(_xlpm.row,MID(V127,1,7))&gt;0,IF(COUNTIF(_xlpm.row,MID(V127,9,LEN(V127)))&gt;0,IF(COUNTIF(_xlpm.row,W127)&gt;0,IF(COUNTIF(_xlpm.row,X127)&gt;0,1,0),0))))))</f>
        <v>0</v>
      </c>
      <c r="Z127" s="6">
        <f t="shared" si="142"/>
        <v>0</v>
      </c>
      <c r="AA127" s="8">
        <f t="shared" si="109"/>
        <v>0</v>
      </c>
      <c r="AB127">
        <f t="shared" si="110"/>
        <v>0</v>
      </c>
    </row>
    <row r="128" spans="1:28" x14ac:dyDescent="0.15">
      <c r="A128">
        <v>127</v>
      </c>
      <c r="B128" t="s">
        <v>113</v>
      </c>
      <c r="C128" t="s">
        <v>106</v>
      </c>
      <c r="D128" t="s">
        <v>118</v>
      </c>
      <c r="E128" t="s">
        <v>108</v>
      </c>
      <c r="V128" s="13" t="str">
        <f>I20</f>
        <v>Level 4 ได้ส่วนลดมาก</v>
      </c>
      <c r="W128" s="14" t="s">
        <v>107</v>
      </c>
      <c r="X128" t="str">
        <f t="shared" ref="X128" si="165">$W$3</f>
        <v>Not Converted</v>
      </c>
      <c r="Y128" cm="1">
        <f t="array" ref="Y128">SUM(_xlfn.BYROW($B$2:$E$129,_xlfn.LAMBDA(_xlpm.row,IF(COUNTIF(_xlpm.row,MID(V128,1,7))&gt;0,IF(COUNTIF(_xlpm.row,MID(V128,9,LEN(V128)))&gt;0,IF(COUNTIF(_xlpm.row,W128)&gt;0,IF(COUNTIF(_xlpm.row,X128)&gt;0,1,0),0))))))</f>
        <v>0</v>
      </c>
      <c r="Z128" s="6">
        <f t="shared" si="142"/>
        <v>0</v>
      </c>
      <c r="AA128" s="8">
        <f t="shared" si="109"/>
        <v>0</v>
      </c>
      <c r="AB128">
        <f t="shared" si="110"/>
        <v>0</v>
      </c>
    </row>
    <row r="129" spans="1:5" x14ac:dyDescent="0.15">
      <c r="A129">
        <v>128</v>
      </c>
      <c r="B129" t="s">
        <v>105</v>
      </c>
      <c r="C129" t="s">
        <v>106</v>
      </c>
      <c r="D129" t="s">
        <v>107</v>
      </c>
      <c r="E129" t="s">
        <v>108</v>
      </c>
    </row>
  </sheetData>
  <autoFilter ref="A1:E129" xr:uid="{F9FCE900-B8CE-44C8-A5B6-D311CF89A1CE}"/>
  <mergeCells count="1">
    <mergeCell ref="V8:W8"/>
  </mergeCells>
  <phoneticPr fontId="6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0FCAB25D-15AD-4AD3-9FDB-9B081155D1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B44267-0D28-4490-9BE7-D22E4C772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E2142C-8CED-426D-9AD4-4C56E032C8FD}">
  <ds:schemaRefs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9c7a8c3-a03a-420b-ac21-90cd38a91df7"/>
  </ds:schemaRefs>
</ds:datastoreItem>
</file>

<file path=customXml/itemProps4.xml><?xml version="1.0" encoding="utf-8"?>
<ds:datastoreItem xmlns:ds="http://schemas.openxmlformats.org/officeDocument/2006/customXml" ds:itemID="{8683FA78-7175-1D42-92B8-869C4BE92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EX HW L13</vt:lpstr>
      <vt:lpstr>Simple Itemsets</vt:lpstr>
      <vt:lpstr>Cosmetic</vt:lpstr>
      <vt:lpstr>Qoute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KRISSANA PIPUTPRUEDTIGUL</cp:lastModifiedBy>
  <cp:revision/>
  <cp:lastPrinted>2025-05-08T09:51:32Z</cp:lastPrinted>
  <dcterms:created xsi:type="dcterms:W3CDTF">2023-04-22T13:42:34Z</dcterms:created>
  <dcterms:modified xsi:type="dcterms:W3CDTF">2025-05-09T16:10:17Z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