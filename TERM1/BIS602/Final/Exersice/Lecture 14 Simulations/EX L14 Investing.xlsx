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https://kmuttsit-my.sharepoint.com/personal/67130701930_ad_sit_kmutt_ac_th/Documents/KMUTT/TERM1/BIS602/Final/Exersice/Lecture 14 Simulations/"/>
    </mc:Choice>
  </mc:AlternateContent>
  <xr:revisionPtr revIDLastSave="2973" documentId="13_ncr:1_{53DF1DDA-E02C-9240-A72C-D7E783A9AED3}" xr6:coauthVersionLast="47" xr6:coauthVersionMax="47" xr10:uidLastSave="{F03C12D6-1A59-464E-A702-57AD898C3C03}"/>
  <bookViews>
    <workbookView xWindow="0" yWindow="760" windowWidth="30240" windowHeight="17660" activeTab="6" xr2:uid="{BB67C941-0181-41BE-B486-82CDB7DA553A}"/>
  </bookViews>
  <sheets>
    <sheet name="Stdev" sheetId="8" r:id="rId1"/>
    <sheet name="Basic" sheetId="2" r:id="rId2"/>
    <sheet name="Binomial" sheetId="3" r:id="rId3"/>
    <sheet name="Empirical" sheetId="4" r:id="rId4"/>
    <sheet name="Monte Carlo Simulation" sheetId="5" r:id="rId5"/>
    <sheet name="Investing a" sheetId="1" r:id="rId6"/>
    <sheet name="HW"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7" l="1" a="1"/>
  <c r="P2" i="7" s="1"/>
  <c r="P3" i="7" a="1"/>
  <c r="P3" i="7" s="1"/>
  <c r="O2" i="7"/>
  <c r="P501" i="7" a="1"/>
  <c r="P501" i="7" s="1"/>
  <c r="B36" i="5"/>
  <c r="O106" i="5"/>
  <c r="C68" i="7"/>
  <c r="D27" i="4"/>
  <c r="I119" i="1"/>
  <c r="C75" i="7"/>
  <c r="J3" i="7"/>
  <c r="E18" i="1"/>
  <c r="C67" i="7"/>
  <c r="C78" i="7"/>
  <c r="I18" i="1"/>
  <c r="L106" i="5"/>
  <c r="D24" i="4"/>
  <c r="G4" i="4"/>
  <c r="F3" i="7"/>
  <c r="C63" i="7"/>
  <c r="G6" i="4"/>
  <c r="G3" i="4"/>
  <c r="D26" i="4"/>
  <c r="K106" i="5"/>
  <c r="P106" i="5"/>
  <c r="Q106" i="5"/>
  <c r="O502" i="7"/>
  <c r="H9" i="1"/>
  <c r="H2" i="7"/>
  <c r="J2" i="7"/>
  <c r="B39" i="5"/>
  <c r="F4" i="7"/>
  <c r="H4" i="7"/>
  <c r="D25" i="4"/>
  <c r="G18" i="1"/>
  <c r="D36" i="5"/>
  <c r="E119" i="1"/>
  <c r="H6" i="7"/>
  <c r="H5" i="7"/>
  <c r="B38" i="5"/>
  <c r="C73" i="7"/>
  <c r="L4" i="5"/>
  <c r="H3" i="7"/>
  <c r="F6" i="7"/>
  <c r="H7" i="1"/>
  <c r="E73" i="7"/>
  <c r="H8" i="1"/>
  <c r="G5" i="4"/>
  <c r="J4" i="7"/>
  <c r="R106" i="5"/>
  <c r="J4" i="5"/>
  <c r="G119" i="1"/>
  <c r="K4" i="5"/>
  <c r="F5" i="7"/>
  <c r="F2" i="7"/>
  <c r="F18" i="1"/>
  <c r="J106" i="5"/>
  <c r="D73" i="7"/>
  <c r="J5" i="7"/>
  <c r="C64" i="7"/>
  <c r="J6" i="7"/>
  <c r="F119" i="1"/>
  <c r="B73" i="7"/>
  <c r="B3" i="3" l="1"/>
  <c r="D12" i="2"/>
  <c r="E12" i="2"/>
  <c r="C12" i="2"/>
  <c r="D10" i="2"/>
  <c r="E10" i="2"/>
  <c r="C10" i="2"/>
  <c r="O3" i="7"/>
  <c r="P4" i="7" a="1"/>
  <c r="P4" i="7" s="1"/>
  <c r="O4" i="7"/>
  <c r="P5" i="7" a="1"/>
  <c r="P5" i="7" s="1"/>
  <c r="O5" i="7"/>
  <c r="P6" i="7" a="1"/>
  <c r="P6" i="7" s="1"/>
  <c r="O6" i="7"/>
  <c r="P7" i="7" a="1"/>
  <c r="P7" i="7" s="1"/>
  <c r="O7" i="7"/>
  <c r="P8" i="7" a="1"/>
  <c r="P8" i="7" s="1"/>
  <c r="O8" i="7"/>
  <c r="P9" i="7" a="1"/>
  <c r="P9" i="7" s="1"/>
  <c r="O9" i="7"/>
  <c r="P10" i="7" a="1"/>
  <c r="P10" i="7" s="1"/>
  <c r="O10" i="7"/>
  <c r="P11" i="7" a="1"/>
  <c r="P11" i="7" s="1"/>
  <c r="O11" i="7"/>
  <c r="P12" i="7" a="1"/>
  <c r="P12" i="7" s="1"/>
  <c r="O12" i="7"/>
  <c r="P13" i="7" a="1"/>
  <c r="P13" i="7" s="1"/>
  <c r="O13" i="7"/>
  <c r="P14" i="7" a="1"/>
  <c r="P14" i="7" s="1"/>
  <c r="O14" i="7"/>
  <c r="P15" i="7" a="1"/>
  <c r="P15" i="7" s="1"/>
  <c r="O15" i="7"/>
  <c r="P16" i="7" a="1"/>
  <c r="P16" i="7" s="1"/>
  <c r="O16" i="7"/>
  <c r="P17" i="7" a="1"/>
  <c r="P17" i="7" s="1"/>
  <c r="O17" i="7"/>
  <c r="P18" i="7" a="1"/>
  <c r="P18" i="7" s="1"/>
  <c r="O18" i="7"/>
  <c r="P19" i="7" a="1"/>
  <c r="P19" i="7" s="1"/>
  <c r="O19" i="7"/>
  <c r="P20" i="7" a="1"/>
  <c r="P20" i="7" s="1"/>
  <c r="O20" i="7"/>
  <c r="P21" i="7" a="1"/>
  <c r="P21" i="7" s="1"/>
  <c r="O21" i="7"/>
  <c r="P22" i="7" a="1"/>
  <c r="P22" i="7" s="1"/>
  <c r="O22" i="7"/>
  <c r="P23" i="7" a="1"/>
  <c r="P23" i="7" s="1"/>
  <c r="O23" i="7"/>
  <c r="P24" i="7" a="1"/>
  <c r="P24" i="7" s="1"/>
  <c r="O24" i="7"/>
  <c r="P25" i="7" a="1"/>
  <c r="P25" i="7" s="1"/>
  <c r="O25" i="7"/>
  <c r="P26" i="7" a="1"/>
  <c r="P26" i="7" s="1"/>
  <c r="O26" i="7"/>
  <c r="P27" i="7" a="1"/>
  <c r="P27" i="7" s="1"/>
  <c r="O27" i="7"/>
  <c r="P28" i="7" a="1"/>
  <c r="P28" i="7" s="1"/>
  <c r="O28" i="7"/>
  <c r="P29" i="7" a="1"/>
  <c r="P29" i="7" s="1"/>
  <c r="O29" i="7"/>
  <c r="P30" i="7" a="1"/>
  <c r="P30" i="7" s="1"/>
  <c r="O30" i="7"/>
  <c r="P31" i="7" a="1"/>
  <c r="P31" i="7" s="1"/>
  <c r="O31" i="7"/>
  <c r="P32" i="7" a="1"/>
  <c r="P32" i="7" s="1"/>
  <c r="O32" i="7"/>
  <c r="P33" i="7" a="1"/>
  <c r="P33" i="7" s="1"/>
  <c r="O33" i="7"/>
  <c r="P34" i="7" a="1"/>
  <c r="P34" i="7" s="1"/>
  <c r="O34" i="7"/>
  <c r="P35" i="7" a="1"/>
  <c r="P35" i="7" s="1"/>
  <c r="O35" i="7"/>
  <c r="P36" i="7" a="1"/>
  <c r="P36" i="7" s="1"/>
  <c r="O36" i="7"/>
  <c r="P37" i="7" a="1"/>
  <c r="P37" i="7" s="1"/>
  <c r="O37" i="7"/>
  <c r="P38" i="7" a="1"/>
  <c r="P38" i="7" s="1"/>
  <c r="O38" i="7"/>
  <c r="P39" i="7" a="1"/>
  <c r="P39" i="7" s="1"/>
  <c r="O39" i="7"/>
  <c r="P40" i="7" a="1"/>
  <c r="P40" i="7" s="1"/>
  <c r="O40" i="7"/>
  <c r="P41" i="7" a="1"/>
  <c r="P41" i="7" s="1"/>
  <c r="O41" i="7"/>
  <c r="P42" i="7" a="1"/>
  <c r="P42" i="7" s="1"/>
  <c r="O42" i="7"/>
  <c r="P43" i="7" a="1"/>
  <c r="P43" i="7" s="1"/>
  <c r="O43" i="7"/>
  <c r="P44" i="7" a="1"/>
  <c r="P44" i="7" s="1"/>
  <c r="O44" i="7"/>
  <c r="P45" i="7" a="1"/>
  <c r="P45" i="7" s="1"/>
  <c r="O45" i="7"/>
  <c r="P46" i="7" a="1"/>
  <c r="P46" i="7" s="1"/>
  <c r="O46" i="7"/>
  <c r="P47" i="7" a="1"/>
  <c r="P47" i="7" s="1"/>
  <c r="O47" i="7"/>
  <c r="P48" i="7" a="1"/>
  <c r="P48" i="7" s="1"/>
  <c r="O48" i="7"/>
  <c r="P49" i="7" a="1"/>
  <c r="P49" i="7" s="1"/>
  <c r="O49" i="7"/>
  <c r="P50" i="7" a="1"/>
  <c r="P50" i="7" s="1"/>
  <c r="O50" i="7"/>
  <c r="P51" i="7" a="1"/>
  <c r="P51" i="7" s="1"/>
  <c r="O51" i="7"/>
  <c r="P52" i="7" a="1"/>
  <c r="P52" i="7" s="1"/>
  <c r="O52" i="7"/>
  <c r="P53" i="7" a="1"/>
  <c r="P53" i="7" s="1"/>
  <c r="O53" i="7"/>
  <c r="P54" i="7" a="1"/>
  <c r="P54" i="7" s="1"/>
  <c r="O54" i="7"/>
  <c r="P55" i="7" a="1"/>
  <c r="P55" i="7" s="1"/>
  <c r="O55" i="7"/>
  <c r="P56" i="7" a="1"/>
  <c r="P56" i="7" s="1"/>
  <c r="O56" i="7"/>
  <c r="P57" i="7" a="1"/>
  <c r="P57" i="7" s="1"/>
  <c r="O57" i="7"/>
  <c r="P58" i="7" a="1"/>
  <c r="P58" i="7" s="1"/>
  <c r="O58" i="7"/>
  <c r="P59" i="7" a="1"/>
  <c r="P59" i="7" s="1"/>
  <c r="O59" i="7"/>
  <c r="P60" i="7" a="1"/>
  <c r="P60" i="7" s="1"/>
  <c r="O60" i="7"/>
  <c r="P61" i="7" a="1"/>
  <c r="P61" i="7" s="1"/>
  <c r="O61" i="7"/>
  <c r="P62" i="7" a="1"/>
  <c r="P62" i="7" s="1"/>
  <c r="O62" i="7"/>
  <c r="P63" i="7" a="1"/>
  <c r="P63" i="7" s="1"/>
  <c r="O63" i="7"/>
  <c r="P64" i="7" a="1"/>
  <c r="P64" i="7" s="1"/>
  <c r="O64" i="7"/>
  <c r="P65" i="7" a="1"/>
  <c r="P65" i="7" s="1"/>
  <c r="O65" i="7"/>
  <c r="P66" i="7" a="1"/>
  <c r="P66" i="7" s="1"/>
  <c r="O66" i="7"/>
  <c r="P67" i="7" a="1"/>
  <c r="P67" i="7" s="1"/>
  <c r="O67" i="7"/>
  <c r="P68" i="7" a="1"/>
  <c r="P68" i="7" s="1"/>
  <c r="O68" i="7"/>
  <c r="P69" i="7" a="1"/>
  <c r="P69" i="7" s="1"/>
  <c r="O69" i="7"/>
  <c r="P70" i="7" a="1"/>
  <c r="P70" i="7" s="1"/>
  <c r="O70" i="7"/>
  <c r="P71" i="7" a="1"/>
  <c r="P71" i="7" s="1"/>
  <c r="O71" i="7"/>
  <c r="P72" i="7" a="1"/>
  <c r="P72" i="7" s="1"/>
  <c r="O72" i="7"/>
  <c r="P73" i="7" a="1"/>
  <c r="P73" i="7" s="1"/>
  <c r="O73" i="7"/>
  <c r="P74" i="7" a="1"/>
  <c r="P74" i="7" s="1"/>
  <c r="O74" i="7"/>
  <c r="P75" i="7" a="1"/>
  <c r="P75" i="7" s="1"/>
  <c r="O75" i="7"/>
  <c r="P76" i="7" a="1"/>
  <c r="P76" i="7" s="1"/>
  <c r="O76" i="7"/>
  <c r="P77" i="7" a="1"/>
  <c r="P77" i="7" s="1"/>
  <c r="O77" i="7"/>
  <c r="P78" i="7" a="1"/>
  <c r="P78" i="7" s="1"/>
  <c r="O78" i="7"/>
  <c r="P79" i="7" a="1"/>
  <c r="P79" i="7" s="1"/>
  <c r="O79" i="7"/>
  <c r="P80" i="7" a="1"/>
  <c r="P80" i="7" s="1"/>
  <c r="O80" i="7"/>
  <c r="P81" i="7" a="1"/>
  <c r="P81" i="7" s="1"/>
  <c r="O81" i="7"/>
  <c r="P82" i="7" a="1"/>
  <c r="P82" i="7" s="1"/>
  <c r="O82" i="7"/>
  <c r="P83" i="7" a="1"/>
  <c r="P83" i="7" s="1"/>
  <c r="O83" i="7"/>
  <c r="P84" i="7" a="1"/>
  <c r="P84" i="7" s="1"/>
  <c r="O84" i="7"/>
  <c r="P85" i="7" a="1"/>
  <c r="P85" i="7" s="1"/>
  <c r="O85" i="7"/>
  <c r="P86" i="7" a="1"/>
  <c r="P86" i="7" s="1"/>
  <c r="O86" i="7"/>
  <c r="P87" i="7" a="1"/>
  <c r="P87" i="7" s="1"/>
  <c r="O87" i="7"/>
  <c r="P88" i="7" a="1"/>
  <c r="P88" i="7" s="1"/>
  <c r="O88" i="7"/>
  <c r="P89" i="7" a="1"/>
  <c r="P89" i="7" s="1"/>
  <c r="O89" i="7"/>
  <c r="P90" i="7" a="1"/>
  <c r="P90" i="7" s="1"/>
  <c r="O90" i="7"/>
  <c r="P91" i="7" a="1"/>
  <c r="P91" i="7" s="1"/>
  <c r="O91" i="7"/>
  <c r="P92" i="7" a="1"/>
  <c r="P92" i="7" s="1"/>
  <c r="O92" i="7"/>
  <c r="P93" i="7" a="1"/>
  <c r="P93" i="7" s="1"/>
  <c r="O93" i="7"/>
  <c r="P94" i="7" a="1"/>
  <c r="P94" i="7" s="1"/>
  <c r="O94" i="7"/>
  <c r="P95" i="7" a="1"/>
  <c r="P95" i="7" s="1"/>
  <c r="O95" i="7"/>
  <c r="P96" i="7" a="1"/>
  <c r="P96" i="7" s="1"/>
  <c r="O96" i="7"/>
  <c r="P97" i="7" a="1"/>
  <c r="P97" i="7" s="1"/>
  <c r="O97" i="7"/>
  <c r="P98" i="7" a="1"/>
  <c r="P98" i="7" s="1"/>
  <c r="O98" i="7"/>
  <c r="P99" i="7" a="1"/>
  <c r="P99" i="7" s="1"/>
  <c r="O99" i="7"/>
  <c r="P100" i="7" a="1"/>
  <c r="P100" i="7" s="1"/>
  <c r="O100" i="7"/>
  <c r="P101" i="7" a="1"/>
  <c r="P101" i="7" s="1"/>
  <c r="O101" i="7"/>
  <c r="P102" i="7" a="1"/>
  <c r="P102" i="7" s="1"/>
  <c r="O102" i="7"/>
  <c r="P103" i="7" a="1"/>
  <c r="P103" i="7" s="1"/>
  <c r="O103" i="7"/>
  <c r="P104" i="7" a="1"/>
  <c r="P104" i="7" s="1"/>
  <c r="O104" i="7"/>
  <c r="P105" i="7" a="1"/>
  <c r="P105" i="7" s="1"/>
  <c r="O105" i="7"/>
  <c r="P106" i="7" a="1"/>
  <c r="P106" i="7" s="1"/>
  <c r="O106" i="7"/>
  <c r="P107" i="7" a="1"/>
  <c r="P107" i="7" s="1"/>
  <c r="O107" i="7"/>
  <c r="P108" i="7" a="1"/>
  <c r="P108" i="7" s="1"/>
  <c r="O108" i="7"/>
  <c r="P109" i="7" a="1"/>
  <c r="P109" i="7" s="1"/>
  <c r="O109" i="7"/>
  <c r="P110" i="7" a="1"/>
  <c r="P110" i="7" s="1"/>
  <c r="O110" i="7"/>
  <c r="P111" i="7" a="1"/>
  <c r="P111" i="7" s="1"/>
  <c r="O111" i="7"/>
  <c r="P112" i="7" a="1"/>
  <c r="P112" i="7" s="1"/>
  <c r="O112" i="7"/>
  <c r="P113" i="7" a="1"/>
  <c r="P113" i="7" s="1"/>
  <c r="O113" i="7"/>
  <c r="P114" i="7" a="1"/>
  <c r="P114" i="7" s="1"/>
  <c r="O114" i="7"/>
  <c r="P115" i="7" a="1"/>
  <c r="P115" i="7" s="1"/>
  <c r="O115" i="7"/>
  <c r="P116" i="7" a="1"/>
  <c r="P116" i="7" s="1"/>
  <c r="O116" i="7"/>
  <c r="P117" i="7" a="1"/>
  <c r="P117" i="7" s="1"/>
  <c r="O117" i="7"/>
  <c r="P118" i="7" a="1"/>
  <c r="P118" i="7" s="1"/>
  <c r="O118" i="7"/>
  <c r="P119" i="7" a="1"/>
  <c r="P119" i="7" s="1"/>
  <c r="O119" i="7"/>
  <c r="P120" i="7" a="1"/>
  <c r="P120" i="7" s="1"/>
  <c r="O120" i="7"/>
  <c r="P121" i="7" a="1"/>
  <c r="P121" i="7" s="1"/>
  <c r="O121" i="7"/>
  <c r="P122" i="7" a="1"/>
  <c r="P122" i="7" s="1"/>
  <c r="O122" i="7"/>
  <c r="P123" i="7" a="1"/>
  <c r="P123" i="7" s="1"/>
  <c r="O123" i="7"/>
  <c r="P124" i="7" a="1"/>
  <c r="P124" i="7" s="1"/>
  <c r="O124" i="7"/>
  <c r="P125" i="7" a="1"/>
  <c r="P125" i="7" s="1"/>
  <c r="O125" i="7"/>
  <c r="P126" i="7" a="1"/>
  <c r="P126" i="7" s="1"/>
  <c r="O126" i="7"/>
  <c r="P127" i="7" a="1"/>
  <c r="P127" i="7" s="1"/>
  <c r="O127" i="7"/>
  <c r="P128" i="7" a="1"/>
  <c r="P128" i="7" s="1"/>
  <c r="O128" i="7"/>
  <c r="P129" i="7" a="1"/>
  <c r="P129" i="7" s="1"/>
  <c r="O129" i="7"/>
  <c r="P130" i="7" a="1"/>
  <c r="P130" i="7" s="1"/>
  <c r="O130" i="7"/>
  <c r="P131" i="7" a="1"/>
  <c r="P131" i="7" s="1"/>
  <c r="O131" i="7"/>
  <c r="P132" i="7" a="1"/>
  <c r="P132" i="7" s="1"/>
  <c r="O132" i="7"/>
  <c r="P133" i="7" a="1"/>
  <c r="P133" i="7" s="1"/>
  <c r="O133" i="7"/>
  <c r="P134" i="7" a="1"/>
  <c r="P134" i="7" s="1"/>
  <c r="O134" i="7"/>
  <c r="P135" i="7" a="1"/>
  <c r="P135" i="7" s="1"/>
  <c r="O135" i="7"/>
  <c r="P136" i="7" a="1"/>
  <c r="P136" i="7" s="1"/>
  <c r="O136" i="7"/>
  <c r="P137" i="7" a="1"/>
  <c r="P137" i="7" s="1"/>
  <c r="O137" i="7"/>
  <c r="P138" i="7" a="1"/>
  <c r="P138" i="7" s="1"/>
  <c r="O138" i="7"/>
  <c r="P139" i="7" a="1"/>
  <c r="P139" i="7" s="1"/>
  <c r="O139" i="7"/>
  <c r="P140" i="7" a="1"/>
  <c r="P140" i="7" s="1"/>
  <c r="O140" i="7"/>
  <c r="P141" i="7" a="1"/>
  <c r="P141" i="7" s="1"/>
  <c r="O141" i="7"/>
  <c r="P142" i="7" a="1"/>
  <c r="P142" i="7" s="1"/>
  <c r="O142" i="7"/>
  <c r="P143" i="7" a="1"/>
  <c r="P143" i="7" s="1"/>
  <c r="O143" i="7"/>
  <c r="P144" i="7" a="1"/>
  <c r="P144" i="7" s="1"/>
  <c r="O144" i="7"/>
  <c r="P145" i="7" a="1"/>
  <c r="P145" i="7" s="1"/>
  <c r="O145" i="7"/>
  <c r="P146" i="7" a="1"/>
  <c r="P146" i="7" s="1"/>
  <c r="O146" i="7"/>
  <c r="P147" i="7" a="1"/>
  <c r="P147" i="7" s="1"/>
  <c r="O147" i="7"/>
  <c r="P148" i="7" a="1"/>
  <c r="P148" i="7" s="1"/>
  <c r="O148" i="7"/>
  <c r="P149" i="7" a="1"/>
  <c r="P149" i="7" s="1"/>
  <c r="O149" i="7"/>
  <c r="P150" i="7" a="1"/>
  <c r="P150" i="7" s="1"/>
  <c r="O150" i="7"/>
  <c r="P151" i="7" a="1"/>
  <c r="P151" i="7" s="1"/>
  <c r="O151" i="7"/>
  <c r="P152" i="7" a="1"/>
  <c r="P152" i="7" s="1"/>
  <c r="O152" i="7"/>
  <c r="P153" i="7" a="1"/>
  <c r="P153" i="7" s="1"/>
  <c r="O153" i="7"/>
  <c r="P154" i="7" a="1"/>
  <c r="P154" i="7" s="1"/>
  <c r="O154" i="7"/>
  <c r="P155" i="7" a="1"/>
  <c r="P155" i="7" s="1"/>
  <c r="O155" i="7"/>
  <c r="P156" i="7" a="1"/>
  <c r="P156" i="7" s="1"/>
  <c r="O156" i="7"/>
  <c r="P157" i="7" a="1"/>
  <c r="P157" i="7" s="1"/>
  <c r="O157" i="7"/>
  <c r="P158" i="7" a="1"/>
  <c r="P158" i="7" s="1"/>
  <c r="O158" i="7"/>
  <c r="P159" i="7" a="1"/>
  <c r="P159" i="7" s="1"/>
  <c r="O159" i="7"/>
  <c r="P160" i="7" a="1"/>
  <c r="P160" i="7" s="1"/>
  <c r="O160" i="7"/>
  <c r="P161" i="7" a="1"/>
  <c r="P161" i="7" s="1"/>
  <c r="O161" i="7"/>
  <c r="P162" i="7" a="1"/>
  <c r="P162" i="7" s="1"/>
  <c r="O162" i="7"/>
  <c r="P163" i="7" a="1"/>
  <c r="P163" i="7" s="1"/>
  <c r="O163" i="7"/>
  <c r="P164" i="7" a="1"/>
  <c r="P164" i="7" s="1"/>
  <c r="O164" i="7"/>
  <c r="P165" i="7" a="1"/>
  <c r="P165" i="7" s="1"/>
  <c r="O165" i="7"/>
  <c r="P166" i="7" a="1"/>
  <c r="P166" i="7" s="1"/>
  <c r="O166" i="7"/>
  <c r="P167" i="7" a="1"/>
  <c r="P167" i="7" s="1"/>
  <c r="O167" i="7"/>
  <c r="P168" i="7" a="1"/>
  <c r="P168" i="7" s="1"/>
  <c r="O168" i="7"/>
  <c r="P169" i="7" a="1"/>
  <c r="P169" i="7" s="1"/>
  <c r="O169" i="7"/>
  <c r="P170" i="7" a="1"/>
  <c r="P170" i="7" s="1"/>
  <c r="O170" i="7"/>
  <c r="P171" i="7" a="1"/>
  <c r="P171" i="7" s="1"/>
  <c r="O171" i="7"/>
  <c r="P172" i="7" a="1"/>
  <c r="P172" i="7" s="1"/>
  <c r="O172" i="7"/>
  <c r="P173" i="7" a="1"/>
  <c r="P173" i="7" s="1"/>
  <c r="O173" i="7"/>
  <c r="P174" i="7" a="1"/>
  <c r="P174" i="7" s="1"/>
  <c r="O174" i="7"/>
  <c r="P175" i="7" a="1"/>
  <c r="P175" i="7" s="1"/>
  <c r="O175" i="7"/>
  <c r="P176" i="7" a="1"/>
  <c r="P176" i="7" s="1"/>
  <c r="O176" i="7"/>
  <c r="P177" i="7" a="1"/>
  <c r="P177" i="7" s="1"/>
  <c r="O177" i="7"/>
  <c r="P178" i="7" a="1"/>
  <c r="P178" i="7" s="1"/>
  <c r="O178" i="7"/>
  <c r="P179" i="7" a="1"/>
  <c r="P179" i="7" s="1"/>
  <c r="O179" i="7"/>
  <c r="P180" i="7" a="1"/>
  <c r="P180" i="7" s="1"/>
  <c r="O180" i="7"/>
  <c r="P181" i="7" a="1"/>
  <c r="P181" i="7" s="1"/>
  <c r="O181" i="7"/>
  <c r="P182" i="7" a="1"/>
  <c r="P182" i="7" s="1"/>
  <c r="O182" i="7"/>
  <c r="P183" i="7" a="1"/>
  <c r="P183" i="7" s="1"/>
  <c r="O183" i="7"/>
  <c r="P184" i="7" a="1"/>
  <c r="P184" i="7" s="1"/>
  <c r="O184" i="7"/>
  <c r="P185" i="7" a="1"/>
  <c r="P185" i="7" s="1"/>
  <c r="O185" i="7"/>
  <c r="P186" i="7" a="1"/>
  <c r="P186" i="7" s="1"/>
  <c r="O186" i="7"/>
  <c r="P187" i="7" a="1"/>
  <c r="P187" i="7" s="1"/>
  <c r="O187" i="7"/>
  <c r="P188" i="7" a="1"/>
  <c r="P188" i="7" s="1"/>
  <c r="O188" i="7"/>
  <c r="P189" i="7" a="1"/>
  <c r="P189" i="7" s="1"/>
  <c r="O189" i="7"/>
  <c r="P190" i="7" a="1"/>
  <c r="P190" i="7" s="1"/>
  <c r="O190" i="7"/>
  <c r="P191" i="7" a="1"/>
  <c r="P191" i="7" s="1"/>
  <c r="O191" i="7"/>
  <c r="P192" i="7" a="1"/>
  <c r="P192" i="7" s="1"/>
  <c r="O192" i="7"/>
  <c r="P193" i="7" a="1"/>
  <c r="P193" i="7" s="1"/>
  <c r="O193" i="7"/>
  <c r="P194" i="7" a="1"/>
  <c r="P194" i="7" s="1"/>
  <c r="O194" i="7"/>
  <c r="P195" i="7" a="1"/>
  <c r="P195" i="7" s="1"/>
  <c r="O195" i="7"/>
  <c r="P196" i="7" a="1"/>
  <c r="P196" i="7" s="1"/>
  <c r="O196" i="7"/>
  <c r="P197" i="7" a="1"/>
  <c r="P197" i="7" s="1"/>
  <c r="O197" i="7"/>
  <c r="P198" i="7" a="1"/>
  <c r="P198" i="7" s="1"/>
  <c r="O198" i="7"/>
  <c r="P199" i="7" a="1"/>
  <c r="P199" i="7" s="1"/>
  <c r="O199" i="7"/>
  <c r="P200" i="7" a="1"/>
  <c r="P200" i="7" s="1"/>
  <c r="O200" i="7"/>
  <c r="P201" i="7" a="1"/>
  <c r="P201" i="7" s="1"/>
  <c r="O201" i="7"/>
  <c r="P202" i="7" a="1"/>
  <c r="P202" i="7" s="1"/>
  <c r="O202" i="7"/>
  <c r="P203" i="7" a="1"/>
  <c r="P203" i="7" s="1"/>
  <c r="O203" i="7"/>
  <c r="P204" i="7" a="1"/>
  <c r="P204" i="7" s="1"/>
  <c r="O204" i="7"/>
  <c r="P205" i="7" a="1"/>
  <c r="P205" i="7" s="1"/>
  <c r="O205" i="7"/>
  <c r="P206" i="7" a="1"/>
  <c r="P206" i="7" s="1"/>
  <c r="O206" i="7"/>
  <c r="P207" i="7" a="1"/>
  <c r="P207" i="7" s="1"/>
  <c r="O207" i="7"/>
  <c r="P208" i="7" a="1"/>
  <c r="P208" i="7" s="1"/>
  <c r="O208" i="7"/>
  <c r="P209" i="7" a="1"/>
  <c r="P209" i="7" s="1"/>
  <c r="O209" i="7"/>
  <c r="P210" i="7" a="1"/>
  <c r="P210" i="7" s="1"/>
  <c r="O210" i="7"/>
  <c r="P211" i="7" a="1"/>
  <c r="P211" i="7" s="1"/>
  <c r="O211" i="7"/>
  <c r="P212" i="7" a="1"/>
  <c r="P212" i="7" s="1"/>
  <c r="O212" i="7"/>
  <c r="P213" i="7" a="1"/>
  <c r="P213" i="7" s="1"/>
  <c r="O213" i="7"/>
  <c r="P214" i="7" a="1"/>
  <c r="P214" i="7" s="1"/>
  <c r="O214" i="7"/>
  <c r="P215" i="7" a="1"/>
  <c r="P215" i="7" s="1"/>
  <c r="O215" i="7"/>
  <c r="P216" i="7" a="1"/>
  <c r="P216" i="7" s="1"/>
  <c r="O216" i="7"/>
  <c r="P217" i="7" a="1"/>
  <c r="P217" i="7" s="1"/>
  <c r="O217" i="7"/>
  <c r="P218" i="7" a="1"/>
  <c r="P218" i="7" s="1"/>
  <c r="O218" i="7"/>
  <c r="P219" i="7" a="1"/>
  <c r="P219" i="7" s="1"/>
  <c r="O219" i="7"/>
  <c r="P220" i="7" a="1"/>
  <c r="P220" i="7" s="1"/>
  <c r="O220" i="7"/>
  <c r="P221" i="7" a="1"/>
  <c r="P221" i="7" s="1"/>
  <c r="O221" i="7"/>
  <c r="P222" i="7" a="1"/>
  <c r="P222" i="7" s="1"/>
  <c r="O222" i="7"/>
  <c r="P223" i="7" a="1"/>
  <c r="P223" i="7" s="1"/>
  <c r="O223" i="7"/>
  <c r="P224" i="7" a="1"/>
  <c r="P224" i="7" s="1"/>
  <c r="O224" i="7"/>
  <c r="P225" i="7" a="1"/>
  <c r="P225" i="7" s="1"/>
  <c r="O225" i="7"/>
  <c r="P226" i="7" a="1"/>
  <c r="P226" i="7" s="1"/>
  <c r="O226" i="7"/>
  <c r="P227" i="7" a="1"/>
  <c r="P227" i="7" s="1"/>
  <c r="O227" i="7"/>
  <c r="P228" i="7" a="1"/>
  <c r="P228" i="7" s="1"/>
  <c r="O228" i="7"/>
  <c r="P229" i="7" a="1"/>
  <c r="P229" i="7" s="1"/>
  <c r="O229" i="7"/>
  <c r="P230" i="7" a="1"/>
  <c r="P230" i="7" s="1"/>
  <c r="O230" i="7"/>
  <c r="P231" i="7" a="1"/>
  <c r="P231" i="7" s="1"/>
  <c r="O231" i="7"/>
  <c r="P232" i="7" a="1"/>
  <c r="P232" i="7" s="1"/>
  <c r="O232" i="7"/>
  <c r="P233" i="7" a="1"/>
  <c r="P233" i="7" s="1"/>
  <c r="O233" i="7"/>
  <c r="P234" i="7" a="1"/>
  <c r="P234" i="7" s="1"/>
  <c r="O234" i="7"/>
  <c r="P235" i="7" a="1"/>
  <c r="P235" i="7" s="1"/>
  <c r="O235" i="7"/>
  <c r="P236" i="7" a="1"/>
  <c r="P236" i="7" s="1"/>
  <c r="O236" i="7"/>
  <c r="P237" i="7" a="1"/>
  <c r="P237" i="7" s="1"/>
  <c r="O237" i="7"/>
  <c r="P238" i="7" a="1"/>
  <c r="P238" i="7" s="1"/>
  <c r="O238" i="7"/>
  <c r="P239" i="7" a="1"/>
  <c r="P239" i="7" s="1"/>
  <c r="O239" i="7"/>
  <c r="P240" i="7" a="1"/>
  <c r="P240" i="7" s="1"/>
  <c r="O240" i="7"/>
  <c r="P241" i="7" a="1"/>
  <c r="P241" i="7" s="1"/>
  <c r="O241" i="7"/>
  <c r="P242" i="7" a="1"/>
  <c r="P242" i="7" s="1"/>
  <c r="O242" i="7"/>
  <c r="P243" i="7" a="1"/>
  <c r="P243" i="7" s="1"/>
  <c r="O243" i="7"/>
  <c r="P244" i="7" a="1"/>
  <c r="P244" i="7" s="1"/>
  <c r="O244" i="7"/>
  <c r="P245" i="7" a="1"/>
  <c r="P245" i="7" s="1"/>
  <c r="O245" i="7"/>
  <c r="P246" i="7" a="1"/>
  <c r="P246" i="7" s="1"/>
  <c r="O246" i="7"/>
  <c r="P247" i="7" a="1"/>
  <c r="P247" i="7" s="1"/>
  <c r="O247" i="7"/>
  <c r="P248" i="7" a="1"/>
  <c r="P248" i="7" s="1"/>
  <c r="O248" i="7"/>
  <c r="P249" i="7" a="1"/>
  <c r="P249" i="7" s="1"/>
  <c r="O249" i="7"/>
  <c r="P250" i="7" a="1"/>
  <c r="P250" i="7" s="1"/>
  <c r="O250" i="7"/>
  <c r="P251" i="7" a="1"/>
  <c r="P251" i="7" s="1"/>
  <c r="O251" i="7"/>
  <c r="P252" i="7" a="1"/>
  <c r="P252" i="7" s="1"/>
  <c r="O252" i="7"/>
  <c r="P253" i="7" a="1"/>
  <c r="P253" i="7" s="1"/>
  <c r="O253" i="7"/>
  <c r="P254" i="7" a="1"/>
  <c r="P254" i="7" s="1"/>
  <c r="O254" i="7"/>
  <c r="P255" i="7" a="1"/>
  <c r="P255" i="7" s="1"/>
  <c r="O255" i="7"/>
  <c r="P256" i="7" a="1"/>
  <c r="P256" i="7" s="1"/>
  <c r="O256" i="7"/>
  <c r="P257" i="7" a="1"/>
  <c r="P257" i="7" s="1"/>
  <c r="O257" i="7"/>
  <c r="P258" i="7" a="1"/>
  <c r="P258" i="7" s="1"/>
  <c r="O258" i="7"/>
  <c r="P259" i="7" a="1"/>
  <c r="P259" i="7" s="1"/>
  <c r="O259" i="7"/>
  <c r="P260" i="7" a="1"/>
  <c r="P260" i="7" s="1"/>
  <c r="O260" i="7"/>
  <c r="P261" i="7" a="1"/>
  <c r="P261" i="7" s="1"/>
  <c r="O261" i="7"/>
  <c r="P262" i="7" a="1"/>
  <c r="P262" i="7" s="1"/>
  <c r="O262" i="7"/>
  <c r="P263" i="7" a="1"/>
  <c r="P263" i="7" s="1"/>
  <c r="O263" i="7"/>
  <c r="P264" i="7" a="1"/>
  <c r="P264" i="7" s="1"/>
  <c r="O264" i="7"/>
  <c r="P265" i="7" a="1"/>
  <c r="P265" i="7" s="1"/>
  <c r="O265" i="7"/>
  <c r="P266" i="7" a="1"/>
  <c r="P266" i="7" s="1"/>
  <c r="O266" i="7"/>
  <c r="P267" i="7" a="1"/>
  <c r="P267" i="7" s="1"/>
  <c r="O267" i="7"/>
  <c r="P268" i="7" a="1"/>
  <c r="P268" i="7" s="1"/>
  <c r="O268" i="7"/>
  <c r="P269" i="7" a="1"/>
  <c r="P269" i="7" s="1"/>
  <c r="O269" i="7"/>
  <c r="P270" i="7" a="1"/>
  <c r="P270" i="7" s="1"/>
  <c r="O270" i="7"/>
  <c r="P271" i="7" a="1"/>
  <c r="P271" i="7" s="1"/>
  <c r="O271" i="7"/>
  <c r="P272" i="7" a="1"/>
  <c r="P272" i="7" s="1"/>
  <c r="O272" i="7"/>
  <c r="P273" i="7" a="1"/>
  <c r="P273" i="7" s="1"/>
  <c r="O273" i="7"/>
  <c r="P274" i="7" a="1"/>
  <c r="P274" i="7" s="1"/>
  <c r="O274" i="7"/>
  <c r="P275" i="7" a="1"/>
  <c r="P275" i="7" s="1"/>
  <c r="O275" i="7"/>
  <c r="P276" i="7" a="1"/>
  <c r="P276" i="7" s="1"/>
  <c r="O276" i="7"/>
  <c r="P277" i="7" a="1"/>
  <c r="P277" i="7" s="1"/>
  <c r="O277" i="7"/>
  <c r="P278" i="7" a="1"/>
  <c r="P278" i="7" s="1"/>
  <c r="O278" i="7"/>
  <c r="P279" i="7" a="1"/>
  <c r="P279" i="7" s="1"/>
  <c r="O279" i="7"/>
  <c r="P280" i="7" a="1"/>
  <c r="P280" i="7" s="1"/>
  <c r="O280" i="7"/>
  <c r="P281" i="7" a="1"/>
  <c r="P281" i="7" s="1"/>
  <c r="O281" i="7"/>
  <c r="P282" i="7" a="1"/>
  <c r="P282" i="7" s="1"/>
  <c r="O282" i="7"/>
  <c r="P283" i="7" a="1"/>
  <c r="P283" i="7" s="1"/>
  <c r="O283" i="7"/>
  <c r="P284" i="7" a="1"/>
  <c r="P284" i="7" s="1"/>
  <c r="O284" i="7"/>
  <c r="P285" i="7" a="1"/>
  <c r="P285" i="7" s="1"/>
  <c r="O285" i="7"/>
  <c r="P286" i="7" a="1"/>
  <c r="P286" i="7" s="1"/>
  <c r="O286" i="7"/>
  <c r="P287" i="7" a="1"/>
  <c r="P287" i="7" s="1"/>
  <c r="O287" i="7"/>
  <c r="P288" i="7" a="1"/>
  <c r="P288" i="7" s="1"/>
  <c r="O288" i="7"/>
  <c r="P289" i="7" a="1"/>
  <c r="P289" i="7" s="1"/>
  <c r="O289" i="7"/>
  <c r="P290" i="7" a="1"/>
  <c r="P290" i="7" s="1"/>
  <c r="O290" i="7"/>
  <c r="P291" i="7" a="1"/>
  <c r="P291" i="7" s="1"/>
  <c r="O291" i="7"/>
  <c r="P292" i="7" a="1"/>
  <c r="P292" i="7" s="1"/>
  <c r="O292" i="7"/>
  <c r="P293" i="7" a="1"/>
  <c r="P293" i="7" s="1"/>
  <c r="O293" i="7"/>
  <c r="P294" i="7" a="1"/>
  <c r="P294" i="7" s="1"/>
  <c r="O294" i="7"/>
  <c r="P295" i="7" a="1"/>
  <c r="P295" i="7" s="1"/>
  <c r="O295" i="7"/>
  <c r="P296" i="7" a="1"/>
  <c r="P296" i="7" s="1"/>
  <c r="O296" i="7"/>
  <c r="P297" i="7" a="1"/>
  <c r="P297" i="7" s="1"/>
  <c r="O297" i="7"/>
  <c r="P298" i="7" a="1"/>
  <c r="P298" i="7" s="1"/>
  <c r="O298" i="7"/>
  <c r="P299" i="7" a="1"/>
  <c r="P299" i="7" s="1"/>
  <c r="O299" i="7"/>
  <c r="P300" i="7" a="1"/>
  <c r="P300" i="7" s="1"/>
  <c r="O300" i="7"/>
  <c r="P301" i="7" a="1"/>
  <c r="P301" i="7" s="1"/>
  <c r="O301" i="7"/>
  <c r="P302" i="7" a="1"/>
  <c r="P302" i="7" s="1"/>
  <c r="O302" i="7"/>
  <c r="P303" i="7" a="1"/>
  <c r="P303" i="7" s="1"/>
  <c r="O303" i="7"/>
  <c r="P304" i="7" a="1"/>
  <c r="P304" i="7" s="1"/>
  <c r="O304" i="7"/>
  <c r="P305" i="7" a="1"/>
  <c r="P305" i="7" s="1"/>
  <c r="O305" i="7"/>
  <c r="P306" i="7" a="1"/>
  <c r="P306" i="7" s="1"/>
  <c r="O306" i="7"/>
  <c r="P307" i="7" a="1"/>
  <c r="P307" i="7" s="1"/>
  <c r="O307" i="7"/>
  <c r="P308" i="7" a="1"/>
  <c r="P308" i="7" s="1"/>
  <c r="O308" i="7"/>
  <c r="P309" i="7" a="1"/>
  <c r="P309" i="7" s="1"/>
  <c r="O309" i="7"/>
  <c r="P310" i="7" a="1"/>
  <c r="P310" i="7" s="1"/>
  <c r="O310" i="7"/>
  <c r="P311" i="7" a="1"/>
  <c r="P311" i="7" s="1"/>
  <c r="O311" i="7"/>
  <c r="P312" i="7" a="1"/>
  <c r="P312" i="7" s="1"/>
  <c r="O312" i="7"/>
  <c r="P313" i="7" a="1"/>
  <c r="P313" i="7" s="1"/>
  <c r="O313" i="7"/>
  <c r="P314" i="7" a="1"/>
  <c r="P314" i="7" s="1"/>
  <c r="O314" i="7"/>
  <c r="P315" i="7" a="1"/>
  <c r="P315" i="7" s="1"/>
  <c r="O315" i="7"/>
  <c r="P316" i="7" a="1"/>
  <c r="P316" i="7" s="1"/>
  <c r="O316" i="7"/>
  <c r="P317" i="7" a="1"/>
  <c r="P317" i="7" s="1"/>
  <c r="O317" i="7"/>
  <c r="P318" i="7" a="1"/>
  <c r="P318" i="7" s="1"/>
  <c r="O318" i="7"/>
  <c r="P319" i="7" a="1"/>
  <c r="P319" i="7" s="1"/>
  <c r="O319" i="7"/>
  <c r="P320" i="7" a="1"/>
  <c r="P320" i="7" s="1"/>
  <c r="O320" i="7"/>
  <c r="P321" i="7" a="1"/>
  <c r="P321" i="7" s="1"/>
  <c r="O321" i="7"/>
  <c r="P322" i="7" a="1"/>
  <c r="P322" i="7" s="1"/>
  <c r="O322" i="7"/>
  <c r="P323" i="7" a="1"/>
  <c r="P323" i="7" s="1"/>
  <c r="O323" i="7"/>
  <c r="P324" i="7" a="1"/>
  <c r="P324" i="7" s="1"/>
  <c r="O324" i="7"/>
  <c r="P325" i="7" a="1"/>
  <c r="P325" i="7" s="1"/>
  <c r="O325" i="7"/>
  <c r="P326" i="7" a="1"/>
  <c r="P326" i="7" s="1"/>
  <c r="O326" i="7"/>
  <c r="P327" i="7" a="1"/>
  <c r="P327" i="7" s="1"/>
  <c r="O327" i="7"/>
  <c r="P328" i="7" a="1"/>
  <c r="P328" i="7" s="1"/>
  <c r="O328" i="7"/>
  <c r="P329" i="7" a="1"/>
  <c r="P329" i="7" s="1"/>
  <c r="O329" i="7"/>
  <c r="P330" i="7" a="1"/>
  <c r="P330" i="7" s="1"/>
  <c r="O330" i="7"/>
  <c r="P331" i="7" a="1"/>
  <c r="P331" i="7" s="1"/>
  <c r="O331" i="7"/>
  <c r="P332" i="7" a="1"/>
  <c r="P332" i="7" s="1"/>
  <c r="O332" i="7"/>
  <c r="P333" i="7" a="1"/>
  <c r="P333" i="7" s="1"/>
  <c r="O333" i="7"/>
  <c r="P334" i="7" a="1"/>
  <c r="P334" i="7" s="1"/>
  <c r="O334" i="7"/>
  <c r="P335" i="7" a="1"/>
  <c r="P335" i="7" s="1"/>
  <c r="O335" i="7"/>
  <c r="P336" i="7" a="1"/>
  <c r="P336" i="7" s="1"/>
  <c r="O336" i="7"/>
  <c r="P337" i="7" a="1"/>
  <c r="P337" i="7" s="1"/>
  <c r="O337" i="7"/>
  <c r="P338" i="7" a="1"/>
  <c r="P338" i="7" s="1"/>
  <c r="O338" i="7"/>
  <c r="P339" i="7" a="1"/>
  <c r="P339" i="7" s="1"/>
  <c r="O339" i="7"/>
  <c r="P340" i="7" a="1"/>
  <c r="P340" i="7" s="1"/>
  <c r="O340" i="7"/>
  <c r="P341" i="7" a="1"/>
  <c r="P341" i="7" s="1"/>
  <c r="O341" i="7"/>
  <c r="P342" i="7" a="1"/>
  <c r="P342" i="7" s="1"/>
  <c r="O342" i="7"/>
  <c r="P343" i="7" a="1"/>
  <c r="P343" i="7" s="1"/>
  <c r="O343" i="7"/>
  <c r="P344" i="7" a="1"/>
  <c r="P344" i="7" s="1"/>
  <c r="O344" i="7"/>
  <c r="P345" i="7" a="1"/>
  <c r="P345" i="7" s="1"/>
  <c r="O345" i="7"/>
  <c r="P346" i="7" a="1"/>
  <c r="P346" i="7" s="1"/>
  <c r="O346" i="7"/>
  <c r="P347" i="7" a="1"/>
  <c r="P347" i="7" s="1"/>
  <c r="O347" i="7"/>
  <c r="P348" i="7" a="1"/>
  <c r="P348" i="7" s="1"/>
  <c r="O348" i="7"/>
  <c r="P349" i="7" a="1"/>
  <c r="P349" i="7" s="1"/>
  <c r="O349" i="7"/>
  <c r="P350" i="7" a="1"/>
  <c r="P350" i="7" s="1"/>
  <c r="O350" i="7"/>
  <c r="P351" i="7" a="1"/>
  <c r="P351" i="7" s="1"/>
  <c r="O351" i="7"/>
  <c r="P352" i="7" a="1"/>
  <c r="P352" i="7" s="1"/>
  <c r="O352" i="7"/>
  <c r="P353" i="7" a="1"/>
  <c r="P353" i="7" s="1"/>
  <c r="O353" i="7"/>
  <c r="P354" i="7" a="1"/>
  <c r="P354" i="7" s="1"/>
  <c r="O354" i="7"/>
  <c r="P355" i="7" a="1"/>
  <c r="P355" i="7" s="1"/>
  <c r="O355" i="7"/>
  <c r="P356" i="7" a="1"/>
  <c r="P356" i="7" s="1"/>
  <c r="O356" i="7"/>
  <c r="P357" i="7" a="1"/>
  <c r="P357" i="7" s="1"/>
  <c r="O357" i="7"/>
  <c r="P358" i="7" a="1"/>
  <c r="P358" i="7" s="1"/>
  <c r="O358" i="7"/>
  <c r="P359" i="7" a="1"/>
  <c r="P359" i="7" s="1"/>
  <c r="O359" i="7"/>
  <c r="P360" i="7" a="1"/>
  <c r="P360" i="7" s="1"/>
  <c r="O360" i="7"/>
  <c r="P361" i="7" a="1"/>
  <c r="P361" i="7" s="1"/>
  <c r="O361" i="7"/>
  <c r="P362" i="7" a="1"/>
  <c r="P362" i="7" s="1"/>
  <c r="O362" i="7"/>
  <c r="P363" i="7" a="1"/>
  <c r="P363" i="7" s="1"/>
  <c r="O363" i="7"/>
  <c r="P364" i="7" a="1"/>
  <c r="P364" i="7" s="1"/>
  <c r="O364" i="7"/>
  <c r="P365" i="7" a="1"/>
  <c r="P365" i="7" s="1"/>
  <c r="O365" i="7"/>
  <c r="P366" i="7" a="1"/>
  <c r="P366" i="7" s="1"/>
  <c r="O366" i="7"/>
  <c r="P367" i="7" a="1"/>
  <c r="P367" i="7" s="1"/>
  <c r="O367" i="7"/>
  <c r="P368" i="7" a="1"/>
  <c r="P368" i="7" s="1"/>
  <c r="O368" i="7"/>
  <c r="P369" i="7" a="1"/>
  <c r="P369" i="7" s="1"/>
  <c r="O369" i="7"/>
  <c r="P370" i="7" a="1"/>
  <c r="P370" i="7" s="1"/>
  <c r="O370" i="7"/>
  <c r="P371" i="7" a="1"/>
  <c r="P371" i="7" s="1"/>
  <c r="O371" i="7"/>
  <c r="P372" i="7" a="1"/>
  <c r="P372" i="7" s="1"/>
  <c r="O372" i="7"/>
  <c r="P373" i="7" a="1"/>
  <c r="P373" i="7" s="1"/>
  <c r="O373" i="7"/>
  <c r="P374" i="7" a="1"/>
  <c r="P374" i="7" s="1"/>
  <c r="O374" i="7"/>
  <c r="P375" i="7" a="1"/>
  <c r="P375" i="7" s="1"/>
  <c r="O375" i="7"/>
  <c r="P376" i="7" a="1"/>
  <c r="P376" i="7" s="1"/>
  <c r="O376" i="7"/>
  <c r="P377" i="7" a="1"/>
  <c r="P377" i="7" s="1"/>
  <c r="O377" i="7"/>
  <c r="P378" i="7" a="1"/>
  <c r="P378" i="7" s="1"/>
  <c r="O378" i="7"/>
  <c r="P379" i="7" a="1"/>
  <c r="P379" i="7" s="1"/>
  <c r="O379" i="7"/>
  <c r="P380" i="7" a="1"/>
  <c r="P380" i="7" s="1"/>
  <c r="O380" i="7"/>
  <c r="P381" i="7" a="1"/>
  <c r="P381" i="7" s="1"/>
  <c r="O381" i="7"/>
  <c r="P382" i="7" a="1"/>
  <c r="P382" i="7" s="1"/>
  <c r="O382" i="7"/>
  <c r="P383" i="7" a="1"/>
  <c r="P383" i="7" s="1"/>
  <c r="O383" i="7"/>
  <c r="P384" i="7" a="1"/>
  <c r="P384" i="7" s="1"/>
  <c r="O384" i="7"/>
  <c r="P385" i="7" a="1"/>
  <c r="P385" i="7" s="1"/>
  <c r="O385" i="7"/>
  <c r="P386" i="7" a="1"/>
  <c r="P386" i="7" s="1"/>
  <c r="O386" i="7"/>
  <c r="P387" i="7" a="1"/>
  <c r="P387" i="7" s="1"/>
  <c r="O387" i="7"/>
  <c r="P388" i="7" a="1"/>
  <c r="P388" i="7" s="1"/>
  <c r="O388" i="7"/>
  <c r="P389" i="7" a="1"/>
  <c r="P389" i="7" s="1"/>
  <c r="O389" i="7"/>
  <c r="P390" i="7" a="1"/>
  <c r="P390" i="7" s="1"/>
  <c r="O390" i="7"/>
  <c r="P391" i="7" a="1"/>
  <c r="P391" i="7" s="1"/>
  <c r="O391" i="7"/>
  <c r="P392" i="7" a="1"/>
  <c r="P392" i="7" s="1"/>
  <c r="O392" i="7"/>
  <c r="P393" i="7" a="1"/>
  <c r="P393" i="7" s="1"/>
  <c r="O393" i="7"/>
  <c r="P394" i="7" a="1"/>
  <c r="P394" i="7" s="1"/>
  <c r="O394" i="7"/>
  <c r="P395" i="7" a="1"/>
  <c r="P395" i="7" s="1"/>
  <c r="O395" i="7"/>
  <c r="P396" i="7" a="1"/>
  <c r="P396" i="7" s="1"/>
  <c r="O396" i="7"/>
  <c r="P397" i="7" a="1"/>
  <c r="P397" i="7" s="1"/>
  <c r="O397" i="7"/>
  <c r="P398" i="7" a="1"/>
  <c r="P398" i="7" s="1"/>
  <c r="O398" i="7"/>
  <c r="P399" i="7" a="1"/>
  <c r="P399" i="7" s="1"/>
  <c r="O399" i="7"/>
  <c r="P400" i="7" a="1"/>
  <c r="P400" i="7" s="1"/>
  <c r="O400" i="7"/>
  <c r="P401" i="7" a="1"/>
  <c r="P401" i="7" s="1"/>
  <c r="O401" i="7"/>
  <c r="P402" i="7" a="1"/>
  <c r="P402" i="7" s="1"/>
  <c r="O402" i="7"/>
  <c r="P403" i="7" a="1"/>
  <c r="P403" i="7" s="1"/>
  <c r="O403" i="7"/>
  <c r="P404" i="7" a="1"/>
  <c r="P404" i="7" s="1"/>
  <c r="O404" i="7"/>
  <c r="P405" i="7" a="1"/>
  <c r="P405" i="7" s="1"/>
  <c r="O405" i="7"/>
  <c r="P406" i="7" a="1"/>
  <c r="P406" i="7" s="1"/>
  <c r="O406" i="7"/>
  <c r="P407" i="7" a="1"/>
  <c r="P407" i="7" s="1"/>
  <c r="O407" i="7"/>
  <c r="P408" i="7" a="1"/>
  <c r="P408" i="7" s="1"/>
  <c r="O408" i="7"/>
  <c r="P409" i="7" a="1"/>
  <c r="P409" i="7" s="1"/>
  <c r="O409" i="7"/>
  <c r="P410" i="7" a="1"/>
  <c r="P410" i="7" s="1"/>
  <c r="O410" i="7"/>
  <c r="P411" i="7" a="1"/>
  <c r="P411" i="7" s="1"/>
  <c r="O411" i="7"/>
  <c r="P412" i="7" a="1"/>
  <c r="P412" i="7" s="1"/>
  <c r="O412" i="7"/>
  <c r="P413" i="7" a="1"/>
  <c r="P413" i="7" s="1"/>
  <c r="O413" i="7"/>
  <c r="P414" i="7" a="1"/>
  <c r="P414" i="7" s="1"/>
  <c r="O414" i="7"/>
  <c r="P415" i="7" a="1"/>
  <c r="P415" i="7" s="1"/>
  <c r="O415" i="7"/>
  <c r="P416" i="7" a="1"/>
  <c r="P416" i="7" s="1"/>
  <c r="O416" i="7"/>
  <c r="P417" i="7" a="1"/>
  <c r="P417" i="7" s="1"/>
  <c r="O417" i="7"/>
  <c r="P418" i="7" a="1"/>
  <c r="P418" i="7" s="1"/>
  <c r="O418" i="7"/>
  <c r="P419" i="7" a="1"/>
  <c r="P419" i="7" s="1"/>
  <c r="O419" i="7"/>
  <c r="P420" i="7" a="1"/>
  <c r="P420" i="7" s="1"/>
  <c r="O420" i="7"/>
  <c r="P421" i="7" a="1"/>
  <c r="P421" i="7" s="1"/>
  <c r="O421" i="7"/>
  <c r="P422" i="7" a="1"/>
  <c r="P422" i="7" s="1"/>
  <c r="O422" i="7"/>
  <c r="P423" i="7" a="1"/>
  <c r="P423" i="7" s="1"/>
  <c r="O423" i="7"/>
  <c r="P424" i="7" a="1"/>
  <c r="P424" i="7" s="1"/>
  <c r="O424" i="7"/>
  <c r="P425" i="7" a="1"/>
  <c r="P425" i="7" s="1"/>
  <c r="O425" i="7"/>
  <c r="P426" i="7" a="1"/>
  <c r="P426" i="7" s="1"/>
  <c r="O426" i="7"/>
  <c r="P427" i="7" a="1"/>
  <c r="P427" i="7" s="1"/>
  <c r="O427" i="7"/>
  <c r="P428" i="7" a="1"/>
  <c r="P428" i="7" s="1"/>
  <c r="O428" i="7"/>
  <c r="P429" i="7" a="1"/>
  <c r="P429" i="7" s="1"/>
  <c r="O429" i="7"/>
  <c r="P430" i="7" a="1"/>
  <c r="P430" i="7" s="1"/>
  <c r="O430" i="7"/>
  <c r="P431" i="7" a="1"/>
  <c r="P431" i="7" s="1"/>
  <c r="O431" i="7"/>
  <c r="P432" i="7" a="1"/>
  <c r="P432" i="7" s="1"/>
  <c r="O432" i="7"/>
  <c r="P433" i="7" a="1"/>
  <c r="P433" i="7" s="1"/>
  <c r="O433" i="7"/>
  <c r="P434" i="7" a="1"/>
  <c r="P434" i="7" s="1"/>
  <c r="O434" i="7"/>
  <c r="P435" i="7" a="1"/>
  <c r="P435" i="7" s="1"/>
  <c r="O435" i="7"/>
  <c r="P436" i="7" a="1"/>
  <c r="P436" i="7" s="1"/>
  <c r="O436" i="7"/>
  <c r="P437" i="7" a="1"/>
  <c r="P437" i="7" s="1"/>
  <c r="O437" i="7"/>
  <c r="P438" i="7" a="1"/>
  <c r="P438" i="7" s="1"/>
  <c r="O438" i="7"/>
  <c r="P439" i="7" a="1"/>
  <c r="P439" i="7" s="1"/>
  <c r="O439" i="7"/>
  <c r="P440" i="7" a="1"/>
  <c r="P440" i="7" s="1"/>
  <c r="O440" i="7"/>
  <c r="P441" i="7" a="1"/>
  <c r="P441" i="7" s="1"/>
  <c r="O441" i="7"/>
  <c r="P442" i="7" a="1"/>
  <c r="P442" i="7" s="1"/>
  <c r="O442" i="7"/>
  <c r="P443" i="7" a="1"/>
  <c r="P443" i="7" s="1"/>
  <c r="O443" i="7"/>
  <c r="P444" i="7" a="1"/>
  <c r="P444" i="7" s="1"/>
  <c r="O444" i="7"/>
  <c r="P445" i="7" a="1"/>
  <c r="P445" i="7" s="1"/>
  <c r="O445" i="7"/>
  <c r="P446" i="7" a="1"/>
  <c r="P446" i="7" s="1"/>
  <c r="O446" i="7"/>
  <c r="P447" i="7" a="1"/>
  <c r="P447" i="7" s="1"/>
  <c r="O447" i="7"/>
  <c r="P448" i="7" a="1"/>
  <c r="P448" i="7" s="1"/>
  <c r="O448" i="7"/>
  <c r="P449" i="7" a="1"/>
  <c r="P449" i="7" s="1"/>
  <c r="O449" i="7"/>
  <c r="P450" i="7" a="1"/>
  <c r="P450" i="7" s="1"/>
  <c r="O450" i="7"/>
  <c r="P451" i="7" a="1"/>
  <c r="P451" i="7" s="1"/>
  <c r="O451" i="7"/>
  <c r="P452" i="7" a="1"/>
  <c r="P452" i="7" s="1"/>
  <c r="O452" i="7"/>
  <c r="P453" i="7" a="1"/>
  <c r="P453" i="7" s="1"/>
  <c r="O453" i="7"/>
  <c r="P454" i="7" a="1"/>
  <c r="P454" i="7" s="1"/>
  <c r="O454" i="7"/>
  <c r="P455" i="7" a="1"/>
  <c r="P455" i="7" s="1"/>
  <c r="O455" i="7"/>
  <c r="P456" i="7" a="1"/>
  <c r="P456" i="7" s="1"/>
  <c r="O456" i="7"/>
  <c r="P457" i="7" a="1"/>
  <c r="P457" i="7" s="1"/>
  <c r="O457" i="7"/>
  <c r="P458" i="7" a="1"/>
  <c r="P458" i="7" s="1"/>
  <c r="O458" i="7"/>
  <c r="P459" i="7" a="1"/>
  <c r="P459" i="7" s="1"/>
  <c r="O459" i="7"/>
  <c r="P460" i="7" a="1"/>
  <c r="P460" i="7" s="1"/>
  <c r="O460" i="7"/>
  <c r="P461" i="7" a="1"/>
  <c r="P461" i="7" s="1"/>
  <c r="O461" i="7"/>
  <c r="P462" i="7" a="1"/>
  <c r="P462" i="7" s="1"/>
  <c r="O462" i="7"/>
  <c r="P463" i="7" a="1"/>
  <c r="P463" i="7" s="1"/>
  <c r="O463" i="7"/>
  <c r="P464" i="7" a="1"/>
  <c r="P464" i="7" s="1"/>
  <c r="O464" i="7"/>
  <c r="P465" i="7" a="1"/>
  <c r="P465" i="7" s="1"/>
  <c r="O465" i="7"/>
  <c r="P466" i="7" a="1"/>
  <c r="P466" i="7" s="1"/>
  <c r="O466" i="7"/>
  <c r="P467" i="7" a="1"/>
  <c r="P467" i="7" s="1"/>
  <c r="O467" i="7"/>
  <c r="P468" i="7" a="1"/>
  <c r="P468" i="7" s="1"/>
  <c r="O468" i="7"/>
  <c r="P469" i="7" a="1"/>
  <c r="P469" i="7" s="1"/>
  <c r="O469" i="7"/>
  <c r="P470" i="7" a="1"/>
  <c r="P470" i="7" s="1"/>
  <c r="O470" i="7"/>
  <c r="P471" i="7" a="1"/>
  <c r="P471" i="7" s="1"/>
  <c r="O471" i="7"/>
  <c r="P472" i="7" a="1"/>
  <c r="P472" i="7" s="1"/>
  <c r="O472" i="7"/>
  <c r="P473" i="7" a="1"/>
  <c r="P473" i="7" s="1"/>
  <c r="O473" i="7"/>
  <c r="P474" i="7" a="1"/>
  <c r="P474" i="7" s="1"/>
  <c r="O474" i="7"/>
  <c r="P475" i="7" a="1"/>
  <c r="P475" i="7" s="1"/>
  <c r="O475" i="7"/>
  <c r="P476" i="7" a="1"/>
  <c r="P476" i="7" s="1"/>
  <c r="O476" i="7"/>
  <c r="P477" i="7" a="1"/>
  <c r="P477" i="7" s="1"/>
  <c r="O477" i="7"/>
  <c r="P478" i="7" a="1"/>
  <c r="P478" i="7" s="1"/>
  <c r="O478" i="7"/>
  <c r="P479" i="7" a="1"/>
  <c r="P479" i="7" s="1"/>
  <c r="O479" i="7"/>
  <c r="P480" i="7" a="1"/>
  <c r="P480" i="7" s="1"/>
  <c r="O480" i="7"/>
  <c r="P481" i="7" a="1"/>
  <c r="P481" i="7" s="1"/>
  <c r="O481" i="7"/>
  <c r="P482" i="7" a="1"/>
  <c r="P482" i="7" s="1"/>
  <c r="O482" i="7"/>
  <c r="P483" i="7" a="1"/>
  <c r="P483" i="7" s="1"/>
  <c r="O483" i="7"/>
  <c r="P484" i="7" a="1"/>
  <c r="P484" i="7" s="1"/>
  <c r="O484" i="7"/>
  <c r="P485" i="7" a="1"/>
  <c r="P485" i="7" s="1"/>
  <c r="O485" i="7"/>
  <c r="P486" i="7" a="1"/>
  <c r="P486" i="7" s="1"/>
  <c r="O486" i="7"/>
  <c r="P487" i="7" a="1"/>
  <c r="P487" i="7" s="1"/>
  <c r="O487" i="7"/>
  <c r="P488" i="7" a="1"/>
  <c r="P488" i="7" s="1"/>
  <c r="O488" i="7"/>
  <c r="P489" i="7" a="1"/>
  <c r="P489" i="7" s="1"/>
  <c r="O489" i="7"/>
  <c r="P490" i="7" a="1"/>
  <c r="P490" i="7" s="1"/>
  <c r="O490" i="7"/>
  <c r="P491" i="7" a="1"/>
  <c r="P491" i="7" s="1"/>
  <c r="O491" i="7"/>
  <c r="P492" i="7" a="1"/>
  <c r="P492" i="7" s="1"/>
  <c r="O492" i="7"/>
  <c r="P493" i="7" a="1"/>
  <c r="P493" i="7" s="1"/>
  <c r="O493" i="7"/>
  <c r="P494" i="7" a="1"/>
  <c r="P494" i="7" s="1"/>
  <c r="O494" i="7"/>
  <c r="P495" i="7" a="1"/>
  <c r="P495" i="7" s="1"/>
  <c r="O495" i="7"/>
  <c r="P496" i="7" a="1"/>
  <c r="P496" i="7" s="1"/>
  <c r="O496" i="7"/>
  <c r="P497" i="7" a="1"/>
  <c r="P497" i="7" s="1"/>
  <c r="O497" i="7"/>
  <c r="P498" i="7" a="1"/>
  <c r="P498" i="7" s="1"/>
  <c r="O498" i="7"/>
  <c r="P499" i="7" a="1"/>
  <c r="P499" i="7" s="1"/>
  <c r="O499" i="7"/>
  <c r="P500" i="7" a="1"/>
  <c r="P500" i="7" s="1"/>
  <c r="O500" i="7"/>
  <c r="O501" i="7"/>
  <c r="C7" i="7"/>
  <c r="E2" i="7" s="1"/>
  <c r="I2" i="7" s="1"/>
  <c r="G3" i="7" s="1"/>
  <c r="J3" i="5"/>
  <c r="K3" i="5"/>
  <c r="L3" i="5"/>
  <c r="B7" i="4"/>
  <c r="D4" i="4" s="1"/>
  <c r="D3" i="4"/>
  <c r="F3" i="4" s="1"/>
  <c r="G4" i="3"/>
  <c r="G5" i="3"/>
  <c r="G6" i="3"/>
  <c r="G7" i="3"/>
  <c r="G8" i="3"/>
  <c r="G9" i="3"/>
  <c r="G10" i="3"/>
  <c r="G11" i="3"/>
  <c r="G12" i="3"/>
  <c r="G3" i="3"/>
  <c r="E14" i="2"/>
  <c r="D14" i="2"/>
  <c r="C14" i="2"/>
  <c r="G14" i="2" s="1"/>
  <c r="F17" i="1"/>
  <c r="F94" i="1" s="1"/>
  <c r="F62" i="1"/>
  <c r="G17" i="1"/>
  <c r="G91" i="1" s="1"/>
  <c r="E17" i="1"/>
  <c r="E34" i="1" s="1"/>
  <c r="F35" i="1"/>
  <c r="F27" i="1"/>
  <c r="F110" i="1"/>
  <c r="F78" i="1"/>
  <c r="F44" i="1"/>
  <c r="F43" i="1"/>
  <c r="F38" i="1"/>
  <c r="F61" i="1"/>
  <c r="F77" i="1"/>
  <c r="F81" i="1"/>
  <c r="F89" i="1"/>
  <c r="F97" i="1"/>
  <c r="F105" i="1"/>
  <c r="F19" i="1"/>
  <c r="F55" i="1"/>
  <c r="F59" i="1"/>
  <c r="F67" i="1"/>
  <c r="F99" i="1"/>
  <c r="F107" i="1"/>
  <c r="F37" i="1"/>
  <c r="F64" i="1"/>
  <c r="F68" i="1"/>
  <c r="F76" i="1"/>
  <c r="F80" i="1"/>
  <c r="F84" i="1"/>
  <c r="F88" i="1"/>
  <c r="F25" i="1"/>
  <c r="F87" i="1"/>
  <c r="F95" i="1"/>
  <c r="F32" i="1"/>
  <c r="F36" i="1"/>
  <c r="F118" i="1"/>
  <c r="F98" i="1"/>
  <c r="F82" i="1"/>
  <c r="G26" i="1"/>
  <c r="G113" i="1"/>
  <c r="L78" i="4"/>
  <c r="L94" i="4"/>
  <c r="L80" i="4"/>
  <c r="L52" i="4"/>
  <c r="L51" i="4"/>
  <c r="C7" i="4"/>
  <c r="L81" i="4"/>
  <c r="L32" i="4"/>
  <c r="L83" i="4"/>
  <c r="L29" i="4"/>
  <c r="E5" i="4"/>
  <c r="E4" i="4"/>
  <c r="L100" i="4"/>
  <c r="L48" i="4"/>
  <c r="L68" i="4"/>
  <c r="L82" i="4"/>
  <c r="L87" i="4"/>
  <c r="L91" i="4"/>
  <c r="H3" i="3"/>
  <c r="L93" i="4"/>
  <c r="L75" i="4"/>
  <c r="L22" i="4"/>
  <c r="L4" i="4"/>
  <c r="L64" i="4"/>
  <c r="L62" i="4"/>
  <c r="D15" i="2"/>
  <c r="L47" i="4"/>
  <c r="L11" i="4"/>
  <c r="L84" i="4"/>
  <c r="L97" i="4"/>
  <c r="L15" i="4"/>
  <c r="H4" i="3"/>
  <c r="L16" i="4"/>
  <c r="L85" i="4"/>
  <c r="L34" i="4"/>
  <c r="H6" i="3"/>
  <c r="L53" i="4"/>
  <c r="H12" i="3"/>
  <c r="L28" i="4"/>
  <c r="L10" i="4"/>
  <c r="L90" i="4"/>
  <c r="L7" i="4"/>
  <c r="L9" i="4"/>
  <c r="L25" i="4"/>
  <c r="L26" i="4"/>
  <c r="L58" i="4"/>
  <c r="L56" i="4"/>
  <c r="L76" i="4"/>
  <c r="L3" i="4"/>
  <c r="L55" i="4"/>
  <c r="L41" i="4"/>
  <c r="L92" i="4"/>
  <c r="L24" i="4"/>
  <c r="L95" i="4"/>
  <c r="L96" i="4"/>
  <c r="L45" i="4"/>
  <c r="H9" i="3"/>
  <c r="L61" i="4"/>
  <c r="L71" i="4"/>
  <c r="L57" i="4"/>
  <c r="L102" i="4"/>
  <c r="L73" i="4"/>
  <c r="E15" i="2"/>
  <c r="L38" i="4"/>
  <c r="H7" i="3"/>
  <c r="L67" i="4"/>
  <c r="L8" i="4"/>
  <c r="L99" i="4"/>
  <c r="L59" i="4"/>
  <c r="L72" i="4"/>
  <c r="L101" i="4"/>
  <c r="C13" i="2"/>
  <c r="L19" i="4"/>
  <c r="L36" i="4"/>
  <c r="L98" i="4"/>
  <c r="L86" i="4"/>
  <c r="L5" i="4"/>
  <c r="L6" i="4"/>
  <c r="L60" i="4"/>
  <c r="L20" i="4"/>
  <c r="L14" i="4"/>
  <c r="L77" i="4"/>
  <c r="H11" i="3"/>
  <c r="L40" i="4"/>
  <c r="L17" i="4"/>
  <c r="L13" i="4"/>
  <c r="H10" i="3"/>
  <c r="L79" i="4"/>
  <c r="L65" i="4"/>
  <c r="L27" i="4"/>
  <c r="C11" i="2"/>
  <c r="L69" i="4"/>
  <c r="L37" i="4"/>
  <c r="L46" i="4"/>
  <c r="L49" i="4"/>
  <c r="E11" i="2"/>
  <c r="L63" i="4"/>
  <c r="D13" i="2"/>
  <c r="L74" i="4"/>
  <c r="L42" i="4"/>
  <c r="E6" i="4"/>
  <c r="L21" i="4"/>
  <c r="L54" i="4"/>
  <c r="L44" i="4"/>
  <c r="E13" i="2"/>
  <c r="D11" i="2"/>
  <c r="L12" i="4"/>
  <c r="L89" i="4"/>
  <c r="L18" i="4"/>
  <c r="L50" i="4"/>
  <c r="L33" i="4"/>
  <c r="G15" i="2"/>
  <c r="L70" i="4"/>
  <c r="H5" i="3"/>
  <c r="C15" i="2"/>
  <c r="L66" i="4"/>
  <c r="L30" i="4"/>
  <c r="L88" i="4"/>
  <c r="L31" i="4"/>
  <c r="L23" i="4"/>
  <c r="L43" i="4"/>
  <c r="L39" i="4"/>
  <c r="L35" i="4"/>
  <c r="H8" i="3"/>
  <c r="E3" i="4"/>
  <c r="R140" i="7" l="1"/>
  <c r="R134" i="7"/>
  <c r="R128" i="7"/>
  <c r="R122" i="7"/>
  <c r="R116" i="7"/>
  <c r="Q104" i="7"/>
  <c r="Q98" i="7"/>
  <c r="R92" i="7"/>
  <c r="R80" i="7"/>
  <c r="Q74" i="7"/>
  <c r="R68" i="7"/>
  <c r="Q62" i="7"/>
  <c r="R50" i="7"/>
  <c r="R44" i="7"/>
  <c r="Q38" i="7"/>
  <c r="Q26" i="7"/>
  <c r="R20" i="7"/>
  <c r="Q8" i="7"/>
  <c r="R70" i="7"/>
  <c r="Q64" i="7"/>
  <c r="Q58" i="7"/>
  <c r="R52" i="7"/>
  <c r="R46" i="7"/>
  <c r="Q40" i="7"/>
  <c r="R34" i="7"/>
  <c r="Q383" i="7"/>
  <c r="Q377" i="7"/>
  <c r="Q371" i="7"/>
  <c r="R365" i="7"/>
  <c r="Q353" i="7"/>
  <c r="R347" i="7"/>
  <c r="Q335" i="7"/>
  <c r="R329" i="7"/>
  <c r="Q323" i="7"/>
  <c r="R317" i="7"/>
  <c r="R311" i="7"/>
  <c r="Q305" i="7"/>
  <c r="R299" i="7"/>
  <c r="R293" i="7"/>
  <c r="Q287" i="7"/>
  <c r="Q281" i="7"/>
  <c r="R269" i="7"/>
  <c r="Q263" i="7"/>
  <c r="R257" i="7"/>
  <c r="Q251" i="7"/>
  <c r="Q245" i="7"/>
  <c r="R239" i="7"/>
  <c r="Q233" i="7"/>
  <c r="Q227" i="7"/>
  <c r="Q221" i="7"/>
  <c r="Q215" i="7"/>
  <c r="R209" i="7"/>
  <c r="Q203" i="7"/>
  <c r="R112" i="7"/>
  <c r="Q100" i="7"/>
  <c r="Q94" i="7"/>
  <c r="R82" i="7"/>
  <c r="R197" i="7"/>
  <c r="Q191" i="7"/>
  <c r="Q179" i="7"/>
  <c r="R173" i="7"/>
  <c r="Q167" i="7"/>
  <c r="Q161" i="7"/>
  <c r="Q155" i="7"/>
  <c r="R149" i="7"/>
  <c r="Q143" i="7"/>
  <c r="Q137" i="7"/>
  <c r="R131" i="7"/>
  <c r="Q125" i="7"/>
  <c r="Q119" i="7"/>
  <c r="R113" i="7"/>
  <c r="Q107" i="7"/>
  <c r="Q101" i="7"/>
  <c r="Q95" i="7"/>
  <c r="Q89" i="7"/>
  <c r="R83" i="7"/>
  <c r="Q77" i="7"/>
  <c r="Q71" i="7"/>
  <c r="R65" i="7"/>
  <c r="Q59" i="7"/>
  <c r="R53" i="7"/>
  <c r="Q47" i="7"/>
  <c r="Q41" i="7"/>
  <c r="Q35" i="7"/>
  <c r="R278" i="7"/>
  <c r="Q218" i="7"/>
  <c r="Q182" i="7"/>
  <c r="R158" i="7"/>
  <c r="R152" i="7"/>
  <c r="R452" i="7"/>
  <c r="Q410" i="7"/>
  <c r="R386" i="7"/>
  <c r="R344" i="7"/>
  <c r="R302" i="7"/>
  <c r="R272" i="7"/>
  <c r="Q248" i="7"/>
  <c r="R206" i="7"/>
  <c r="Q176" i="7"/>
  <c r="R464" i="7"/>
  <c r="Q434" i="7"/>
  <c r="R404" i="7"/>
  <c r="R374" i="7"/>
  <c r="Q350" i="7"/>
  <c r="R296" i="7"/>
  <c r="R266" i="7"/>
  <c r="R188" i="7"/>
  <c r="R446" i="7"/>
  <c r="R416" i="7"/>
  <c r="R380" i="7"/>
  <c r="Q284" i="7"/>
  <c r="Q254" i="7"/>
  <c r="R230" i="7"/>
  <c r="Q194" i="7"/>
  <c r="R488" i="7"/>
  <c r="R440" i="7"/>
  <c r="R422" i="7"/>
  <c r="Q398" i="7"/>
  <c r="R362" i="7"/>
  <c r="Q338" i="7"/>
  <c r="Q314" i="7"/>
  <c r="Q290" i="7"/>
  <c r="R260" i="7"/>
  <c r="Q242" i="7"/>
  <c r="R236" i="7"/>
  <c r="Q212" i="7"/>
  <c r="R200" i="7"/>
  <c r="R170" i="7"/>
  <c r="R352" i="7"/>
  <c r="R142" i="7"/>
  <c r="R358" i="7"/>
  <c r="R274" i="7"/>
  <c r="Q256" i="7"/>
  <c r="R220" i="7"/>
  <c r="Q166" i="7"/>
  <c r="R160" i="7"/>
  <c r="Q154" i="7"/>
  <c r="Q148" i="7"/>
  <c r="Q136" i="7"/>
  <c r="Q124" i="7"/>
  <c r="Q88" i="7"/>
  <c r="E4" i="7"/>
  <c r="E3" i="7"/>
  <c r="I3" i="7" s="1"/>
  <c r="G4" i="7" s="1"/>
  <c r="I4" i="7" s="1"/>
  <c r="G5" i="7" s="1"/>
  <c r="Q364" i="7"/>
  <c r="Q280" i="7"/>
  <c r="R250" i="7"/>
  <c r="R394" i="7"/>
  <c r="R340" i="7"/>
  <c r="Q304" i="7"/>
  <c r="R286" i="7"/>
  <c r="R262" i="7"/>
  <c r="Q196" i="7"/>
  <c r="Q208" i="7"/>
  <c r="Q232" i="7"/>
  <c r="Q376" i="7"/>
  <c r="Q268" i="7"/>
  <c r="R184" i="7"/>
  <c r="R498" i="7"/>
  <c r="Q492" i="7"/>
  <c r="R486" i="7"/>
  <c r="R480" i="7"/>
  <c r="R474" i="7"/>
  <c r="Q468" i="7"/>
  <c r="R462" i="7"/>
  <c r="R456" i="7"/>
  <c r="Q450" i="7"/>
  <c r="R444" i="7"/>
  <c r="R438" i="7"/>
  <c r="R432" i="7"/>
  <c r="Q426" i="7"/>
  <c r="R420" i="7"/>
  <c r="R414" i="7"/>
  <c r="Q408" i="7"/>
  <c r="Q402" i="7"/>
  <c r="R384" i="7"/>
  <c r="R378" i="7"/>
  <c r="Q372" i="7"/>
  <c r="Q366" i="7"/>
  <c r="Q348" i="7"/>
  <c r="R342" i="7"/>
  <c r="Q330" i="7"/>
  <c r="R312" i="7"/>
  <c r="R306" i="7"/>
  <c r="Q294" i="7"/>
  <c r="Q282" i="7"/>
  <c r="Q276" i="7"/>
  <c r="Q270" i="7"/>
  <c r="Q264" i="7"/>
  <c r="Q246" i="7"/>
  <c r="Q240" i="7"/>
  <c r="Q234" i="7"/>
  <c r="Q228" i="7"/>
  <c r="R222" i="7"/>
  <c r="R216" i="7"/>
  <c r="Q210" i="7"/>
  <c r="R198" i="7"/>
  <c r="Q192" i="7"/>
  <c r="R186" i="7"/>
  <c r="Q180" i="7"/>
  <c r="R174" i="7"/>
  <c r="Q168" i="7"/>
  <c r="Q162" i="7"/>
  <c r="Q156" i="7"/>
  <c r="Q138" i="7"/>
  <c r="R126" i="7"/>
  <c r="Q120" i="7"/>
  <c r="R114" i="7"/>
  <c r="R108" i="7"/>
  <c r="Q96" i="7"/>
  <c r="Q90" i="7"/>
  <c r="Q78" i="7"/>
  <c r="Q72" i="7"/>
  <c r="Q66" i="7"/>
  <c r="Q54" i="7"/>
  <c r="R42" i="7"/>
  <c r="Q30" i="7"/>
  <c r="Q24" i="7"/>
  <c r="G67" i="1"/>
  <c r="G80" i="1"/>
  <c r="G100" i="1"/>
  <c r="G68" i="1"/>
  <c r="G118" i="1"/>
  <c r="F29" i="1"/>
  <c r="F71" i="1"/>
  <c r="F57" i="1"/>
  <c r="E24" i="1"/>
  <c r="G59" i="1"/>
  <c r="G106" i="1"/>
  <c r="G48" i="1"/>
  <c r="G115" i="1"/>
  <c r="G40" i="1"/>
  <c r="F92" i="1"/>
  <c r="F63" i="1"/>
  <c r="F47" i="1"/>
  <c r="G83" i="1"/>
  <c r="G23" i="1"/>
  <c r="G30" i="1"/>
  <c r="G99" i="1"/>
  <c r="G95" i="1"/>
  <c r="G53" i="1"/>
  <c r="G28" i="1"/>
  <c r="G20" i="1"/>
  <c r="G54" i="1"/>
  <c r="G57" i="1"/>
  <c r="G84" i="1"/>
  <c r="G88" i="1"/>
  <c r="E82" i="1"/>
  <c r="G37" i="1"/>
  <c r="G108" i="1"/>
  <c r="G58" i="1"/>
  <c r="G32" i="1"/>
  <c r="G94" i="1"/>
  <c r="G101" i="1"/>
  <c r="F91" i="1"/>
  <c r="F45" i="1"/>
  <c r="F101" i="1"/>
  <c r="F40" i="1"/>
  <c r="E93" i="1"/>
  <c r="G56" i="1"/>
  <c r="G61" i="1"/>
  <c r="G105" i="1"/>
  <c r="G107" i="1"/>
  <c r="G98" i="1"/>
  <c r="E47" i="1"/>
  <c r="G102" i="1"/>
  <c r="G109" i="1"/>
  <c r="F33" i="1"/>
  <c r="F20" i="1"/>
  <c r="F93" i="1"/>
  <c r="F4" i="4"/>
  <c r="K88" i="4"/>
  <c r="K100" i="4"/>
  <c r="K45" i="4"/>
  <c r="K69" i="4"/>
  <c r="K65" i="4"/>
  <c r="K77" i="4"/>
  <c r="K89" i="4"/>
  <c r="K101" i="4"/>
  <c r="K92" i="4"/>
  <c r="K33" i="4"/>
  <c r="K6" i="4"/>
  <c r="K18" i="4"/>
  <c r="K91" i="4"/>
  <c r="K20" i="4"/>
  <c r="K44" i="4"/>
  <c r="K68" i="4"/>
  <c r="K22" i="4"/>
  <c r="K34" i="4"/>
  <c r="K46" i="4"/>
  <c r="K58" i="4"/>
  <c r="K60" i="4"/>
  <c r="K72" i="4"/>
  <c r="K84" i="4"/>
  <c r="K96" i="4"/>
  <c r="K97" i="4"/>
  <c r="K71" i="4"/>
  <c r="K14" i="4"/>
  <c r="K26" i="4"/>
  <c r="K27" i="4"/>
  <c r="K39" i="4"/>
  <c r="K51" i="4"/>
  <c r="K63" i="4"/>
  <c r="Q454" i="7"/>
  <c r="Q418" i="7"/>
  <c r="D72" i="7"/>
  <c r="B72" i="7"/>
  <c r="Q442" i="7"/>
  <c r="R496" i="7"/>
  <c r="Q478" i="7"/>
  <c r="Q448" i="7"/>
  <c r="R436" i="7"/>
  <c r="Q412" i="7"/>
  <c r="R460" i="7"/>
  <c r="R406" i="7"/>
  <c r="R472" i="7"/>
  <c r="R400" i="7"/>
  <c r="Q455" i="7"/>
  <c r="Q469" i="7"/>
  <c r="R457" i="7"/>
  <c r="Q433" i="7"/>
  <c r="R397" i="7"/>
  <c r="Q379" i="7"/>
  <c r="Q373" i="7"/>
  <c r="Q361" i="7"/>
  <c r="Q343" i="7"/>
  <c r="R325" i="7"/>
  <c r="Q307" i="7"/>
  <c r="Q301" i="7"/>
  <c r="Q295" i="7"/>
  <c r="Q289" i="7"/>
  <c r="Q283" i="7"/>
  <c r="Q277" i="7"/>
  <c r="Q271" i="7"/>
  <c r="Q265" i="7"/>
  <c r="Q247" i="7"/>
  <c r="Q241" i="7"/>
  <c r="R235" i="7"/>
  <c r="Q223" i="7"/>
  <c r="R211" i="7"/>
  <c r="Q205" i="7"/>
  <c r="R199" i="7"/>
  <c r="R193" i="7"/>
  <c r="Q181" i="7"/>
  <c r="Q175" i="7"/>
  <c r="Q169" i="7"/>
  <c r="R163" i="7"/>
  <c r="Q157" i="7"/>
  <c r="Q139" i="7"/>
  <c r="Q109" i="7"/>
  <c r="Q103" i="7"/>
  <c r="Q97" i="7"/>
  <c r="R85" i="7"/>
  <c r="R67" i="7"/>
  <c r="Q37" i="7"/>
  <c r="Q31" i="7"/>
  <c r="Q461" i="7"/>
  <c r="Q395" i="7"/>
  <c r="R499" i="7"/>
  <c r="R487" i="7"/>
  <c r="Q475" i="7"/>
  <c r="R463" i="7"/>
  <c r="R451" i="7"/>
  <c r="Q439" i="7"/>
  <c r="R427" i="7"/>
  <c r="Q415" i="7"/>
  <c r="Q403" i="7"/>
  <c r="Q253" i="7"/>
  <c r="Q23" i="7"/>
  <c r="Q17" i="7"/>
  <c r="Q11" i="7"/>
  <c r="Q5" i="7"/>
  <c r="Q497" i="7"/>
  <c r="R473" i="7"/>
  <c r="R425" i="7"/>
  <c r="Q401" i="7"/>
  <c r="Q491" i="7"/>
  <c r="R467" i="7"/>
  <c r="Q419" i="7"/>
  <c r="R389" i="7"/>
  <c r="E6" i="7"/>
  <c r="Q413" i="7"/>
  <c r="E5" i="7"/>
  <c r="R495" i="7"/>
  <c r="R477" i="7"/>
  <c r="R465" i="7"/>
  <c r="R459" i="7"/>
  <c r="R441" i="7"/>
  <c r="Q423" i="7"/>
  <c r="R417" i="7"/>
  <c r="R411" i="7"/>
  <c r="R399" i="7"/>
  <c r="Q387" i="7"/>
  <c r="R363" i="7"/>
  <c r="R357" i="7"/>
  <c r="R351" i="7"/>
  <c r="R327" i="7"/>
  <c r="Q315" i="7"/>
  <c r="R291" i="7"/>
  <c r="R279" i="7"/>
  <c r="Q267" i="7"/>
  <c r="Q255" i="7"/>
  <c r="R243" i="7"/>
  <c r="Q231" i="7"/>
  <c r="Q225" i="7"/>
  <c r="Q207" i="7"/>
  <c r="Q195" i="7"/>
  <c r="Q189" i="7"/>
  <c r="Q183" i="7"/>
  <c r="R165" i="7"/>
  <c r="Q135" i="7"/>
  <c r="R111" i="7"/>
  <c r="R105" i="7"/>
  <c r="R99" i="7"/>
  <c r="Q87" i="7"/>
  <c r="Q81" i="7"/>
  <c r="R75" i="7"/>
  <c r="R69" i="7"/>
  <c r="Q63" i="7"/>
  <c r="Q51" i="7"/>
  <c r="Q45" i="7"/>
  <c r="Q39" i="7"/>
  <c r="Q27" i="7"/>
  <c r="R15" i="7"/>
  <c r="R9" i="7"/>
  <c r="Q3" i="7"/>
  <c r="R501" i="7"/>
  <c r="R483" i="7"/>
  <c r="R447" i="7"/>
  <c r="R393" i="7"/>
  <c r="R485" i="7"/>
  <c r="R437" i="7"/>
  <c r="R407" i="7"/>
  <c r="E19" i="1"/>
  <c r="E101" i="1"/>
  <c r="E118" i="1"/>
  <c r="I118" i="1" s="1"/>
  <c r="E60" i="1"/>
  <c r="E30" i="1"/>
  <c r="E27" i="1"/>
  <c r="E114" i="1"/>
  <c r="E73" i="1"/>
  <c r="I73" i="1" s="1"/>
  <c r="E74" i="1"/>
  <c r="E23" i="1"/>
  <c r="E45" i="1"/>
  <c r="E107" i="1"/>
  <c r="I107" i="1" s="1"/>
  <c r="E65" i="1"/>
  <c r="E36" i="1"/>
  <c r="E37" i="1"/>
  <c r="I37" i="1" s="1"/>
  <c r="E31" i="1"/>
  <c r="E89" i="1"/>
  <c r="E33" i="1"/>
  <c r="E58" i="1"/>
  <c r="E46" i="1"/>
  <c r="E21" i="1"/>
  <c r="E71" i="1"/>
  <c r="E42" i="1"/>
  <c r="E51" i="1"/>
  <c r="E100" i="1"/>
  <c r="I100" i="1" s="1"/>
  <c r="E106" i="1"/>
  <c r="E35" i="1"/>
  <c r="E112" i="1"/>
  <c r="E49" i="1"/>
  <c r="E64" i="1"/>
  <c r="E29" i="1"/>
  <c r="E110" i="1"/>
  <c r="E87" i="1"/>
  <c r="E83" i="1"/>
  <c r="E95" i="1"/>
  <c r="I95" i="1" s="1"/>
  <c r="E77" i="1"/>
  <c r="E52" i="1"/>
  <c r="E105" i="1"/>
  <c r="I105" i="1" s="1"/>
  <c r="E90" i="1"/>
  <c r="E66" i="1"/>
  <c r="E72" i="1"/>
  <c r="E40" i="1"/>
  <c r="I40" i="1" s="1"/>
  <c r="E22" i="1"/>
  <c r="E48" i="1"/>
  <c r="E61" i="1"/>
  <c r="I61" i="1" s="1"/>
  <c r="E84" i="1"/>
  <c r="I84" i="1" s="1"/>
  <c r="E117" i="1"/>
  <c r="G112" i="1"/>
  <c r="G87" i="1"/>
  <c r="G116" i="1"/>
  <c r="G93" i="1"/>
  <c r="I93" i="1" s="1"/>
  <c r="G41" i="1"/>
  <c r="G35" i="1"/>
  <c r="G86" i="1"/>
  <c r="G24" i="1"/>
  <c r="G92" i="1"/>
  <c r="G19" i="1"/>
  <c r="G45" i="1"/>
  <c r="G31" i="1"/>
  <c r="G82" i="1"/>
  <c r="G29" i="1"/>
  <c r="G103" i="1"/>
  <c r="G34" i="1"/>
  <c r="G49" i="1"/>
  <c r="G89" i="1"/>
  <c r="G85" i="1"/>
  <c r="G27" i="1"/>
  <c r="G46" i="1"/>
  <c r="G72" i="1"/>
  <c r="G25" i="1"/>
  <c r="G22" i="1"/>
  <c r="G73" i="1"/>
  <c r="G44" i="1"/>
  <c r="G114" i="1"/>
  <c r="G66" i="1"/>
  <c r="E28" i="1"/>
  <c r="E41" i="1"/>
  <c r="E68" i="1"/>
  <c r="I68" i="1" s="1"/>
  <c r="E57" i="1"/>
  <c r="E25" i="1"/>
  <c r="E96" i="1"/>
  <c r="G110" i="1"/>
  <c r="G50" i="1"/>
  <c r="G117" i="1"/>
  <c r="G63" i="1"/>
  <c r="E50" i="1"/>
  <c r="E111" i="1"/>
  <c r="E113" i="1"/>
  <c r="E44" i="1"/>
  <c r="E91" i="1"/>
  <c r="I91" i="1" s="1"/>
  <c r="G36" i="1"/>
  <c r="G96" i="1"/>
  <c r="F70" i="1"/>
  <c r="F48" i="1"/>
  <c r="F65" i="1"/>
  <c r="F113" i="1"/>
  <c r="F75" i="1"/>
  <c r="F53" i="1"/>
  <c r="F100" i="1"/>
  <c r="F103" i="1"/>
  <c r="F66" i="1"/>
  <c r="F23" i="1"/>
  <c r="F52" i="1"/>
  <c r="F69" i="1"/>
  <c r="F117" i="1"/>
  <c r="F79" i="1"/>
  <c r="F56" i="1"/>
  <c r="F104" i="1"/>
  <c r="F111" i="1"/>
  <c r="F39" i="1"/>
  <c r="F22" i="1"/>
  <c r="F60" i="1"/>
  <c r="F108" i="1"/>
  <c r="F106" i="1"/>
  <c r="F73" i="1"/>
  <c r="F83" i="1"/>
  <c r="F28" i="1"/>
  <c r="F58" i="1"/>
  <c r="F51" i="1"/>
  <c r="F85" i="1"/>
  <c r="F34" i="1"/>
  <c r="I34" i="1" s="1"/>
  <c r="F115" i="1"/>
  <c r="F72" i="1"/>
  <c r="F21" i="1"/>
  <c r="F54" i="1"/>
  <c r="E99" i="1"/>
  <c r="I99" i="1" s="1"/>
  <c r="E97" i="1"/>
  <c r="E75" i="1"/>
  <c r="G75" i="1"/>
  <c r="G69" i="1"/>
  <c r="E43" i="1"/>
  <c r="E69" i="1"/>
  <c r="G64" i="1"/>
  <c r="G77" i="1"/>
  <c r="E32" i="1"/>
  <c r="I32" i="1" s="1"/>
  <c r="G38" i="1"/>
  <c r="E26" i="1"/>
  <c r="E79" i="1"/>
  <c r="E108" i="1"/>
  <c r="E94" i="1"/>
  <c r="I94" i="1" s="1"/>
  <c r="E85" i="1"/>
  <c r="E109" i="1"/>
  <c r="E63" i="1"/>
  <c r="E103" i="1"/>
  <c r="E78" i="1"/>
  <c r="E80" i="1"/>
  <c r="I80" i="1" s="1"/>
  <c r="G62" i="1"/>
  <c r="G51" i="1"/>
  <c r="G65" i="1"/>
  <c r="G111" i="1"/>
  <c r="E62" i="1"/>
  <c r="E102" i="1"/>
  <c r="G76" i="1"/>
  <c r="G70" i="1"/>
  <c r="G33" i="1"/>
  <c r="E92" i="1"/>
  <c r="G71" i="1"/>
  <c r="G43" i="1"/>
  <c r="F116" i="1"/>
  <c r="F49" i="1"/>
  <c r="F50" i="1"/>
  <c r="E67" i="1"/>
  <c r="I67" i="1" s="1"/>
  <c r="G60" i="1"/>
  <c r="G78" i="1"/>
  <c r="F46" i="1"/>
  <c r="E115" i="1"/>
  <c r="E54" i="1"/>
  <c r="E53" i="1"/>
  <c r="G55" i="1"/>
  <c r="G42" i="1"/>
  <c r="G47" i="1"/>
  <c r="E88" i="1"/>
  <c r="I88" i="1" s="1"/>
  <c r="E86" i="1"/>
  <c r="G74" i="1"/>
  <c r="F114" i="1"/>
  <c r="F30" i="1"/>
  <c r="F74" i="1"/>
  <c r="E38" i="1"/>
  <c r="E81" i="1"/>
  <c r="E70" i="1"/>
  <c r="E59" i="1"/>
  <c r="I59" i="1" s="1"/>
  <c r="G39" i="1"/>
  <c r="G81" i="1"/>
  <c r="F31" i="1"/>
  <c r="F112" i="1"/>
  <c r="F41" i="1"/>
  <c r="F26" i="1"/>
  <c r="F90" i="1"/>
  <c r="G79" i="1"/>
  <c r="E56" i="1"/>
  <c r="E76" i="1"/>
  <c r="I76" i="1" s="1"/>
  <c r="G90" i="1"/>
  <c r="G52" i="1"/>
  <c r="G97" i="1"/>
  <c r="F102" i="1"/>
  <c r="F96" i="1"/>
  <c r="F24" i="1"/>
  <c r="F109" i="1"/>
  <c r="F42" i="1"/>
  <c r="F86" i="1"/>
  <c r="E116" i="1"/>
  <c r="E98" i="1"/>
  <c r="I98" i="1" s="1"/>
  <c r="E104" i="1"/>
  <c r="E55" i="1"/>
  <c r="E39" i="1"/>
  <c r="G21" i="1"/>
  <c r="G104" i="1"/>
  <c r="E20" i="1"/>
  <c r="I20" i="1" s="1"/>
  <c r="K7" i="5"/>
  <c r="K11" i="5"/>
  <c r="K15" i="5"/>
  <c r="K19" i="5"/>
  <c r="K23" i="5"/>
  <c r="K27" i="5"/>
  <c r="P27" i="5" s="1"/>
  <c r="K31" i="5"/>
  <c r="P31" i="5" s="1"/>
  <c r="K35" i="5"/>
  <c r="K39" i="5"/>
  <c r="P39" i="5" s="1"/>
  <c r="K43" i="5"/>
  <c r="P43" i="5" s="1"/>
  <c r="K47" i="5"/>
  <c r="P47" i="5" s="1"/>
  <c r="K51" i="5"/>
  <c r="P51" i="5" s="1"/>
  <c r="K55" i="5"/>
  <c r="K59" i="5"/>
  <c r="K63" i="5"/>
  <c r="K67" i="5"/>
  <c r="K71" i="5"/>
  <c r="P71" i="5" s="1"/>
  <c r="K75" i="5"/>
  <c r="P75" i="5" s="1"/>
  <c r="K79" i="5"/>
  <c r="K83" i="5"/>
  <c r="K87" i="5"/>
  <c r="P87" i="5" s="1"/>
  <c r="K91" i="5"/>
  <c r="K95" i="5"/>
  <c r="P95" i="5" s="1"/>
  <c r="K99" i="5"/>
  <c r="P99" i="5" s="1"/>
  <c r="K103" i="5"/>
  <c r="K13" i="5"/>
  <c r="K25" i="5"/>
  <c r="K37" i="5"/>
  <c r="P37" i="5" s="1"/>
  <c r="K49" i="5"/>
  <c r="P49" i="5" s="1"/>
  <c r="K61" i="5"/>
  <c r="P61" i="5" s="1"/>
  <c r="K66" i="5"/>
  <c r="P66" i="5" s="1"/>
  <c r="K72" i="5"/>
  <c r="K77" i="5"/>
  <c r="P77" i="5" s="1"/>
  <c r="K82" i="5"/>
  <c r="P82" i="5" s="1"/>
  <c r="K88" i="5"/>
  <c r="P88" i="5" s="1"/>
  <c r="K93" i="5"/>
  <c r="P93" i="5" s="1"/>
  <c r="K98" i="5"/>
  <c r="K104" i="5"/>
  <c r="K8" i="5"/>
  <c r="K20" i="5"/>
  <c r="K32" i="5"/>
  <c r="K44" i="5"/>
  <c r="P44" i="5" s="1"/>
  <c r="K56" i="5"/>
  <c r="P56" i="5" s="1"/>
  <c r="K14" i="5"/>
  <c r="K26" i="5"/>
  <c r="P26" i="5" s="1"/>
  <c r="K38" i="5"/>
  <c r="P38" i="5" s="1"/>
  <c r="K50" i="5"/>
  <c r="P50" i="5" s="1"/>
  <c r="K62" i="5"/>
  <c r="P62" i="5" s="1"/>
  <c r="K68" i="5"/>
  <c r="K73" i="5"/>
  <c r="K78" i="5"/>
  <c r="K84" i="5"/>
  <c r="K89" i="5"/>
  <c r="P89" i="5" s="1"/>
  <c r="K94" i="5"/>
  <c r="P94" i="5" s="1"/>
  <c r="K100" i="5"/>
  <c r="P100" i="5" s="1"/>
  <c r="K105" i="5"/>
  <c r="P105" i="5" s="1"/>
  <c r="K9" i="5"/>
  <c r="P9" i="5" s="1"/>
  <c r="K21" i="5"/>
  <c r="P21" i="5" s="1"/>
  <c r="K33" i="5"/>
  <c r="P33" i="5" s="1"/>
  <c r="K45" i="5"/>
  <c r="P45" i="5" s="1"/>
  <c r="K57" i="5"/>
  <c r="K80" i="5"/>
  <c r="K96" i="5"/>
  <c r="K6" i="5"/>
  <c r="P6" i="5" s="1"/>
  <c r="K58" i="5"/>
  <c r="K17" i="5"/>
  <c r="P17" i="5" s="1"/>
  <c r="K29" i="5"/>
  <c r="P29" i="5" s="1"/>
  <c r="K41" i="5"/>
  <c r="K16" i="5"/>
  <c r="P16" i="5" s="1"/>
  <c r="K28" i="5"/>
  <c r="P28" i="5" s="1"/>
  <c r="K40" i="5"/>
  <c r="K52" i="5"/>
  <c r="K64" i="5"/>
  <c r="K69" i="5"/>
  <c r="K74" i="5"/>
  <c r="K85" i="5"/>
  <c r="K90" i="5"/>
  <c r="K101" i="5"/>
  <c r="P101" i="5" s="1"/>
  <c r="K10" i="5"/>
  <c r="P10" i="5" s="1"/>
  <c r="K22" i="5"/>
  <c r="K34" i="5"/>
  <c r="P34" i="5" s="1"/>
  <c r="K46" i="5"/>
  <c r="P46" i="5" s="1"/>
  <c r="K53" i="5"/>
  <c r="P53" i="5" s="1"/>
  <c r="K12" i="5"/>
  <c r="P12" i="5" s="1"/>
  <c r="K36" i="5"/>
  <c r="K60" i="5"/>
  <c r="K81" i="5"/>
  <c r="K102" i="5"/>
  <c r="P102" i="5" s="1"/>
  <c r="K65" i="5"/>
  <c r="P65" i="5" s="1"/>
  <c r="K86" i="5"/>
  <c r="P86" i="5" s="1"/>
  <c r="K18" i="5"/>
  <c r="K42" i="5"/>
  <c r="P42" i="5" s="1"/>
  <c r="K24" i="5"/>
  <c r="P24" i="5" s="1"/>
  <c r="K48" i="5"/>
  <c r="P48" i="5" s="1"/>
  <c r="K70" i="5"/>
  <c r="P70" i="5" s="1"/>
  <c r="K92" i="5"/>
  <c r="P92" i="5" s="1"/>
  <c r="K76" i="5"/>
  <c r="K97" i="5"/>
  <c r="K30" i="5"/>
  <c r="K54" i="5"/>
  <c r="O8" i="5"/>
  <c r="J6" i="5"/>
  <c r="O6" i="5" s="1"/>
  <c r="J11" i="5"/>
  <c r="O11" i="5" s="1"/>
  <c r="J15" i="5"/>
  <c r="J19" i="5"/>
  <c r="J23" i="5"/>
  <c r="O23" i="5" s="1"/>
  <c r="J27" i="5"/>
  <c r="O27" i="5" s="1"/>
  <c r="J31" i="5"/>
  <c r="O31" i="5" s="1"/>
  <c r="J35" i="5"/>
  <c r="J39" i="5"/>
  <c r="J43" i="5"/>
  <c r="J47" i="5"/>
  <c r="J51" i="5"/>
  <c r="J55" i="5"/>
  <c r="O55" i="5" s="1"/>
  <c r="J59" i="5"/>
  <c r="O59" i="5" s="1"/>
  <c r="J63" i="5"/>
  <c r="O63" i="5" s="1"/>
  <c r="J67" i="5"/>
  <c r="O67" i="5" s="1"/>
  <c r="J71" i="5"/>
  <c r="O71" i="5" s="1"/>
  <c r="J75" i="5"/>
  <c r="O75" i="5" s="1"/>
  <c r="J79" i="5"/>
  <c r="O79" i="5" s="1"/>
  <c r="J83" i="5"/>
  <c r="J87" i="5"/>
  <c r="J91" i="5"/>
  <c r="J95" i="5"/>
  <c r="O95" i="5" s="1"/>
  <c r="J99" i="5"/>
  <c r="J7" i="5"/>
  <c r="O7" i="5" s="1"/>
  <c r="J103" i="5"/>
  <c r="O103" i="5" s="1"/>
  <c r="J8" i="5"/>
  <c r="J20" i="5"/>
  <c r="O20" i="5" s="1"/>
  <c r="J32" i="5"/>
  <c r="O32" i="5" s="1"/>
  <c r="J44" i="5"/>
  <c r="O44" i="5" s="1"/>
  <c r="J56" i="5"/>
  <c r="O56" i="5" s="1"/>
  <c r="J14" i="5"/>
  <c r="J26" i="5"/>
  <c r="J38" i="5"/>
  <c r="J50" i="5"/>
  <c r="O50" i="5" s="1"/>
  <c r="J62" i="5"/>
  <c r="J68" i="5"/>
  <c r="O68" i="5" s="1"/>
  <c r="J73" i="5"/>
  <c r="J78" i="5"/>
  <c r="O78" i="5" s="1"/>
  <c r="J84" i="5"/>
  <c r="J89" i="5"/>
  <c r="O89" i="5" s="1"/>
  <c r="J94" i="5"/>
  <c r="O94" i="5" s="1"/>
  <c r="J100" i="5"/>
  <c r="O100" i="5" s="1"/>
  <c r="J105" i="5"/>
  <c r="J9" i="5"/>
  <c r="J21" i="5"/>
  <c r="J33" i="5"/>
  <c r="O33" i="5" s="1"/>
  <c r="J45" i="5"/>
  <c r="O45" i="5" s="1"/>
  <c r="J57" i="5"/>
  <c r="O57" i="5" s="1"/>
  <c r="J16" i="5"/>
  <c r="O16" i="5" s="1"/>
  <c r="J28" i="5"/>
  <c r="O28" i="5" s="1"/>
  <c r="J40" i="5"/>
  <c r="O40" i="5" s="1"/>
  <c r="J52" i="5"/>
  <c r="J17" i="5"/>
  <c r="O17" i="5" s="1"/>
  <c r="J41" i="5"/>
  <c r="O41" i="5" s="1"/>
  <c r="J48" i="5"/>
  <c r="J60" i="5"/>
  <c r="J65" i="5"/>
  <c r="J86" i="5"/>
  <c r="O86" i="5" s="1"/>
  <c r="J97" i="5"/>
  <c r="O97" i="5" s="1"/>
  <c r="J64" i="5"/>
  <c r="O64" i="5" s="1"/>
  <c r="J69" i="5"/>
  <c r="O69" i="5" s="1"/>
  <c r="J74" i="5"/>
  <c r="J80" i="5"/>
  <c r="O80" i="5" s="1"/>
  <c r="J85" i="5"/>
  <c r="J90" i="5"/>
  <c r="O90" i="5" s="1"/>
  <c r="J96" i="5"/>
  <c r="O96" i="5" s="1"/>
  <c r="J101" i="5"/>
  <c r="J10" i="5"/>
  <c r="J22" i="5"/>
  <c r="J34" i="5"/>
  <c r="O34" i="5" s="1"/>
  <c r="J46" i="5"/>
  <c r="O46" i="5" s="1"/>
  <c r="J58" i="5"/>
  <c r="O58" i="5" s="1"/>
  <c r="J29" i="5"/>
  <c r="O29" i="5" s="1"/>
  <c r="J53" i="5"/>
  <c r="O53" i="5" s="1"/>
  <c r="J12" i="5"/>
  <c r="O12" i="5" s="1"/>
  <c r="J24" i="5"/>
  <c r="O24" i="5" s="1"/>
  <c r="J36" i="5"/>
  <c r="O36" i="5" s="1"/>
  <c r="J70" i="5"/>
  <c r="O70" i="5" s="1"/>
  <c r="J76" i="5"/>
  <c r="J81" i="5"/>
  <c r="J92" i="5"/>
  <c r="J102" i="5"/>
  <c r="O102" i="5" s="1"/>
  <c r="J13" i="5"/>
  <c r="J37" i="5"/>
  <c r="J61" i="5"/>
  <c r="J82" i="5"/>
  <c r="J104" i="5"/>
  <c r="O104" i="5" s="1"/>
  <c r="J18" i="5"/>
  <c r="J42" i="5"/>
  <c r="O42" i="5" s="1"/>
  <c r="J66" i="5"/>
  <c r="O66" i="5" s="1"/>
  <c r="J88" i="5"/>
  <c r="J25" i="5"/>
  <c r="J72" i="5"/>
  <c r="J93" i="5"/>
  <c r="J30" i="5"/>
  <c r="J77" i="5"/>
  <c r="O77" i="5" s="1"/>
  <c r="J49" i="5"/>
  <c r="J54" i="5"/>
  <c r="J98" i="5"/>
  <c r="O98" i="5" s="1"/>
  <c r="L10" i="5"/>
  <c r="Q10" i="5" s="1"/>
  <c r="L14" i="5"/>
  <c r="Q14" i="5" s="1"/>
  <c r="L18" i="5"/>
  <c r="Q18" i="5" s="1"/>
  <c r="L22" i="5"/>
  <c r="L26" i="5"/>
  <c r="L30" i="5"/>
  <c r="L34" i="5"/>
  <c r="Q34" i="5" s="1"/>
  <c r="L38" i="5"/>
  <c r="Q38" i="5" s="1"/>
  <c r="L42" i="5"/>
  <c r="Q42" i="5" s="1"/>
  <c r="L46" i="5"/>
  <c r="Q46" i="5" s="1"/>
  <c r="L50" i="5"/>
  <c r="Q50" i="5" s="1"/>
  <c r="L54" i="5"/>
  <c r="L58" i="5"/>
  <c r="Q58" i="5" s="1"/>
  <c r="L62" i="5"/>
  <c r="L66" i="5"/>
  <c r="Q66" i="5" s="1"/>
  <c r="L70" i="5"/>
  <c r="L74" i="5"/>
  <c r="L78" i="5"/>
  <c r="L82" i="5"/>
  <c r="L86" i="5"/>
  <c r="Q86" i="5" s="1"/>
  <c r="L90" i="5"/>
  <c r="Q90" i="5" s="1"/>
  <c r="L94" i="5"/>
  <c r="Q94" i="5" s="1"/>
  <c r="L98" i="5"/>
  <c r="L102" i="5"/>
  <c r="Q102" i="5" s="1"/>
  <c r="L7" i="5"/>
  <c r="Q7" i="5" s="1"/>
  <c r="L15" i="5"/>
  <c r="Q15" i="5" s="1"/>
  <c r="L19" i="5"/>
  <c r="Q19" i="5" s="1"/>
  <c r="L23" i="5"/>
  <c r="L27" i="5"/>
  <c r="L31" i="5"/>
  <c r="L35" i="5"/>
  <c r="L39" i="5"/>
  <c r="Q39" i="5" s="1"/>
  <c r="L43" i="5"/>
  <c r="Q43" i="5" s="1"/>
  <c r="L51" i="5"/>
  <c r="Q51" i="5" s="1"/>
  <c r="L55" i="5"/>
  <c r="L59" i="5"/>
  <c r="L11" i="5"/>
  <c r="L47" i="5"/>
  <c r="Q47" i="5" s="1"/>
  <c r="L13" i="5"/>
  <c r="Q13" i="5" s="1"/>
  <c r="L25" i="5"/>
  <c r="L37" i="5"/>
  <c r="L49" i="5"/>
  <c r="L61" i="5"/>
  <c r="Q61" i="5" s="1"/>
  <c r="L67" i="5"/>
  <c r="L72" i="5"/>
  <c r="Q72" i="5" s="1"/>
  <c r="L77" i="5"/>
  <c r="Q77" i="5" s="1"/>
  <c r="L83" i="5"/>
  <c r="L88" i="5"/>
  <c r="Q88" i="5" s="1"/>
  <c r="L93" i="5"/>
  <c r="Q93" i="5" s="1"/>
  <c r="L99" i="5"/>
  <c r="Q99" i="5" s="1"/>
  <c r="L104" i="5"/>
  <c r="Q104" i="5" s="1"/>
  <c r="L8" i="5"/>
  <c r="L20" i="5"/>
  <c r="L32" i="5"/>
  <c r="L44" i="5"/>
  <c r="Q44" i="5" s="1"/>
  <c r="L56" i="5"/>
  <c r="L63" i="5"/>
  <c r="Q63" i="5" s="1"/>
  <c r="L68" i="5"/>
  <c r="Q68" i="5" s="1"/>
  <c r="L73" i="5"/>
  <c r="L79" i="5"/>
  <c r="Q79" i="5" s="1"/>
  <c r="L84" i="5"/>
  <c r="Q84" i="5" s="1"/>
  <c r="L89" i="5"/>
  <c r="Q89" i="5" s="1"/>
  <c r="L95" i="5"/>
  <c r="Q95" i="5" s="1"/>
  <c r="L100" i="5"/>
  <c r="L105" i="5"/>
  <c r="L69" i="5"/>
  <c r="L75" i="5"/>
  <c r="L85" i="5"/>
  <c r="Q85" i="5" s="1"/>
  <c r="L96" i="5"/>
  <c r="Q96" i="5" s="1"/>
  <c r="L101" i="5"/>
  <c r="Q101" i="5" s="1"/>
  <c r="L9" i="5"/>
  <c r="L21" i="5"/>
  <c r="L33" i="5"/>
  <c r="Q33" i="5" s="1"/>
  <c r="L45" i="5"/>
  <c r="Q45" i="5" s="1"/>
  <c r="L57" i="5"/>
  <c r="Q57" i="5" s="1"/>
  <c r="L6" i="5"/>
  <c r="L16" i="5"/>
  <c r="L28" i="5"/>
  <c r="L40" i="5"/>
  <c r="Q40" i="5" s="1"/>
  <c r="L52" i="5"/>
  <c r="Q52" i="5" s="1"/>
  <c r="L64" i="5"/>
  <c r="L80" i="5"/>
  <c r="Q80" i="5" s="1"/>
  <c r="L91" i="5"/>
  <c r="Q91" i="5" s="1"/>
  <c r="L12" i="5"/>
  <c r="L36" i="5"/>
  <c r="Q36" i="5" s="1"/>
  <c r="L60" i="5"/>
  <c r="Q60" i="5" s="1"/>
  <c r="L81" i="5"/>
  <c r="Q81" i="5" s="1"/>
  <c r="L103" i="5"/>
  <c r="L17" i="5"/>
  <c r="L41" i="5"/>
  <c r="L65" i="5"/>
  <c r="Q65" i="5" s="1"/>
  <c r="L87" i="5"/>
  <c r="L48" i="5"/>
  <c r="Q48" i="5" s="1"/>
  <c r="L71" i="5"/>
  <c r="Q71" i="5" s="1"/>
  <c r="L92" i="5"/>
  <c r="Q92" i="5" s="1"/>
  <c r="L29" i="5"/>
  <c r="Q29" i="5" s="1"/>
  <c r="L76" i="5"/>
  <c r="Q76" i="5" s="1"/>
  <c r="L24" i="5"/>
  <c r="Q24" i="5" s="1"/>
  <c r="L53" i="5"/>
  <c r="Q53" i="5" s="1"/>
  <c r="L97" i="5"/>
  <c r="P59" i="5"/>
  <c r="O43" i="5"/>
  <c r="O74" i="5"/>
  <c r="O18" i="5"/>
  <c r="O73" i="5"/>
  <c r="Q83" i="5"/>
  <c r="Q98" i="5"/>
  <c r="Q12" i="5"/>
  <c r="Q70" i="5"/>
  <c r="P69" i="5"/>
  <c r="P55" i="5"/>
  <c r="O105" i="5"/>
  <c r="P83" i="5"/>
  <c r="Q54" i="5"/>
  <c r="O37" i="5"/>
  <c r="P11" i="5"/>
  <c r="P104" i="5"/>
  <c r="P36" i="5"/>
  <c r="P54" i="5"/>
  <c r="P79" i="5"/>
  <c r="P30" i="5"/>
  <c r="P73" i="5"/>
  <c r="O93" i="5"/>
  <c r="O88" i="5"/>
  <c r="O83" i="5"/>
  <c r="P58" i="5"/>
  <c r="P41" i="5"/>
  <c r="P35" i="5"/>
  <c r="O21" i="5"/>
  <c r="P98" i="5"/>
  <c r="P20" i="5"/>
  <c r="P103" i="5"/>
  <c r="O92" i="5"/>
  <c r="O87" i="5"/>
  <c r="P81" i="5"/>
  <c r="P76" i="5"/>
  <c r="P72" i="5"/>
  <c r="O62" i="5"/>
  <c r="O52" i="5"/>
  <c r="O47" i="5"/>
  <c r="P40" i="5"/>
  <c r="O35" i="5"/>
  <c r="P8" i="5"/>
  <c r="P7" i="5"/>
  <c r="P97" i="5"/>
  <c r="P91" i="5"/>
  <c r="O81" i="5"/>
  <c r="O76" i="5"/>
  <c r="O61" i="5"/>
  <c r="P57" i="5"/>
  <c r="O39" i="5"/>
  <c r="O19" i="5"/>
  <c r="P14" i="5"/>
  <c r="O91" i="5"/>
  <c r="O51" i="5"/>
  <c r="P32" i="5"/>
  <c r="P96" i="5"/>
  <c r="P85" i="5"/>
  <c r="Q64" i="5"/>
  <c r="P60" i="5"/>
  <c r="O14" i="5"/>
  <c r="P90" i="5"/>
  <c r="P84" i="5"/>
  <c r="P74" i="5"/>
  <c r="P64" i="5"/>
  <c r="O60" i="5"/>
  <c r="O25" i="5"/>
  <c r="P18" i="5"/>
  <c r="P13" i="5"/>
  <c r="Q6" i="5"/>
  <c r="Q25" i="5"/>
  <c r="Q37" i="5"/>
  <c r="Q49" i="5"/>
  <c r="Q73" i="5"/>
  <c r="Q97" i="5"/>
  <c r="Q20" i="5"/>
  <c r="Q32" i="5"/>
  <c r="Q8" i="5"/>
  <c r="Q27" i="5"/>
  <c r="Q31" i="5"/>
  <c r="Q35" i="5"/>
  <c r="Q59" i="5"/>
  <c r="Q74" i="5"/>
  <c r="Q17" i="5"/>
  <c r="Q21" i="5"/>
  <c r="Q23" i="5"/>
  <c r="Q78" i="5"/>
  <c r="Q67" i="5"/>
  <c r="Q82" i="5"/>
  <c r="Q56" i="5"/>
  <c r="Q69" i="5"/>
  <c r="Q22" i="5"/>
  <c r="Q26" i="5"/>
  <c r="Q28" i="5"/>
  <c r="Q30" i="5"/>
  <c r="Q62" i="5"/>
  <c r="Q105" i="5"/>
  <c r="Q9" i="5"/>
  <c r="Q100" i="5"/>
  <c r="Q11" i="5"/>
  <c r="Q75" i="5"/>
  <c r="Q103" i="5"/>
  <c r="Q41" i="5"/>
  <c r="Q87" i="5"/>
  <c r="Q55" i="5"/>
  <c r="Q16" i="5"/>
  <c r="O85" i="5"/>
  <c r="O72" i="5"/>
  <c r="O49" i="5"/>
  <c r="O10" i="5"/>
  <c r="P63" i="5"/>
  <c r="P68" i="5"/>
  <c r="P15" i="5"/>
  <c r="P22" i="5"/>
  <c r="O22" i="5"/>
  <c r="O65" i="5"/>
  <c r="O101" i="5"/>
  <c r="O48" i="5"/>
  <c r="O30" i="5"/>
  <c r="O26" i="5"/>
  <c r="O99" i="5"/>
  <c r="P80" i="5"/>
  <c r="P67" i="5"/>
  <c r="P52" i="5"/>
  <c r="O38" i="5"/>
  <c r="O84" i="5"/>
  <c r="O82" i="5"/>
  <c r="P78" i="5"/>
  <c r="O54" i="5"/>
  <c r="P25" i="5"/>
  <c r="P23" i="5"/>
  <c r="P19" i="5"/>
  <c r="O15" i="5"/>
  <c r="O13" i="5"/>
  <c r="O9" i="5"/>
  <c r="D6" i="4"/>
  <c r="D5" i="4"/>
  <c r="F5" i="4" s="1"/>
  <c r="F6" i="4" s="1"/>
  <c r="Q173" i="7"/>
  <c r="Q495" i="7"/>
  <c r="Q420" i="7"/>
  <c r="Q122" i="7"/>
  <c r="Q425" i="7"/>
  <c r="Q209" i="7"/>
  <c r="Q230" i="7"/>
  <c r="Q149" i="7"/>
  <c r="Q299" i="7"/>
  <c r="Q397" i="7"/>
  <c r="Q269" i="7"/>
  <c r="Q456" i="7"/>
  <c r="Q279" i="7"/>
  <c r="R323" i="7"/>
  <c r="Q329" i="7"/>
  <c r="Q306" i="7"/>
  <c r="Q158" i="7"/>
  <c r="Q44" i="7"/>
  <c r="R328" i="7"/>
  <c r="Q328" i="7"/>
  <c r="R429" i="7"/>
  <c r="Q429" i="7"/>
  <c r="Q384" i="7"/>
  <c r="Q344" i="7"/>
  <c r="Q260" i="7"/>
  <c r="R143" i="7"/>
  <c r="Q198" i="7"/>
  <c r="Q69" i="7"/>
  <c r="Q9" i="7"/>
  <c r="R476" i="7"/>
  <c r="Q476" i="7"/>
  <c r="R213" i="7"/>
  <c r="Q213" i="7"/>
  <c r="R324" i="7"/>
  <c r="Q324" i="7"/>
  <c r="R232" i="7"/>
  <c r="R227" i="7"/>
  <c r="Q272" i="7"/>
  <c r="Q365" i="7"/>
  <c r="Q197" i="7"/>
  <c r="R237" i="7"/>
  <c r="Q237" i="7"/>
  <c r="R12" i="7"/>
  <c r="Q12" i="7"/>
  <c r="R316" i="7"/>
  <c r="Q316" i="7"/>
  <c r="Q407" i="7"/>
  <c r="Q444" i="7"/>
  <c r="Q311" i="7"/>
  <c r="Q174" i="7"/>
  <c r="Q114" i="7"/>
  <c r="Q83" i="7"/>
  <c r="Q68" i="7"/>
  <c r="R281" i="7"/>
  <c r="Q363" i="7"/>
  <c r="Q325" i="7"/>
  <c r="Q163" i="7"/>
  <c r="Q99" i="7"/>
  <c r="R391" i="7"/>
  <c r="Q391" i="7"/>
  <c r="R145" i="7"/>
  <c r="Q145" i="7"/>
  <c r="R381" i="7"/>
  <c r="Q381" i="7"/>
  <c r="R21" i="7"/>
  <c r="Q21" i="7"/>
  <c r="R81" i="7"/>
  <c r="Q472" i="7"/>
  <c r="Q170" i="7"/>
  <c r="Q160" i="7"/>
  <c r="Q140" i="7"/>
  <c r="Q462" i="7"/>
  <c r="Q452" i="7"/>
  <c r="Q447" i="7"/>
  <c r="Q296" i="7"/>
  <c r="Q291" i="7"/>
  <c r="Q266" i="7"/>
  <c r="Q134" i="7"/>
  <c r="Q113" i="7"/>
  <c r="R106" i="7"/>
  <c r="Q106" i="7"/>
  <c r="R225" i="7"/>
  <c r="R96" i="7"/>
  <c r="Q485" i="7"/>
  <c r="Q480" i="7"/>
  <c r="Q441" i="7"/>
  <c r="Q436" i="7"/>
  <c r="Q416" i="7"/>
  <c r="Q50" i="7"/>
  <c r="R377" i="7"/>
  <c r="Q380" i="7"/>
  <c r="Q312" i="7"/>
  <c r="Q211" i="7"/>
  <c r="Q186" i="7"/>
  <c r="R370" i="7"/>
  <c r="Q370" i="7"/>
  <c r="R470" i="7"/>
  <c r="Q470" i="7"/>
  <c r="R177" i="7"/>
  <c r="Q177" i="7"/>
  <c r="R73" i="7"/>
  <c r="Q73" i="7"/>
  <c r="R98" i="7"/>
  <c r="R180" i="7"/>
  <c r="R348" i="7"/>
  <c r="R27" i="7"/>
  <c r="R176" i="7"/>
  <c r="R205" i="7"/>
  <c r="Q474" i="7"/>
  <c r="Q393" i="7"/>
  <c r="Q389" i="7"/>
  <c r="Q374" i="7"/>
  <c r="Q126" i="7"/>
  <c r="Q34" i="7"/>
  <c r="R63" i="7"/>
  <c r="R38" i="7"/>
  <c r="R492" i="7"/>
  <c r="Q422" i="7"/>
  <c r="Q302" i="7"/>
  <c r="Q293" i="7"/>
  <c r="Q131" i="7"/>
  <c r="Q53" i="7"/>
  <c r="Q172" i="7"/>
  <c r="R172" i="7"/>
  <c r="Q29" i="7"/>
  <c r="R29" i="7"/>
  <c r="Q337" i="7"/>
  <c r="R337" i="7"/>
  <c r="Q494" i="7"/>
  <c r="R494" i="7"/>
  <c r="R127" i="7"/>
  <c r="Q127" i="7"/>
  <c r="R303" i="7"/>
  <c r="Q303" i="7"/>
  <c r="R212" i="7"/>
  <c r="R207" i="7"/>
  <c r="R95" i="7"/>
  <c r="R371" i="7"/>
  <c r="R268" i="7"/>
  <c r="R265" i="7"/>
  <c r="R59" i="7"/>
  <c r="R376" i="7"/>
  <c r="R221" i="7"/>
  <c r="R24" i="7"/>
  <c r="R167" i="7"/>
  <c r="R254" i="7"/>
  <c r="R402" i="7"/>
  <c r="R253" i="7"/>
  <c r="R58" i="7"/>
  <c r="R398" i="7"/>
  <c r="R314" i="7"/>
  <c r="R233" i="7"/>
  <c r="R194" i="7"/>
  <c r="R104" i="7"/>
  <c r="Q483" i="7"/>
  <c r="Q446" i="7"/>
  <c r="Q437" i="7"/>
  <c r="Q414" i="7"/>
  <c r="Q347" i="7"/>
  <c r="Q342" i="7"/>
  <c r="Q193" i="7"/>
  <c r="Q184" i="7"/>
  <c r="Q108" i="7"/>
  <c r="Q75" i="7"/>
  <c r="Q42" i="7"/>
  <c r="R89" i="7"/>
  <c r="R418" i="7"/>
  <c r="R125" i="7"/>
  <c r="R315" i="7"/>
  <c r="Q498" i="7"/>
  <c r="Q404" i="7"/>
  <c r="Q274" i="7"/>
  <c r="Q250" i="7"/>
  <c r="Q236" i="7"/>
  <c r="Q188" i="7"/>
  <c r="Q46" i="7"/>
  <c r="Q15" i="7"/>
  <c r="Q331" i="7"/>
  <c r="R331" i="7"/>
  <c r="R6" i="7"/>
  <c r="Q6" i="7"/>
  <c r="R355" i="7"/>
  <c r="Q355" i="7"/>
  <c r="R115" i="7"/>
  <c r="Q115" i="7"/>
  <c r="Q14" i="7"/>
  <c r="R14" i="7"/>
  <c r="R18" i="7"/>
  <c r="Q18" i="7"/>
  <c r="Q48" i="7"/>
  <c r="R48" i="7"/>
  <c r="R309" i="7"/>
  <c r="Q309" i="7"/>
  <c r="Q133" i="7"/>
  <c r="R133" i="7"/>
  <c r="R57" i="7"/>
  <c r="Q57" i="7"/>
  <c r="Q129" i="7"/>
  <c r="R129" i="7"/>
  <c r="R147" i="7"/>
  <c r="Q147" i="7"/>
  <c r="R2" i="7"/>
  <c r="Q2" i="7"/>
  <c r="R124" i="7"/>
  <c r="R196" i="7"/>
  <c r="R30" i="7"/>
  <c r="R267" i="7"/>
  <c r="R62" i="7"/>
  <c r="R455" i="7"/>
  <c r="R182" i="7"/>
  <c r="R338" i="7"/>
  <c r="R210" i="7"/>
  <c r="R181" i="7"/>
  <c r="R109" i="7"/>
  <c r="R78" i="7"/>
  <c r="R47" i="7"/>
  <c r="R419" i="7"/>
  <c r="R491" i="7"/>
  <c r="R410" i="7"/>
  <c r="R307" i="7"/>
  <c r="R119" i="7"/>
  <c r="R290" i="7"/>
  <c r="R247" i="7"/>
  <c r="R138" i="7"/>
  <c r="R77" i="7"/>
  <c r="R66" i="7"/>
  <c r="R415" i="7"/>
  <c r="R161" i="7"/>
  <c r="R289" i="7"/>
  <c r="R246" i="7"/>
  <c r="R135" i="7"/>
  <c r="R101" i="7"/>
  <c r="Q451" i="7"/>
  <c r="Q406" i="7"/>
  <c r="Q378" i="7"/>
  <c r="Q327" i="7"/>
  <c r="Q243" i="7"/>
  <c r="Q206" i="7"/>
  <c r="R373" i="7"/>
  <c r="R166" i="7"/>
  <c r="R94" i="7"/>
  <c r="R350" i="7"/>
  <c r="R192" i="7"/>
  <c r="R251" i="7"/>
  <c r="R248" i="7"/>
  <c r="R242" i="7"/>
  <c r="R100" i="7"/>
  <c r="R39" i="7"/>
  <c r="Q486" i="7"/>
  <c r="Q477" i="7"/>
  <c r="Q464" i="7"/>
  <c r="Q460" i="7"/>
  <c r="Q317" i="7"/>
  <c r="Q257" i="7"/>
  <c r="Q200" i="7"/>
  <c r="Q52" i="7"/>
  <c r="Q482" i="7"/>
  <c r="R482" i="7"/>
  <c r="Q61" i="7"/>
  <c r="R61" i="7"/>
  <c r="R409" i="7"/>
  <c r="Q409" i="7"/>
  <c r="R150" i="7"/>
  <c r="Q150" i="7"/>
  <c r="R321" i="7"/>
  <c r="Q321" i="7"/>
  <c r="R204" i="7"/>
  <c r="Q204" i="7"/>
  <c r="Q123" i="7"/>
  <c r="R123" i="7"/>
  <c r="R55" i="7"/>
  <c r="Q55" i="7"/>
  <c r="R25" i="7"/>
  <c r="Q25" i="7"/>
  <c r="Q449" i="7"/>
  <c r="R449" i="7"/>
  <c r="Q288" i="7"/>
  <c r="R288" i="7"/>
  <c r="R190" i="7"/>
  <c r="Q190" i="7"/>
  <c r="R16" i="7"/>
  <c r="Q16" i="7"/>
  <c r="R4" i="7"/>
  <c r="Q4" i="7"/>
  <c r="R91" i="7"/>
  <c r="Q91" i="7"/>
  <c r="R76" i="7"/>
  <c r="Q76" i="7"/>
  <c r="R430" i="7"/>
  <c r="Q430" i="7"/>
  <c r="R32" i="7"/>
  <c r="Q32" i="7"/>
  <c r="R28" i="7"/>
  <c r="Q28" i="7"/>
  <c r="R19" i="7"/>
  <c r="Q19" i="7"/>
  <c r="R7" i="7"/>
  <c r="Q7" i="7"/>
  <c r="Q13" i="7"/>
  <c r="R13" i="7"/>
  <c r="R493" i="7"/>
  <c r="Q493" i="7"/>
  <c r="R121" i="7"/>
  <c r="Q121" i="7"/>
  <c r="R49" i="7"/>
  <c r="Q49" i="7"/>
  <c r="R36" i="7"/>
  <c r="Q36" i="7"/>
  <c r="R229" i="7"/>
  <c r="Q229" i="7"/>
  <c r="R219" i="7"/>
  <c r="Q219" i="7"/>
  <c r="Q396" i="7"/>
  <c r="R396" i="7"/>
  <c r="R252" i="7"/>
  <c r="Q252" i="7"/>
  <c r="R360" i="7"/>
  <c r="Q360" i="7"/>
  <c r="Q258" i="7"/>
  <c r="R258" i="7"/>
  <c r="Q424" i="7"/>
  <c r="R424" i="7"/>
  <c r="Q388" i="7"/>
  <c r="R388" i="7"/>
  <c r="Q84" i="7"/>
  <c r="R84" i="7"/>
  <c r="R22" i="7"/>
  <c r="Q22" i="7"/>
  <c r="R10" i="7"/>
  <c r="Q10" i="7"/>
  <c r="R228" i="7"/>
  <c r="R195" i="7"/>
  <c r="R179" i="7"/>
  <c r="R162" i="7"/>
  <c r="R137" i="7"/>
  <c r="R120" i="7"/>
  <c r="R26" i="7"/>
  <c r="R11" i="7"/>
  <c r="Q499" i="7"/>
  <c r="Q457" i="7"/>
  <c r="Q432" i="7"/>
  <c r="Q411" i="7"/>
  <c r="Q394" i="7"/>
  <c r="Q386" i="7"/>
  <c r="Q286" i="7"/>
  <c r="Q278" i="7"/>
  <c r="Q239" i="7"/>
  <c r="Q235" i="7"/>
  <c r="Q222" i="7"/>
  <c r="Q111" i="7"/>
  <c r="Q67" i="7"/>
  <c r="R395" i="7"/>
  <c r="R335" i="7"/>
  <c r="R287" i="7"/>
  <c r="R208" i="7"/>
  <c r="R41" i="7"/>
  <c r="Q152" i="7"/>
  <c r="Q82" i="7"/>
  <c r="Q70" i="7"/>
  <c r="R284" i="7"/>
  <c r="R23" i="7"/>
  <c r="R412" i="7"/>
  <c r="R330" i="7"/>
  <c r="R304" i="7"/>
  <c r="R223" i="7"/>
  <c r="R301" i="7"/>
  <c r="R191" i="7"/>
  <c r="R74" i="7"/>
  <c r="R5" i="7"/>
  <c r="R271" i="7"/>
  <c r="R413" i="7"/>
  <c r="R175" i="7"/>
  <c r="R245" i="7"/>
  <c r="R434" i="7"/>
  <c r="R154" i="7"/>
  <c r="R433" i="7"/>
  <c r="R189" i="7"/>
  <c r="R203" i="7"/>
  <c r="R148" i="7"/>
  <c r="R3" i="7"/>
  <c r="R366" i="7"/>
  <c r="R8" i="7"/>
  <c r="R475" i="7"/>
  <c r="R283" i="7"/>
  <c r="R361" i="7"/>
  <c r="R264" i="7"/>
  <c r="R37" i="7"/>
  <c r="R35" i="7"/>
  <c r="R408" i="7"/>
  <c r="R383" i="7"/>
  <c r="R353" i="7"/>
  <c r="R294" i="7"/>
  <c r="R277" i="7"/>
  <c r="R218" i="7"/>
  <c r="R169" i="7"/>
  <c r="R88" i="7"/>
  <c r="R51" i="7"/>
  <c r="R31" i="7"/>
  <c r="R17" i="7"/>
  <c r="Q467" i="7"/>
  <c r="Q459" i="7"/>
  <c r="Q438" i="7"/>
  <c r="Q262" i="7"/>
  <c r="Q220" i="7"/>
  <c r="Q199" i="7"/>
  <c r="Q105" i="7"/>
  <c r="Q80" i="7"/>
  <c r="Q65" i="7"/>
  <c r="Q20" i="7"/>
  <c r="R282" i="7"/>
  <c r="R295" i="7"/>
  <c r="R72" i="7"/>
  <c r="R379" i="7"/>
  <c r="R255" i="7"/>
  <c r="R234" i="7"/>
  <c r="R215" i="7"/>
  <c r="R183" i="7"/>
  <c r="R168" i="7"/>
  <c r="R107" i="7"/>
  <c r="R87" i="7"/>
  <c r="Q487" i="7"/>
  <c r="Q357" i="7"/>
  <c r="Q112" i="7"/>
  <c r="Q92" i="7"/>
  <c r="Q458" i="7"/>
  <c r="R458" i="7"/>
  <c r="Q466" i="7"/>
  <c r="R466" i="7"/>
  <c r="Q382" i="7"/>
  <c r="R382" i="7"/>
  <c r="Q313" i="7"/>
  <c r="R313" i="7"/>
  <c r="Q300" i="7"/>
  <c r="R300" i="7"/>
  <c r="E72" i="7"/>
  <c r="Q481" i="7"/>
  <c r="R481" i="7"/>
  <c r="Q151" i="7"/>
  <c r="R151" i="7"/>
  <c r="Q405" i="7"/>
  <c r="R405" i="7"/>
  <c r="Q339" i="7"/>
  <c r="R339" i="7"/>
  <c r="Q349" i="7"/>
  <c r="R349" i="7"/>
  <c r="R500" i="7"/>
  <c r="Q500" i="7"/>
  <c r="Q390" i="7"/>
  <c r="R390" i="7"/>
  <c r="Q333" i="7"/>
  <c r="R333" i="7"/>
  <c r="R201" i="7"/>
  <c r="Q201" i="7"/>
  <c r="Q367" i="7"/>
  <c r="R367" i="7"/>
  <c r="Q354" i="7"/>
  <c r="R354" i="7"/>
  <c r="Q292" i="7"/>
  <c r="R292" i="7"/>
  <c r="Q132" i="7"/>
  <c r="R132" i="7"/>
  <c r="Q490" i="7"/>
  <c r="R490" i="7"/>
  <c r="Q484" i="7"/>
  <c r="R484" i="7"/>
  <c r="R443" i="7"/>
  <c r="Q443" i="7"/>
  <c r="Q375" i="7"/>
  <c r="R375" i="7"/>
  <c r="R334" i="7"/>
  <c r="Q334" i="7"/>
  <c r="Q297" i="7"/>
  <c r="R297" i="7"/>
  <c r="Q217" i="7"/>
  <c r="R217" i="7"/>
  <c r="R56" i="7"/>
  <c r="Q56" i="7"/>
  <c r="Q33" i="7"/>
  <c r="R33" i="7"/>
  <c r="R454" i="7"/>
  <c r="R224" i="7"/>
  <c r="Q224" i="7"/>
  <c r="Q79" i="7"/>
  <c r="R79" i="7"/>
  <c r="Q60" i="7"/>
  <c r="R60" i="7"/>
  <c r="R280" i="7"/>
  <c r="R64" i="7"/>
  <c r="R453" i="7"/>
  <c r="Q453" i="7"/>
  <c r="Q275" i="7"/>
  <c r="R275" i="7"/>
  <c r="Q118" i="7"/>
  <c r="R118" i="7"/>
  <c r="R469" i="7"/>
  <c r="R450" i="7"/>
  <c r="Q249" i="7"/>
  <c r="R249" i="7"/>
  <c r="Q159" i="7"/>
  <c r="R159" i="7"/>
  <c r="Q43" i="7"/>
  <c r="R43" i="7"/>
  <c r="Q435" i="7"/>
  <c r="R435" i="7"/>
  <c r="C72" i="7"/>
  <c r="R468" i="7"/>
  <c r="R426" i="7"/>
  <c r="R263" i="7"/>
  <c r="Q479" i="7"/>
  <c r="R479" i="7"/>
  <c r="Q445" i="7"/>
  <c r="R445" i="7"/>
  <c r="Q385" i="7"/>
  <c r="R385" i="7"/>
  <c r="Q369" i="7"/>
  <c r="R369" i="7"/>
  <c r="Q341" i="7"/>
  <c r="R341" i="7"/>
  <c r="R320" i="7"/>
  <c r="Q320" i="7"/>
  <c r="R308" i="7"/>
  <c r="Q308" i="7"/>
  <c r="Q187" i="7"/>
  <c r="R187" i="7"/>
  <c r="Q171" i="7"/>
  <c r="R171" i="7"/>
  <c r="Q146" i="7"/>
  <c r="R146" i="7"/>
  <c r="Q117" i="7"/>
  <c r="R117" i="7"/>
  <c r="Q110" i="7"/>
  <c r="R110" i="7"/>
  <c r="Q86" i="7"/>
  <c r="R86" i="7"/>
  <c r="R448" i="7"/>
  <c r="R372" i="7"/>
  <c r="R276" i="7"/>
  <c r="Q471" i="7"/>
  <c r="R471" i="7"/>
  <c r="Q463" i="7"/>
  <c r="Q440" i="7"/>
  <c r="Q421" i="7"/>
  <c r="R421" i="7"/>
  <c r="Q400" i="7"/>
  <c r="Q352" i="7"/>
  <c r="R345" i="7"/>
  <c r="Q345" i="7"/>
  <c r="Q340" i="7"/>
  <c r="R332" i="7"/>
  <c r="Q332" i="7"/>
  <c r="R261" i="7"/>
  <c r="Q261" i="7"/>
  <c r="Q244" i="7"/>
  <c r="R244" i="7"/>
  <c r="Q128" i="7"/>
  <c r="Q116" i="7"/>
  <c r="Q85" i="7"/>
  <c r="R139" i="7"/>
  <c r="R90" i="7"/>
  <c r="R40" i="7"/>
  <c r="R356" i="7"/>
  <c r="Q356" i="7"/>
  <c r="Q336" i="7"/>
  <c r="R336" i="7"/>
  <c r="Q319" i="7"/>
  <c r="R319" i="7"/>
  <c r="Q202" i="7"/>
  <c r="R202" i="7"/>
  <c r="R141" i="7"/>
  <c r="Q141" i="7"/>
  <c r="Q102" i="7"/>
  <c r="R102" i="7"/>
  <c r="R387" i="7"/>
  <c r="R241" i="7"/>
  <c r="Q273" i="7"/>
  <c r="R273" i="7"/>
  <c r="R214" i="7"/>
  <c r="Q214" i="7"/>
  <c r="Q178" i="7"/>
  <c r="R178" i="7"/>
  <c r="Q93" i="7"/>
  <c r="R93" i="7"/>
  <c r="R423" i="7"/>
  <c r="R461" i="7"/>
  <c r="R442" i="7"/>
  <c r="R403" i="7"/>
  <c r="R364" i="7"/>
  <c r="R343" i="7"/>
  <c r="R305" i="7"/>
  <c r="R256" i="7"/>
  <c r="R240" i="7"/>
  <c r="R156" i="7"/>
  <c r="R489" i="7"/>
  <c r="Q489" i="7"/>
  <c r="R392" i="7"/>
  <c r="Q392" i="7"/>
  <c r="Q359" i="7"/>
  <c r="R359" i="7"/>
  <c r="Q318" i="7"/>
  <c r="R318" i="7"/>
  <c r="R298" i="7"/>
  <c r="Q298" i="7"/>
  <c r="R368" i="7"/>
  <c r="Q368" i="7"/>
  <c r="R497" i="7"/>
  <c r="R439" i="7"/>
  <c r="R270" i="7"/>
  <c r="R155" i="7"/>
  <c r="R136" i="7"/>
  <c r="R103" i="7"/>
  <c r="R71" i="7"/>
  <c r="Q496" i="7"/>
  <c r="Q488" i="7"/>
  <c r="Q473" i="7"/>
  <c r="Q427" i="7"/>
  <c r="Q399" i="7"/>
  <c r="Q362" i="7"/>
  <c r="Q358" i="7"/>
  <c r="Q351" i="7"/>
  <c r="R322" i="7"/>
  <c r="Q322" i="7"/>
  <c r="Q310" i="7"/>
  <c r="R310" i="7"/>
  <c r="R285" i="7"/>
  <c r="Q285" i="7"/>
  <c r="R226" i="7"/>
  <c r="Q226" i="7"/>
  <c r="R478" i="7"/>
  <c r="R401" i="7"/>
  <c r="Q431" i="7"/>
  <c r="R431" i="7"/>
  <c r="Q326" i="7"/>
  <c r="R326" i="7"/>
  <c r="Q259" i="7"/>
  <c r="R259" i="7"/>
  <c r="Q185" i="7"/>
  <c r="R185" i="7"/>
  <c r="Q144" i="7"/>
  <c r="R144" i="7"/>
  <c r="Q216" i="7"/>
  <c r="Q165" i="7"/>
  <c r="Q142" i="7"/>
  <c r="Q153" i="7"/>
  <c r="R153" i="7"/>
  <c r="Q238" i="7"/>
  <c r="R238" i="7"/>
  <c r="Q130" i="7"/>
  <c r="R130" i="7"/>
  <c r="R231" i="7"/>
  <c r="R54" i="7"/>
  <c r="Q501" i="7"/>
  <c r="Q465" i="7"/>
  <c r="Q417" i="7"/>
  <c r="Q346" i="7"/>
  <c r="R346" i="7"/>
  <c r="R97" i="7"/>
  <c r="R164" i="7"/>
  <c r="Q164" i="7"/>
  <c r="R157" i="7"/>
  <c r="R428" i="7"/>
  <c r="Q428" i="7"/>
  <c r="R45" i="7"/>
  <c r="I56" i="1" l="1"/>
  <c r="I64" i="1"/>
  <c r="I33" i="1"/>
  <c r="I24" i="1"/>
  <c r="I72" i="1"/>
  <c r="I30" i="1"/>
  <c r="I113" i="1"/>
  <c r="I28" i="1"/>
  <c r="I47" i="1"/>
  <c r="I101" i="1"/>
  <c r="I78" i="1"/>
  <c r="I19" i="1"/>
  <c r="I79" i="1"/>
  <c r="I86" i="1"/>
  <c r="I39" i="1"/>
  <c r="I70" i="1"/>
  <c r="I53" i="1"/>
  <c r="I103" i="1"/>
  <c r="I82" i="1"/>
  <c r="I77" i="1"/>
  <c r="I43" i="1"/>
  <c r="I45" i="1"/>
  <c r="I25" i="1"/>
  <c r="I48" i="1"/>
  <c r="I110" i="1"/>
  <c r="I46" i="1"/>
  <c r="I62" i="1"/>
  <c r="I108" i="1"/>
  <c r="I97" i="1"/>
  <c r="I57" i="1"/>
  <c r="I22" i="1"/>
  <c r="I29" i="1"/>
  <c r="I58" i="1"/>
  <c r="K15" i="4"/>
  <c r="K85" i="4"/>
  <c r="K48" i="4"/>
  <c r="K10" i="4"/>
  <c r="K31" i="4"/>
  <c r="K80" i="4"/>
  <c r="K53" i="4"/>
  <c r="K76" i="4"/>
  <c r="K83" i="4"/>
  <c r="K73" i="4"/>
  <c r="K36" i="4"/>
  <c r="K9" i="4"/>
  <c r="K102" i="4"/>
  <c r="K56" i="4"/>
  <c r="K41" i="4"/>
  <c r="K64" i="4"/>
  <c r="K98" i="4"/>
  <c r="K61" i="4"/>
  <c r="K24" i="4"/>
  <c r="K35" i="4"/>
  <c r="K90" i="4"/>
  <c r="K32" i="4"/>
  <c r="K29" i="4"/>
  <c r="K52" i="4"/>
  <c r="K23" i="4"/>
  <c r="K86" i="4"/>
  <c r="K49" i="4"/>
  <c r="K12" i="4"/>
  <c r="K8" i="4"/>
  <c r="K78" i="4"/>
  <c r="K3" i="4"/>
  <c r="K17" i="4"/>
  <c r="K40" i="4"/>
  <c r="K21" i="4"/>
  <c r="K74" i="4"/>
  <c r="K37" i="4"/>
  <c r="K11" i="4"/>
  <c r="K95" i="4"/>
  <c r="K66" i="4"/>
  <c r="K79" i="4"/>
  <c r="K5" i="4"/>
  <c r="K28" i="4"/>
  <c r="K99" i="4"/>
  <c r="K62" i="4"/>
  <c r="K25" i="4"/>
  <c r="K94" i="4"/>
  <c r="K57" i="4"/>
  <c r="K54" i="4"/>
  <c r="K67" i="4"/>
  <c r="K47" i="4"/>
  <c r="K16" i="4"/>
  <c r="K87" i="4"/>
  <c r="K50" i="4"/>
  <c r="K13" i="4"/>
  <c r="K82" i="4"/>
  <c r="K43" i="4"/>
  <c r="K42" i="4"/>
  <c r="K55" i="4"/>
  <c r="K93" i="4"/>
  <c r="K4" i="4"/>
  <c r="K75" i="4"/>
  <c r="K38" i="4"/>
  <c r="K59" i="4"/>
  <c r="K70" i="4"/>
  <c r="K7" i="4"/>
  <c r="K30" i="4"/>
  <c r="K19" i="4"/>
  <c r="K81" i="4"/>
  <c r="I5" i="7"/>
  <c r="G6" i="7" s="1"/>
  <c r="I6" i="7" s="1"/>
  <c r="I44" i="1"/>
  <c r="I41" i="1"/>
  <c r="I49" i="1"/>
  <c r="I89" i="1"/>
  <c r="I27" i="1"/>
  <c r="I114" i="1"/>
  <c r="I26" i="1"/>
  <c r="I66" i="1"/>
  <c r="I112" i="1"/>
  <c r="I31" i="1"/>
  <c r="I60" i="1"/>
  <c r="I111" i="1"/>
  <c r="I90" i="1"/>
  <c r="I35" i="1"/>
  <c r="I50" i="1"/>
  <c r="I106" i="1"/>
  <c r="I36" i="1"/>
  <c r="I69" i="1"/>
  <c r="I52" i="1"/>
  <c r="I55" i="1"/>
  <c r="I92" i="1"/>
  <c r="I65" i="1"/>
  <c r="I104" i="1"/>
  <c r="I81" i="1"/>
  <c r="I38" i="1"/>
  <c r="I115" i="1"/>
  <c r="I109" i="1"/>
  <c r="I117" i="1"/>
  <c r="I42" i="1"/>
  <c r="I54" i="1"/>
  <c r="I116" i="1"/>
  <c r="I85" i="1"/>
  <c r="I83" i="1"/>
  <c r="I71" i="1"/>
  <c r="I23" i="1"/>
  <c r="I63" i="1"/>
  <c r="I51" i="1"/>
  <c r="I102" i="1"/>
  <c r="I75" i="1"/>
  <c r="I96" i="1"/>
  <c r="I87" i="1"/>
  <c r="I21" i="1"/>
  <c r="I74" i="1"/>
  <c r="R13" i="5"/>
  <c r="R10" i="5"/>
  <c r="R59" i="5"/>
  <c r="R60" i="5"/>
  <c r="R67" i="5"/>
  <c r="R79" i="5"/>
  <c r="R74" i="5"/>
  <c r="R73" i="5"/>
  <c r="R96" i="5"/>
  <c r="R63" i="5"/>
  <c r="R39" i="5"/>
  <c r="R6" i="5"/>
  <c r="R37" i="5"/>
  <c r="R90" i="5"/>
  <c r="R98" i="5"/>
  <c r="R69" i="5"/>
  <c r="R8" i="5"/>
  <c r="R16" i="5"/>
  <c r="R62" i="5"/>
  <c r="R23" i="5"/>
  <c r="R88" i="5"/>
  <c r="R35" i="5"/>
  <c r="R25" i="5"/>
  <c r="R21" i="5"/>
  <c r="R54" i="5"/>
  <c r="R48" i="5"/>
  <c r="R64" i="5"/>
  <c r="R52" i="5"/>
  <c r="R103" i="5"/>
  <c r="R11" i="5"/>
  <c r="R43" i="5"/>
  <c r="R34" i="5"/>
  <c r="R91" i="5"/>
  <c r="R76" i="5"/>
  <c r="R97" i="5"/>
  <c r="R94" i="5"/>
  <c r="R26" i="5"/>
  <c r="R89" i="5"/>
  <c r="R15" i="5"/>
  <c r="R28" i="5"/>
  <c r="R102" i="5"/>
  <c r="R47" i="5"/>
  <c r="R14" i="5"/>
  <c r="R18" i="5"/>
  <c r="R81" i="5"/>
  <c r="R77" i="5"/>
  <c r="R19" i="5"/>
  <c r="R71" i="5"/>
  <c r="R32" i="5"/>
  <c r="R51" i="5"/>
  <c r="R33" i="5"/>
  <c r="R40" i="5"/>
  <c r="R31" i="5"/>
  <c r="R57" i="5"/>
  <c r="R86" i="5"/>
  <c r="R29" i="5"/>
  <c r="R92" i="5"/>
  <c r="R72" i="5"/>
  <c r="R27" i="5"/>
  <c r="R7" i="5"/>
  <c r="R12" i="5"/>
  <c r="R22" i="5"/>
  <c r="R87" i="5"/>
  <c r="R83" i="5"/>
  <c r="R104" i="5"/>
  <c r="R105" i="5"/>
  <c r="R66" i="5"/>
  <c r="R46" i="5"/>
  <c r="R20" i="5"/>
  <c r="R70" i="5"/>
  <c r="R61" i="5"/>
  <c r="R95" i="5"/>
  <c r="R99" i="5"/>
  <c r="R101" i="5"/>
  <c r="R93" i="5"/>
  <c r="R78" i="5"/>
  <c r="R41" i="5"/>
  <c r="R17" i="5"/>
  <c r="R55" i="5"/>
  <c r="R38" i="5"/>
  <c r="R68" i="5"/>
  <c r="R42" i="5"/>
  <c r="R30" i="5"/>
  <c r="R9" i="5"/>
  <c r="R44" i="5"/>
  <c r="R82" i="5"/>
  <c r="R84" i="5"/>
  <c r="R75" i="5"/>
  <c r="R85" i="5"/>
  <c r="R65" i="5"/>
  <c r="R80" i="5"/>
  <c r="R36" i="5"/>
  <c r="R58" i="5"/>
  <c r="R45" i="5"/>
  <c r="R100" i="5"/>
  <c r="R53" i="5"/>
  <c r="R50" i="5"/>
  <c r="R56" i="5"/>
  <c r="R24" i="5"/>
  <c r="R49" i="5"/>
  <c r="B67" i="7"/>
  <c r="B78" i="7" s="1"/>
  <c r="B68" i="7"/>
  <c r="B64" i="7"/>
  <c r="B63" i="7"/>
  <c r="B75" i="7" s="1"/>
  <c r="G7" i="1" l="1"/>
  <c r="G9" i="1" s="1"/>
  <c r="G8" i="1"/>
  <c r="C26" i="4"/>
  <c r="C27" i="4"/>
  <c r="C24" i="4"/>
  <c r="C25" i="4"/>
  <c r="C36" i="5"/>
  <c r="A36" i="5"/>
  <c r="A38" i="5" s="1"/>
  <c r="A39"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5" authorId="0" shapeId="0" xr:uid="{09255663-F442-CF47-9B1C-27D93E9B0712}">
      <text>
        <r>
          <rPr>
            <b/>
            <sz val="10"/>
            <color rgb="FF000000"/>
            <rFont val="Tahoma"/>
            <family val="2"/>
          </rPr>
          <t>Microsoft Office User:</t>
        </r>
        <r>
          <rPr>
            <sz val="10"/>
            <color rgb="FF000000"/>
            <rFont val="Tahoma"/>
            <family val="2"/>
          </rPr>
          <t xml:space="preserve">
</t>
        </r>
        <r>
          <rPr>
            <sz val="10"/>
            <color rgb="FF000000"/>
            <rFont val="Tahoma"/>
            <family val="2"/>
          </rPr>
          <t xml:space="preserve">Using Data Analytsis/Random No. Gen./Normal(2, 0.3)
</t>
        </r>
      </text>
    </comment>
    <comment ref="E17" authorId="0" shapeId="0" xr:uid="{67053003-340A-4D4D-9322-3B6E6D2EF7C0}">
      <text>
        <r>
          <rPr>
            <b/>
            <sz val="10"/>
            <color rgb="FF000000"/>
            <rFont val="Tahoma"/>
            <family val="2"/>
          </rPr>
          <t>Microsoft Office User:</t>
        </r>
        <r>
          <rPr>
            <sz val="10"/>
            <color rgb="FF000000"/>
            <rFont val="Tahoma"/>
            <family val="2"/>
          </rPr>
          <t xml:space="preserve">
</t>
        </r>
        <r>
          <rPr>
            <sz val="10"/>
            <color rgb="FF000000"/>
            <rFont val="Tahoma"/>
            <family val="2"/>
          </rPr>
          <t xml:space="preserve">45% </t>
        </r>
        <r>
          <rPr>
            <sz val="10"/>
            <color rgb="FF000000"/>
            <rFont val="Tahoma"/>
            <family val="2"/>
          </rPr>
          <t>of Investing</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<sst xmlns="http://schemas.openxmlformats.org/spreadsheetml/2006/main" count="119" uniqueCount="87">
  <si>
    <t>ขั้นตอนการหา Standard Deviation</t>
  </si>
  <si>
    <t>Basic</t>
  </si>
  <si>
    <t>Wors case</t>
  </si>
  <si>
    <t>Most Likely</t>
  </si>
  <si>
    <t>Best case</t>
  </si>
  <si>
    <t>Cost</t>
  </si>
  <si>
    <t>Variable</t>
  </si>
  <si>
    <t>Fixed</t>
  </si>
  <si>
    <t>Demand</t>
  </si>
  <si>
    <t>Price</t>
  </si>
  <si>
    <t>ตอบ</t>
  </si>
  <si>
    <t>Revenue</t>
  </si>
  <si>
    <t>Expense</t>
  </si>
  <si>
    <t>AVERAGE</t>
  </si>
  <si>
    <t>Profit</t>
  </si>
  <si>
    <t>Binomial</t>
  </si>
  <si>
    <t>ครั้งที่</t>
  </si>
  <si>
    <t>Binomial random</t>
  </si>
  <si>
    <t>Prob.</t>
  </si>
  <si>
    <t>จำนวนCustomer</t>
  </si>
  <si>
    <t>จำนวนsession</t>
  </si>
  <si>
    <t>ตรงกันข้าม</t>
  </si>
  <si>
    <t>Binomial(p=0.3,1-p = 0.7)</t>
  </si>
  <si>
    <t>p Value</t>
  </si>
  <si>
    <t>Number of trials</t>
  </si>
  <si>
    <t>สรุปได้ว่าคน3คนจาก10คน จะชอบเยอะที่สุด คือ 27</t>
  </si>
  <si>
    <t>Empirical</t>
  </si>
  <si>
    <t>การนำข้อมูลที่เก็บสถิติมาใช้จำแนกโอกาสที่จะเป็นไปได้</t>
  </si>
  <si>
    <t>Stacked</t>
  </si>
  <si>
    <t>Random Uniform 0-1</t>
  </si>
  <si>
    <t>Frequency</t>
  </si>
  <si>
    <t>Randomiz</t>
  </si>
  <si>
    <t>XLOOKUP</t>
  </si>
  <si>
    <t>ถ้าไม่เจอให้เอาตัวถัดไป</t>
  </si>
  <si>
    <t>จำนวนครั้งที่เก็บข้อมูล</t>
  </si>
  <si>
    <t>COUNTIF</t>
  </si>
  <si>
    <t>Monte Carlo Simulation</t>
  </si>
  <si>
    <t>b.</t>
  </si>
  <si>
    <t>Short-Term</t>
  </si>
  <si>
    <t>Intermediate</t>
  </si>
  <si>
    <t>Long-Term</t>
  </si>
  <si>
    <t>Investment</t>
  </si>
  <si>
    <t>Random 1-100</t>
  </si>
  <si>
    <t>Ending balance</t>
  </si>
  <si>
    <t>Total balance</t>
  </si>
  <si>
    <t>mean</t>
  </si>
  <si>
    <t>stded</t>
  </si>
  <si>
    <t>ending balance =</t>
  </si>
  <si>
    <t>Investment + return</t>
  </si>
  <si>
    <t>ต้นทุน + กำไรหรือขาดทุน</t>
  </si>
  <si>
    <t>Mean</t>
  </si>
  <si>
    <t>Stdev</t>
  </si>
  <si>
    <t>กำไร</t>
  </si>
  <si>
    <t>เปลี่ยน J2-L2</t>
  </si>
  <si>
    <t>a.</t>
  </si>
  <si>
    <t>Investing a</t>
  </si>
  <si>
    <t>Mean balance</t>
  </si>
  <si>
    <t>Sigma (=Risk)</t>
  </si>
  <si>
    <t>Mean return</t>
  </si>
  <si>
    <t>Return</t>
  </si>
  <si>
    <t xml:space="preserve">Investing </t>
  </si>
  <si>
    <t>Randomizing</t>
  </si>
  <si>
    <t>Short-term</t>
  </si>
  <si>
    <t>Longterm</t>
  </si>
  <si>
    <t xml:space="preserve">  </t>
  </si>
  <si>
    <t>m=2, sigma=0.3</t>
  </si>
  <si>
    <t>m=5, sigma=2.5</t>
  </si>
  <si>
    <t>m=6.25, sigma=5.5</t>
  </si>
  <si>
    <t>Homwork</t>
  </si>
  <si>
    <t>Relative freq.</t>
  </si>
  <si>
    <t>Prob. Range (lower)</t>
  </si>
  <si>
    <t>Prob range (Upper)</t>
  </si>
  <si>
    <t>Week</t>
  </si>
  <si>
    <t>Production Capacity
กระจายDemand ตาม Frequency</t>
  </si>
  <si>
    <t>Demand 
(Triangular Distribution)</t>
  </si>
  <si>
    <r>
      <t xml:space="preserve">Simulated Production Capacity
</t>
    </r>
    <r>
      <rPr>
        <sz val="8"/>
        <color theme="1"/>
        <rFont val="Tahoma (เนื้อความ)"/>
        <charset val="222"/>
      </rPr>
      <t>INDEX($L$2:$L$51, RANDBETWEEN(1,50))</t>
    </r>
    <r>
      <rPr>
        <sz val="11"/>
        <color theme="1"/>
        <rFont val="Tahoma"/>
        <family val="2"/>
        <scheme val="minor"/>
      </rPr>
      <t xml:space="preserve">
</t>
    </r>
    <r>
      <rPr>
        <sz val="8"/>
        <color theme="1"/>
        <rFont val="Tahoma (เนื้อความ)"/>
        <charset val="222"/>
      </rPr>
      <t>สุ่ม Production Capacity</t>
    </r>
  </si>
  <si>
    <t>Cannot produce enough
O2 &gt; P2</t>
  </si>
  <si>
    <t>Excess production capacity
P2 &gt; O2</t>
  </si>
  <si>
    <t>cannot produce enough</t>
  </si>
  <si>
    <t>Excess production capacity</t>
  </si>
  <si>
    <t>a.(Using Python or Excel) With a seed of 1, to develop a Monte Carlo simulation with 500 trials. What are the mean and standard deviation of the demand and production capacity?</t>
  </si>
  <si>
    <t>Mean Demand</t>
  </si>
  <si>
    <t>Mean Simulated Production Capacity</t>
  </si>
  <si>
    <t>Stdev Demand</t>
  </si>
  <si>
    <t>Stdev Simulated Production Capacity</t>
  </si>
  <si>
    <t>b.	Based on the simulation, what is the probability that the company cannot produce enough N95 masks to support the regional hospitals?</t>
  </si>
  <si>
    <t>c.Based on the simulation, what is the probability that the company will have an excess production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</si>
</sst>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7" formatCode="_(* #,##0_);_(* \(#,##0\);_(* &quot;-&quot;??_);_(@_)"/>
  </numFmts>
  <fonts count="20" x14ac:knownFonts="1">
    <font>
      <sz val="11"/>
      <color theme="1"/>
      <name val="Tahoma"/>
      <family val="2"/>
      <scheme val="minor"/>
    </font>
    <font>
      <b/>
      <sz val="11"/>
      <color theme="1"/>
      <name val="Tahoma"/>
      <family val="2"/>
      <scheme val="minor"/>
    </font>
    <font>
      <sz val="10"/>
      <color rgb="FF000000"/>
      <name val="Tahoma"/>
      <family val="2"/>
    </font>
    <font>
      <b/>
      <sz val="10"/>
      <color rgb="FF000000"/>
      <name val="Tahoma"/>
      <family val="2"/>
    </font>
    <font>
      <sz val="11"/>
      <color theme="1"/>
      <name val="Tahoma"/>
      <family val="2"/>
      <scheme val="minor"/>
    </font>
    <font>
      <b/>
      <sz val="11"/>
      <color rgb="FFFF0000"/>
      <name val="Tahoma"/>
      <family val="2"/>
      <charset val="222"/>
      <scheme val="minor"/>
    </font>
    <font>
      <sz val="8"/>
      <color theme="1"/>
      <name val="Tahoma (เนื้อความ)"/>
      <charset val="222"/>
    </font>
    <font>
      <b/>
      <sz val="12"/>
      <name val="Helvetica"/>
      <family val="2"/>
      <charset val="222"/>
    </font>
    <font>
      <b/>
      <sz val="12"/>
      <color theme="1"/>
      <name val="Helvetica"/>
      <family val="2"/>
    </font>
    <font>
      <sz val="9"/>
      <color theme="1"/>
      <name val="Tahoma"/>
      <family val="2"/>
      <scheme val="minor"/>
    </font>
    <font>
      <sz val="8"/>
      <color theme="1"/>
      <name val="Tahoma"/>
      <family val="2"/>
      <scheme val="minor"/>
    </font>
    <font>
      <b/>
      <sz val="8"/>
      <color theme="1"/>
      <name val="Tahoma"/>
      <family val="2"/>
      <scheme val="minor"/>
    </font>
    <font>
      <sz val="11"/>
      <color rgb="FF000000"/>
      <name val="Tahoma"/>
      <family val="2"/>
      <scheme val="minor"/>
    </font>
    <font>
      <b/>
      <sz val="9"/>
      <color theme="1"/>
      <name val="Tahoma"/>
      <family val="2"/>
      <scheme val="minor"/>
    </font>
    <font>
      <b/>
      <sz val="10"/>
      <color theme="1"/>
      <name val="Tahoma"/>
      <family val="2"/>
      <scheme val="minor"/>
    </font>
    <font>
      <sz val="10"/>
      <color theme="1"/>
      <name val="Tahoma"/>
      <family val="2"/>
      <scheme val="minor"/>
    </font>
    <font>
      <b/>
      <sz val="12"/>
      <name val="Tahoma"/>
      <family val="2"/>
      <scheme val="minor"/>
    </font>
    <font>
      <b/>
      <sz val="12"/>
      <color rgb="FFFF0000"/>
      <name val="Tahoma"/>
      <family val="2"/>
      <scheme val="minor"/>
    </font>
    <font>
      <sz val="12"/>
      <color theme="1"/>
      <name val="Tahoma"/>
      <family val="2"/>
      <scheme val="minor"/>
    </font>
    <font>
      <sz val="14"/>
      <color theme="1"/>
      <name val="Tahoma"/>
      <family val="2"/>
      <scheme val="minor"/>
    </font>
  </fonts>
  <fills count="3">
    <fill>
      <patternFill patternType="none"/>
    </fill>
    <fill>
      <patternFill patternType="gray125"/>
    </fill>
    <fill>
      <patternFill patternType="solid">
        <fgColor rgb="FFFFFF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4" fillId="0" borderId="0" applyFont="0" applyFill="0" applyBorder="0" applyAlignment="0" applyProtection="0"/>
  </cellStyleXfs>
  <cellXfs count="91">
    <xf numFmtId="0" fontId="0" fillId="0" borderId="0" xfId="0"/>
    <xf numFmtId="0" fontId="1" fillId="0" borderId="0" xfId="0" applyFont="1"/>
    <xf numFmtId="0" fontId="1" fillId="0" borderId="0" xfId="0" applyFont="1" applyAlignment="1">
      <alignment horizontal="right"/>
    </xf>
    <xf numFmtId="0" fontId="0" fillId="2" borderId="1" xfId="0" applyFill="1" applyBorder="1"/>
    <xf numFmtId="0" fontId="0" fillId="0" borderId="0" xfId="0"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xf numFmtId="0" fontId="0" fillId="0" borderId="3" xfId="0" applyBorder="1"/>
    <xf numFmtId="0" fontId="0" fillId="0" borderId="4" xfId="0" applyBorder="1"/>
    <xf numFmtId="0" fontId="0" fillId="0" borderId="11" xfId="0" applyBorder="1"/>
    <xf numFmtId="2" fontId="1" fillId="0" borderId="0" xfId="0" applyNumberFormat="1" applyFont="1"/>
    <xf numFmtId="187" fontId="0" fillId="0" borderId="0" xfId="1" applyNumberFormat="1" applyFont="1"/>
    <xf numFmtId="10"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xf numFmtId="0" fontId="5" fillId="0" borderId="0" xfId="0" applyFont="1"/>
    <xf numFmtId="0" fontId="7" fillId="0" borderId="0" xfId="0" applyFont="1"/>
    <xf numFmtId="0" fontId="8" fillId="0" borderId="0" xfId="0" applyFont="1"/>
    <xf numFmtId="0" fontId="0" fillId="0" borderId="1" xfId="0" applyBorder="1" applyAlignment="1">
      <alignment horizontal="center" vertical="center"/>
    </xf>
    <xf numFmtId="0" fontId="1" fillId="0" borderId="0" xfId="0" applyFont="1" applyAlignment="1">
      <alignment horizontal="center" vertical="center"/>
    </xf>
    <xf numFmtId="0" fontId="9" fillId="0" borderId="0" xfId="0" applyFont="1"/>
    <xf numFmtId="0" fontId="10" fillId="0" borderId="0" xfId="0" applyFont="1"/>
    <xf numFmtId="0" fontId="1" fillId="0" borderId="1" xfId="0" applyFont="1" applyBorder="1"/>
    <xf numFmtId="0" fontId="10" fillId="0" borderId="1" xfId="0" applyFont="1" applyBorder="1"/>
    <xf numFmtId="0" fontId="9" fillId="0" borderId="1" xfId="0" applyFont="1" applyBorder="1"/>
    <xf numFmtId="0" fontId="1" fillId="0" borderId="0" xfId="0" applyFont="1" applyAlignment="1">
      <alignment horizontal="center"/>
    </xf>
    <xf numFmtId="0" fontId="0" fillId="0" borderId="13" xfId="0" applyBorder="1"/>
    <xf numFmtId="0" fontId="0" fillId="0" borderId="1" xfId="0" applyBorder="1" applyAlignment="1">
      <alignment horizontal="center"/>
    </xf>
    <xf numFmtId="0" fontId="9" fillId="0" borderId="1" xfId="0" applyFont="1" applyBorder="1" applyAlignment="1">
      <alignment horizontal="center" vertical="center"/>
    </xf>
    <xf numFmtId="0" fontId="11" fillId="0" borderId="1" xfId="0" applyFont="1" applyBorder="1"/>
    <xf numFmtId="10" fontId="0" fillId="0" borderId="1" xfId="0" applyNumberFormat="1" applyBorder="1"/>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xf numFmtId="0" fontId="0" fillId="0" borderId="19" xfId="0" applyBorder="1"/>
    <xf numFmtId="0" fontId="0" fillId="2" borderId="20" xfId="0" applyFill="1" applyBorder="1"/>
    <xf numFmtId="0" fontId="0" fillId="2" borderId="21" xfId="0" applyFill="1" applyBorder="1"/>
    <xf numFmtId="43" fontId="0" fillId="0" borderId="0" xfId="1" applyFont="1"/>
    <xf numFmtId="0" fontId="0" fillId="0" borderId="1" xfId="0" applyBorder="1" applyAlignment="1">
      <alignment horizontal="center" vertical="center" wrapText="1"/>
    </xf>
    <xf numFmtId="0" fontId="0" fillId="0" borderId="13" xfId="0" applyBorder="1" applyAlignment="1">
      <alignment horizontal="center" vertical="center" wrapText="1"/>
    </xf>
    <xf numFmtId="0" fontId="10" fillId="0" borderId="1" xfId="0" applyFont="1" applyBorder="1" applyAlignment="1">
      <alignment horizontal="center" vertical="center" wrapText="1"/>
    </xf>
    <xf numFmtId="10" fontId="5" fillId="0" borderId="1" xfId="0" applyNumberFormat="1" applyFont="1" applyBorder="1"/>
    <xf numFmtId="9" fontId="0" fillId="0" borderId="1" xfId="0" applyNumberFormat="1" applyBorder="1"/>
    <xf numFmtId="187" fontId="0" fillId="0" borderId="1" xfId="1" applyNumberFormat="1" applyFont="1" applyBorder="1"/>
    <xf numFmtId="0" fontId="0" fillId="0" borderId="22" xfId="0" applyBorder="1"/>
    <xf numFmtId="0" fontId="0" fillId="0" borderId="23" xfId="0" applyBorder="1"/>
    <xf numFmtId="0" fontId="0" fillId="0" borderId="24" xfId="0" applyBorder="1"/>
    <xf numFmtId="0" fontId="0" fillId="0" borderId="20" xfId="0" applyBorder="1"/>
    <xf numFmtId="187" fontId="0" fillId="0" borderId="21" xfId="1" applyNumberFormat="1" applyFont="1" applyBorder="1"/>
    <xf numFmtId="187" fontId="0" fillId="0" borderId="0" xfId="1" applyNumberFormat="1" applyFont="1" applyBorder="1"/>
    <xf numFmtId="187" fontId="0" fillId="0" borderId="19" xfId="1" applyNumberFormat="1" applyFont="1" applyBorder="1"/>
    <xf numFmtId="0" fontId="0" fillId="0" borderId="25" xfId="0" applyBorder="1"/>
    <xf numFmtId="187" fontId="0" fillId="0" borderId="26" xfId="1" applyNumberFormat="1" applyFont="1" applyBorder="1"/>
    <xf numFmtId="187" fontId="0" fillId="0" borderId="27" xfId="1" applyNumberFormat="1" applyFont="1" applyBorder="1"/>
    <xf numFmtId="187" fontId="9" fillId="0" borderId="1" xfId="1" applyNumberFormat="1" applyFont="1" applyBorder="1" applyAlignment="1">
      <alignment horizontal="center" vertical="center"/>
    </xf>
    <xf numFmtId="187" fontId="0" fillId="0" borderId="1" xfId="1" applyNumberFormat="1" applyFont="1" applyBorder="1" applyAlignment="1">
      <alignment horizontal="center" vertical="center"/>
    </xf>
    <xf numFmtId="187" fontId="14" fillId="0" borderId="1" xfId="1" applyNumberFormat="1" applyFont="1" applyBorder="1" applyAlignment="1">
      <alignment horizontal="center" vertical="center"/>
    </xf>
    <xf numFmtId="0" fontId="15" fillId="0" borderId="1" xfId="0" applyFont="1" applyBorder="1"/>
    <xf numFmtId="0" fontId="13" fillId="0" borderId="1" xfId="0" applyFont="1" applyBorder="1"/>
    <xf numFmtId="0" fontId="14" fillId="0" borderId="10" xfId="0" applyFont="1" applyBorder="1"/>
    <xf numFmtId="0" fontId="14" fillId="0" borderId="1" xfId="0" applyFont="1" applyBorder="1"/>
    <xf numFmtId="0" fontId="0" fillId="0" borderId="12" xfId="0" applyBorder="1" applyAlignment="1">
      <alignment horizontal="center" vertical="center"/>
    </xf>
    <xf numFmtId="0" fontId="12" fillId="0" borderId="1" xfId="0" applyFont="1" applyBorder="1" applyAlignment="1">
      <alignment horizontal="center" vertical="center"/>
    </xf>
    <xf numFmtId="0" fontId="12" fillId="0" borderId="12" xfId="0" applyFont="1" applyBorder="1" applyAlignment="1">
      <alignment horizontal="center" vertical="center"/>
    </xf>
    <xf numFmtId="0" fontId="12" fillId="0" borderId="11" xfId="0" applyFont="1" applyBorder="1" applyAlignment="1">
      <alignment horizontal="center" vertical="center"/>
    </xf>
    <xf numFmtId="0" fontId="12" fillId="0" borderId="9" xfId="0" applyFont="1" applyBorder="1" applyAlignment="1">
      <alignment horizontal="center" vertical="center"/>
    </xf>
    <xf numFmtId="0" fontId="14" fillId="0" borderId="18" xfId="0" applyFont="1" applyBorder="1"/>
    <xf numFmtId="0" fontId="14" fillId="0" borderId="0" xfId="0" applyFont="1"/>
    <xf numFmtId="0" fontId="14" fillId="0" borderId="19" xfId="0" applyFont="1" applyBorder="1"/>
    <xf numFmtId="0" fontId="15" fillId="0" borderId="0" xfId="0" applyFont="1"/>
    <xf numFmtId="0" fontId="0" fillId="0" borderId="13" xfId="0" applyBorder="1" applyAlignment="1">
      <alignment horizontal="center" vertical="center"/>
    </xf>
    <xf numFmtId="0" fontId="16" fillId="0" borderId="0" xfId="0" applyFont="1"/>
    <xf numFmtId="0" fontId="17" fillId="0" borderId="0" xfId="0" applyFont="1"/>
    <xf numFmtId="0" fontId="17" fillId="0" borderId="1" xfId="0" applyFont="1" applyBorder="1"/>
    <xf numFmtId="0" fontId="18" fillId="0" borderId="0" xfId="0" applyFont="1" applyAlignment="1">
      <alignment horizontal="center" vertical="center"/>
    </xf>
    <xf numFmtId="0" fontId="18" fillId="0" borderId="0" xfId="0" applyFont="1"/>
    <xf numFmtId="0" fontId="19" fillId="0" borderId="0" xfId="0" applyFont="1"/>
    <xf numFmtId="0" fontId="19" fillId="0" borderId="0" xfId="0" applyFont="1" applyAlignment="1">
      <alignment horizontal="center" vertical="center"/>
    </xf>
    <xf numFmtId="0" fontId="0" fillId="0" borderId="12"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1" fillId="0" borderId="0" xfId="0" applyFont="1" applyAlignment="1">
      <alignment horizontal="center" vertical="center"/>
    </xf>
    <xf numFmtId="0" fontId="0" fillId="0" borderId="0" xfId="0" applyAlignment="1">
      <alignment horizontal="right"/>
    </xf>
    <xf numFmtId="0" fontId="0" fillId="0" borderId="13" xfId="0" applyBorder="1" applyAlignment="1">
      <alignment horizontal="center"/>
    </xf>
    <xf numFmtId="0" fontId="0" fillId="0" borderId="14" xfId="0" applyBorder="1" applyAlignment="1">
      <alignment horizontal="center"/>
    </xf>
  </cellXfs>
  <cellStyles count="2">
    <cellStyle name="จุลภาค" xfId="1" builtinId="3"/>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solidFill>
            <a:ln>
              <a:noFill/>
            </a:ln>
            <a:effectLst/>
          </c:spPr>
          <c:invertIfNegative val="0"/>
          <c:val>
            <c:numRef>
              <c:f>Binomial!$G$3:$G$12</c:f>
              <c:numCache>
                <c:formatCode>General</c:formatCode>
                <c:ptCount val="10"/>
                <c:pt idx="0">
                  <c:v>17</c:v>
                </c:pt>
                <c:pt idx="1">
                  <c:v>18</c:v>
                </c:pt>
                <c:pt idx="2">
                  <c:v>27</c:v>
                </c:pt>
                <c:pt idx="3">
                  <c:v>22</c:v>
                </c:pt>
                <c:pt idx="4">
                  <c:v>6</c:v>
                </c:pt>
                <c:pt idx="5">
                  <c:v>4</c:v>
                </c:pt>
                <c:pt idx="6">
                  <c:v>2</c:v>
                </c:pt>
                <c:pt idx="7">
                  <c:v>0</c:v>
                </c:pt>
                <c:pt idx="8">
                  <c:v>0</c:v>
                </c:pt>
                <c:pt idx="9">
                  <c:v>0</c:v>
                </c:pt>
              </c:numCache>
            </c:numRef>
          </c:val>
          <c:extLst>
            <c:ext xmlns:c16="http://schemas.microsoft.com/office/drawing/2014/chart" uri="{C3380CC4-5D6E-409C-BE32-E72D297353CC}">
              <c16:uniqueId val="{00000000-52A2-644E-8F10-07ECA6FC9686}"/>
            </c:ext>
          </c:extLst>
        </c:ser>
        <c:dLbls>
          <c:showLegendKey val="0"/>
          <c:showVal val="0"/>
          <c:showCatName val="0"/>
          <c:showSerName val="0"/>
          <c:showPercent val="0"/>
          <c:showBubbleSize val="0"/>
        </c:dLbls>
        <c:gapWidth val="219"/>
        <c:overlap val="-27"/>
        <c:axId val="887705295"/>
        <c:axId val="887747775"/>
      </c:barChart>
      <c:catAx>
        <c:axId val="8877052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87747775"/>
        <c:crosses val="autoZero"/>
        <c:auto val="1"/>
        <c:lblAlgn val="ctr"/>
        <c:lblOffset val="100"/>
        <c:noMultiLvlLbl val="0"/>
      </c:catAx>
      <c:valAx>
        <c:axId val="88774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887705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52431</xdr:colOff>
      <xdr:row>1</xdr:row>
      <xdr:rowOff>69909</xdr:rowOff>
    </xdr:from>
    <xdr:to>
      <xdr:col>3</xdr:col>
      <xdr:colOff>613339</xdr:colOff>
      <xdr:row>7</xdr:row>
      <xdr:rowOff>168946</xdr:rowOff>
    </xdr:to>
    <xdr:pic>
      <xdr:nvPicPr>
        <xdr:cNvPr id="2" name="รูปภาพ 1">
          <a:extLst>
            <a:ext uri="{FF2B5EF4-FFF2-40B4-BE49-F238E27FC236}">
              <a16:creationId xmlns:a16="http://schemas.microsoft.com/office/drawing/2014/main" id="{82B01DE9-F510-00D7-A463-8B3C70F3C41C}"/>
            </a:ext>
          </a:extLst>
        </xdr:cNvPr>
        <xdr:cNvPicPr>
          <a:picLocks noChangeAspect="1"/>
        </xdr:cNvPicPr>
      </xdr:nvPicPr>
      <xdr:blipFill>
        <a:blip xmlns:r="http://schemas.openxmlformats.org/officeDocument/2006/relationships" r:embed="rId1"/>
        <a:stretch>
          <a:fillRect/>
        </a:stretch>
      </xdr:blipFill>
      <xdr:spPr>
        <a:xfrm>
          <a:off x="52431" y="250505"/>
          <a:ext cx="3042651" cy="1182615"/>
        </a:xfrm>
        <a:prstGeom prst="rect">
          <a:avLst/>
        </a:prstGeom>
      </xdr:spPr>
    </xdr:pic>
    <xdr:clientData/>
  </xdr:twoCellAnchor>
  <xdr:twoCellAnchor editAs="oneCell">
    <xdr:from>
      <xdr:col>0</xdr:col>
      <xdr:colOff>0</xdr:colOff>
      <xdr:row>9</xdr:row>
      <xdr:rowOff>0</xdr:rowOff>
    </xdr:from>
    <xdr:to>
      <xdr:col>6</xdr:col>
      <xdr:colOff>205414</xdr:colOff>
      <xdr:row>58</xdr:row>
      <xdr:rowOff>53480</xdr:rowOff>
    </xdr:to>
    <xdr:pic>
      <xdr:nvPicPr>
        <xdr:cNvPr id="3" name="รูปภาพ 2">
          <a:extLst>
            <a:ext uri="{FF2B5EF4-FFF2-40B4-BE49-F238E27FC236}">
              <a16:creationId xmlns:a16="http://schemas.microsoft.com/office/drawing/2014/main" id="{0E747102-FC45-961C-0C05-2477E3D94B9D}"/>
            </a:ext>
          </a:extLst>
        </xdr:cNvPr>
        <xdr:cNvPicPr>
          <a:picLocks noChangeAspect="1"/>
        </xdr:cNvPicPr>
      </xdr:nvPicPr>
      <xdr:blipFill>
        <a:blip xmlns:r="http://schemas.openxmlformats.org/officeDocument/2006/relationships" r:embed="rId2"/>
        <a:stretch>
          <a:fillRect/>
        </a:stretch>
      </xdr:blipFill>
      <xdr:spPr>
        <a:xfrm>
          <a:off x="0" y="1625367"/>
          <a:ext cx="5168900" cy="8902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498796</xdr:colOff>
      <xdr:row>17</xdr:row>
      <xdr:rowOff>4050</xdr:rowOff>
    </xdr:from>
    <xdr:to>
      <xdr:col>6</xdr:col>
      <xdr:colOff>100496</xdr:colOff>
      <xdr:row>30</xdr:row>
      <xdr:rowOff>42703</xdr:rowOff>
    </xdr:to>
    <xdr:sp macro="" textlink="">
      <xdr:nvSpPr>
        <xdr:cNvPr id="2" name="กล่องข้อความ 1">
          <a:extLst>
            <a:ext uri="{FF2B5EF4-FFF2-40B4-BE49-F238E27FC236}">
              <a16:creationId xmlns:a16="http://schemas.microsoft.com/office/drawing/2014/main" id="{8C1C2B61-6AF9-82C3-2FE2-70449C756FFA}"/>
            </a:ext>
          </a:extLst>
        </xdr:cNvPr>
        <xdr:cNvSpPr txBox="1"/>
      </xdr:nvSpPr>
      <xdr:spPr>
        <a:xfrm>
          <a:off x="498796" y="2959285"/>
          <a:ext cx="5551926" cy="2278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 sz="1100" b="0" i="0" u="none" strike="noStrike">
              <a:solidFill>
                <a:schemeClr val="dk1"/>
              </a:solidFill>
              <a:effectLst/>
              <a:latin typeface="+mn-lt"/>
              <a:ea typeface="+mn-ea"/>
              <a:cs typeface="+mn-cs"/>
            </a:rPr>
            <a:t>Example: A company in the western United States manufactures and distributes women’s hand- bags to retail stores around the country. </a:t>
          </a:r>
        </a:p>
        <a:p>
          <a:br>
            <a:rPr lang="en" sz="1100" b="0" i="0" u="none" strike="noStrike">
              <a:solidFill>
                <a:schemeClr val="dk1"/>
              </a:solidFill>
              <a:effectLst/>
              <a:latin typeface="+mn-lt"/>
              <a:ea typeface="+mn-ea"/>
              <a:cs typeface="+mn-cs"/>
            </a:rPr>
          </a:br>
          <a:r>
            <a:rPr lang="en" sz="1100" b="0" i="0" u="none" strike="noStrike">
              <a:solidFill>
                <a:schemeClr val="dk1"/>
              </a:solidFill>
              <a:effectLst/>
              <a:latin typeface="+mn-lt"/>
              <a:ea typeface="+mn-ea"/>
              <a:cs typeface="+mn-cs"/>
            </a:rPr>
            <a:t>-To manufacture a handbag, the company usually incurs a variable cost of $40 per handbag, but the actual costs in the past have ranged from $35 to $46 per handbag. </a:t>
          </a:r>
        </a:p>
        <a:p>
          <a:br>
            <a:rPr lang="en" sz="1100" b="0" i="0" u="none" strike="noStrike">
              <a:solidFill>
                <a:schemeClr val="dk1"/>
              </a:solidFill>
              <a:effectLst/>
              <a:latin typeface="+mn-lt"/>
              <a:ea typeface="+mn-ea"/>
              <a:cs typeface="+mn-cs"/>
            </a:rPr>
          </a:br>
          <a:r>
            <a:rPr lang="en" sz="1100" b="0" i="0" u="none" strike="noStrike">
              <a:solidFill>
                <a:schemeClr val="dk1"/>
              </a:solidFill>
              <a:effectLst/>
              <a:latin typeface="+mn-lt"/>
              <a:ea typeface="+mn-ea"/>
              <a:cs typeface="+mn-cs"/>
            </a:rPr>
            <a:t>-The overall fixed cost is usually $43,000 but may vary between $31,000 and $52,000. </a:t>
          </a:r>
        </a:p>
        <a:p>
          <a:br>
            <a:rPr lang="en" sz="1100" b="0" i="0" u="none" strike="noStrike">
              <a:solidFill>
                <a:schemeClr val="dk1"/>
              </a:solidFill>
              <a:effectLst/>
              <a:latin typeface="+mn-lt"/>
              <a:ea typeface="+mn-ea"/>
              <a:cs typeface="+mn-cs"/>
            </a:rPr>
          </a:br>
          <a:r>
            <a:rPr lang="en" sz="1100" b="0" i="0" u="none" strike="noStrike">
              <a:solidFill>
                <a:schemeClr val="dk1"/>
              </a:solidFill>
              <a:effectLst/>
              <a:latin typeface="+mn-lt"/>
              <a:ea typeface="+mn-ea"/>
              <a:cs typeface="+mn-cs"/>
            </a:rPr>
            <a:t>-The retail price of each handbag is $65. Based on a small amount of sales data available, the demand has fluctuated between 2,500 and 5,000 handbags per quarter, but in most quarters the demand has been about 3,500 handbags. </a:t>
          </a:r>
        </a:p>
        <a:p>
          <a:br>
            <a:rPr lang="en" sz="1100" b="0" i="0" u="none" strike="noStrike">
              <a:solidFill>
                <a:schemeClr val="dk1"/>
              </a:solidFill>
              <a:effectLst/>
              <a:latin typeface="+mn-lt"/>
              <a:ea typeface="+mn-ea"/>
              <a:cs typeface="+mn-cs"/>
            </a:rPr>
          </a:br>
          <a:r>
            <a:rPr lang="en" sz="1100" b="0" i="0" u="none" strike="noStrike">
              <a:solidFill>
                <a:schemeClr val="dk1"/>
              </a:solidFill>
              <a:effectLst/>
              <a:latin typeface="+mn-lt"/>
              <a:ea typeface="+mn-ea"/>
              <a:cs typeface="+mn-cs"/>
            </a:rPr>
            <a:t>-Conduct a risk analysis to assess the quarterly profitability of the company. </a:t>
          </a:r>
          <a:r>
            <a:rPr lang="en"/>
            <a:t> </a:t>
          </a:r>
          <a:endParaRPr lang="th-T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30788</xdr:colOff>
      <xdr:row>33</xdr:row>
      <xdr:rowOff>3464</xdr:rowOff>
    </xdr:from>
    <xdr:to>
      <xdr:col>12</xdr:col>
      <xdr:colOff>803179</xdr:colOff>
      <xdr:row>42</xdr:row>
      <xdr:rowOff>15393</xdr:rowOff>
    </xdr:to>
    <xdr:sp macro="" textlink="">
      <xdr:nvSpPr>
        <xdr:cNvPr id="2" name="กล่องข้อความ 1">
          <a:extLst>
            <a:ext uri="{FF2B5EF4-FFF2-40B4-BE49-F238E27FC236}">
              <a16:creationId xmlns:a16="http://schemas.microsoft.com/office/drawing/2014/main" id="{EEF1D751-806D-0293-A946-21DA0FB0BCE5}"/>
            </a:ext>
          </a:extLst>
        </xdr:cNvPr>
        <xdr:cNvSpPr txBox="1"/>
      </xdr:nvSpPr>
      <xdr:spPr>
        <a:xfrm>
          <a:off x="3948546" y="5845464"/>
          <a:ext cx="6768330" cy="16052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0000"/>
            </a:lnSpc>
            <a:spcBef>
              <a:spcPts val="600"/>
            </a:spcBef>
            <a:spcAft>
              <a:spcPts val="600"/>
            </a:spcAft>
          </a:pPr>
          <a:r>
            <a:rPr lang="en-US" sz="1000" dirty="0"/>
            <a:t>Example: A company estimates that 30% of its customers would react positively to its new web features. </a:t>
          </a:r>
        </a:p>
        <a:p>
          <a:pPr>
            <a:lnSpc>
              <a:spcPct val="110000"/>
            </a:lnSpc>
            <a:spcBef>
              <a:spcPts val="600"/>
            </a:spcBef>
            <a:spcAft>
              <a:spcPts val="600"/>
            </a:spcAft>
          </a:pPr>
          <a:r>
            <a:rPr lang="en-US" sz="1000" dirty="0"/>
            <a:t>-Here, we demonstrate how to generate random observations that represent the number of customers who react positively to the company’s new web features in a randomly selected group of 10 customers. </a:t>
          </a:r>
        </a:p>
        <a:p>
          <a:pPr>
            <a:lnSpc>
              <a:spcPct val="110000"/>
            </a:lnSpc>
            <a:spcBef>
              <a:spcPts val="600"/>
            </a:spcBef>
            <a:spcAft>
              <a:spcPts val="600"/>
            </a:spcAft>
          </a:pPr>
          <a:r>
            <a:rPr lang="en-US" sz="1000" dirty="0"/>
            <a:t>-Simulate random observations based on 100 groups of 10 customers. </a:t>
          </a:r>
        </a:p>
        <a:p>
          <a:pPr lvl="1">
            <a:lnSpc>
              <a:spcPct val="110000"/>
            </a:lnSpc>
            <a:spcBef>
              <a:spcPts val="600"/>
            </a:spcBef>
            <a:spcAft>
              <a:spcPts val="600"/>
            </a:spcAft>
          </a:pPr>
          <a:r>
            <a:rPr lang="en-US" sz="1000" dirty="0"/>
            <a:t>-This is a binomial distribution experiment</a:t>
          </a:r>
        </a:p>
        <a:p>
          <a:endParaRPr lang="th-TH" sz="1100"/>
        </a:p>
      </xdr:txBody>
    </xdr:sp>
    <xdr:clientData/>
  </xdr:twoCellAnchor>
  <xdr:twoCellAnchor>
    <xdr:from>
      <xdr:col>5</xdr:col>
      <xdr:colOff>419484</xdr:colOff>
      <xdr:row>16</xdr:row>
      <xdr:rowOff>10005</xdr:rowOff>
    </xdr:from>
    <xdr:to>
      <xdr:col>10</xdr:col>
      <xdr:colOff>642697</xdr:colOff>
      <xdr:row>31</xdr:row>
      <xdr:rowOff>97752</xdr:rowOff>
    </xdr:to>
    <xdr:graphicFrame macro="">
      <xdr:nvGraphicFramePr>
        <xdr:cNvPr id="3" name="แผนภูมิ 2">
          <a:extLst>
            <a:ext uri="{FF2B5EF4-FFF2-40B4-BE49-F238E27FC236}">
              <a16:creationId xmlns:a16="http://schemas.microsoft.com/office/drawing/2014/main" id="{D80DBEDF-4C0F-713A-DA60-74E5F907D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177800</xdr:colOff>
      <xdr:row>7</xdr:row>
      <xdr:rowOff>146243</xdr:rowOff>
    </xdr:from>
    <xdr:to>
      <xdr:col>3</xdr:col>
      <xdr:colOff>601133</xdr:colOff>
      <xdr:row>19</xdr:row>
      <xdr:rowOff>74947</xdr:rowOff>
    </xdr:to>
    <xdr:pic>
      <xdr:nvPicPr>
        <xdr:cNvPr id="3" name="รูปภาพ 2">
          <a:extLst>
            <a:ext uri="{FF2B5EF4-FFF2-40B4-BE49-F238E27FC236}">
              <a16:creationId xmlns:a16="http://schemas.microsoft.com/office/drawing/2014/main" id="{AEA9F8B8-BCE3-E72A-A94A-6F069C6C1194}"/>
            </a:ext>
          </a:extLst>
        </xdr:cNvPr>
        <xdr:cNvPicPr>
          <a:picLocks noChangeAspect="1"/>
        </xdr:cNvPicPr>
      </xdr:nvPicPr>
      <xdr:blipFill>
        <a:blip xmlns:r="http://schemas.openxmlformats.org/officeDocument/2006/relationships" r:embed="rId1"/>
        <a:stretch>
          <a:fillRect/>
        </a:stretch>
      </xdr:blipFill>
      <xdr:spPr>
        <a:xfrm>
          <a:off x="177800" y="1390843"/>
          <a:ext cx="3064933" cy="20623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91441</xdr:colOff>
      <xdr:row>9</xdr:row>
      <xdr:rowOff>116839</xdr:rowOff>
    </xdr:from>
    <xdr:to>
      <xdr:col>4</xdr:col>
      <xdr:colOff>193041</xdr:colOff>
      <xdr:row>29</xdr:row>
      <xdr:rowOff>82973</xdr:rowOff>
    </xdr:to>
    <xdr:sp macro="" textlink="">
      <xdr:nvSpPr>
        <xdr:cNvPr id="2" name="กล่องข้อความ 1">
          <a:extLst>
            <a:ext uri="{FF2B5EF4-FFF2-40B4-BE49-F238E27FC236}">
              <a16:creationId xmlns:a16="http://schemas.microsoft.com/office/drawing/2014/main" id="{E3D567B6-7367-B0A0-224E-E544FFD232A2}"/>
            </a:ext>
          </a:extLst>
        </xdr:cNvPr>
        <xdr:cNvSpPr txBox="1"/>
      </xdr:nvSpPr>
      <xdr:spPr>
        <a:xfrm>
          <a:off x="91441" y="1762759"/>
          <a:ext cx="3931920" cy="3623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nSpc>
              <a:spcPct val="120000"/>
            </a:lnSpc>
            <a:spcBef>
              <a:spcPts val="1200"/>
            </a:spcBef>
            <a:buNone/>
          </a:pPr>
          <a:r>
            <a:rPr lang="en-TH" dirty="0"/>
            <a:t>An investor wants to invest </a:t>
          </a:r>
          <a:r>
            <a:rPr lang="en-TH" b="1" dirty="0"/>
            <a:t>$300,000 </a:t>
          </a:r>
          <a:r>
            <a:rPr lang="en-TH" dirty="0"/>
            <a:t>in a portfolio of 3 mutual funds. The annual fund returns are normally distributed with a mean of </a:t>
          </a:r>
          <a:r>
            <a:rPr lang="en-TH" b="1" dirty="0"/>
            <a:t>2.0%</a:t>
          </a:r>
          <a:r>
            <a:rPr lang="en-TH" dirty="0"/>
            <a:t> and Stdev of </a:t>
          </a:r>
          <a:r>
            <a:rPr lang="en-TH" b="1" dirty="0"/>
            <a:t>0.3%</a:t>
          </a:r>
          <a:r>
            <a:rPr lang="en-TH" dirty="0"/>
            <a:t> for the short-term investment fund, a mean of </a:t>
          </a:r>
          <a:r>
            <a:rPr lang="en-TH" b="1" dirty="0"/>
            <a:t>5.0%</a:t>
          </a:r>
          <a:r>
            <a:rPr lang="en-TH" dirty="0"/>
            <a:t> and Stdev of 2.5% for the intermediate-term fund, and a mean of </a:t>
          </a:r>
          <a:r>
            <a:rPr lang="en-TH" b="1" dirty="0"/>
            <a:t>6.25% </a:t>
          </a:r>
          <a:r>
            <a:rPr lang="en-TH" dirty="0"/>
            <a:t>and stdev of </a:t>
          </a:r>
          <a:r>
            <a:rPr lang="en-TH" b="1" dirty="0"/>
            <a:t>5.5%</a:t>
          </a:r>
          <a:r>
            <a:rPr lang="en-TH" dirty="0"/>
            <a:t> for the long-term fund. An initial plan for the investment allocation is 45% in the short-term, </a:t>
          </a:r>
          <a:r>
            <a:rPr lang="en-TH" b="1" dirty="0"/>
            <a:t>35% </a:t>
          </a:r>
          <a:r>
            <a:rPr lang="en-TH" dirty="0"/>
            <a:t>in the intermediate-term, and 20% in the long-term fund.</a:t>
          </a:r>
        </a:p>
        <a:p>
          <a:pPr marL="0" indent="0">
            <a:lnSpc>
              <a:spcPct val="120000"/>
            </a:lnSpc>
            <a:spcBef>
              <a:spcPts val="600"/>
            </a:spcBef>
            <a:buNone/>
          </a:pPr>
          <a:endParaRPr lang="en-TH" dirty="0"/>
        </a:p>
        <a:p>
          <a:pPr marL="514350" indent="-514350">
            <a:lnSpc>
              <a:spcPct val="120000"/>
            </a:lnSpc>
            <a:spcBef>
              <a:spcPts val="1200"/>
            </a:spcBef>
            <a:buAutoNum type="alphaLcParenR"/>
          </a:pPr>
          <a:r>
            <a:rPr lang="en-TH" dirty="0"/>
            <a:t>Use a seed of 1, to simulate </a:t>
          </a:r>
          <a:r>
            <a:rPr lang="en-TH" b="1" dirty="0"/>
            <a:t>100</a:t>
          </a:r>
          <a:r>
            <a:rPr lang="en-TH" dirty="0"/>
            <a:t> trials to estimate the mean ending balance after the first year and assess the risk of this investment.</a:t>
          </a:r>
        </a:p>
        <a:p>
          <a:pPr marL="514350" indent="-514350">
            <a:lnSpc>
              <a:spcPct val="120000"/>
            </a:lnSpc>
            <a:spcBef>
              <a:spcPts val="1200"/>
            </a:spcBef>
            <a:buAutoNum type="alphaLcParenR"/>
          </a:pPr>
          <a:r>
            <a:rPr lang="en-TH" dirty="0"/>
            <a:t>What if the allocation is change to 30:55:15?</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48535</xdr:colOff>
      <xdr:row>1</xdr:row>
      <xdr:rowOff>48536</xdr:rowOff>
    </xdr:from>
    <xdr:to>
      <xdr:col>4</xdr:col>
      <xdr:colOff>167068</xdr:colOff>
      <xdr:row>11</xdr:row>
      <xdr:rowOff>152202</xdr:rowOff>
    </xdr:to>
    <xdr:pic>
      <xdr:nvPicPr>
        <xdr:cNvPr id="2" name="Picture 1">
          <a:extLst>
            <a:ext uri="{FF2B5EF4-FFF2-40B4-BE49-F238E27FC236}">
              <a16:creationId xmlns:a16="http://schemas.microsoft.com/office/drawing/2014/main" id="{94A76B10-F7CC-0FDA-5BAB-7E13BC9D1718}"/>
            </a:ext>
          </a:extLst>
        </xdr:cNvPr>
        <xdr:cNvPicPr>
          <a:picLocks noChangeAspect="1"/>
        </xdr:cNvPicPr>
      </xdr:nvPicPr>
      <xdr:blipFill>
        <a:blip xmlns:r="http://schemas.openxmlformats.org/officeDocument/2006/relationships" r:embed="rId1"/>
        <a:stretch>
          <a:fillRect/>
        </a:stretch>
      </xdr:blipFill>
      <xdr:spPr>
        <a:xfrm>
          <a:off x="48535" y="226498"/>
          <a:ext cx="4373437" cy="18832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639567</xdr:colOff>
      <xdr:row>15</xdr:row>
      <xdr:rowOff>182734</xdr:rowOff>
    </xdr:from>
    <xdr:to>
      <xdr:col>8</xdr:col>
      <xdr:colOff>146187</xdr:colOff>
      <xdr:row>56</xdr:row>
      <xdr:rowOff>27410</xdr:rowOff>
    </xdr:to>
    <xdr:sp macro="" textlink="">
      <xdr:nvSpPr>
        <xdr:cNvPr id="2" name="กล่องข้อความ 1">
          <a:extLst>
            <a:ext uri="{FF2B5EF4-FFF2-40B4-BE49-F238E27FC236}">
              <a16:creationId xmlns:a16="http://schemas.microsoft.com/office/drawing/2014/main" id="{6FD91FCE-179D-2C4D-BAA0-509A1167752D}"/>
            </a:ext>
          </a:extLst>
        </xdr:cNvPr>
        <xdr:cNvSpPr txBox="1"/>
      </xdr:nvSpPr>
      <xdr:spPr>
        <a:xfrm>
          <a:off x="639567" y="3216115"/>
          <a:ext cx="4440433" cy="69895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dk1"/>
              </a:solidFill>
              <a:effectLst/>
              <a:latin typeface="+mn-lt"/>
              <a:ea typeface="+mn-ea"/>
              <a:cs typeface="+mn-cs"/>
            </a:rPr>
            <a:t>37. A medical supply provider manufactures disposable N95 respirator masks and packages them into air-sealed boxes, with each box containing 200 individual masks. Once a week, the company produces the masks and distributes them to several regional hospitals. The company also produces other types of masks and medical supplies that require the same resources. As a result, its production capacity for the N95 masks varies from week to week. The accompanying frequency distribution shows the weekly N95 mask production capacity from the previous 50 weeks.</a:t>
          </a:r>
        </a:p>
        <a:p>
          <a:r>
            <a:rPr lang="en-US" sz="1400">
              <a:solidFill>
                <a:schemeClr val="dk1"/>
              </a:solidFill>
              <a:effectLst/>
              <a:latin typeface="+mn-lt"/>
              <a:ea typeface="+mn-ea"/>
              <a:cs typeface="+mn-cs"/>
            </a:rPr>
            <a:t>During a pandemic, the company has difficulties predicting the demand for the N95 masks and can only speculate that, at minimum, the hospitals will need 170 boxes of the masks on a weekly basis. After consulting with the local public health officials, the company believes that the hospitals will not require more than 400 boxes of N95 masks per week, and the most likely demand would be about 200 boxes each week, according to Triangular distribution. </a:t>
          </a:r>
        </a:p>
        <a:p>
          <a:r>
            <a:rPr lang="en-US" sz="1400">
              <a:solidFill>
                <a:schemeClr val="dk1"/>
              </a:solidFill>
              <a:effectLst/>
              <a:latin typeface="+mn-lt"/>
              <a:ea typeface="+mn-ea"/>
              <a:cs typeface="+mn-cs"/>
            </a:rPr>
            <a:t> </a:t>
          </a:r>
        </a:p>
        <a:p>
          <a:pPr lvl="0"/>
          <a:r>
            <a:rPr lang="en-US" sz="1400">
              <a:solidFill>
                <a:schemeClr val="dk1"/>
              </a:solidFill>
              <a:effectLst/>
              <a:latin typeface="+mn-lt"/>
              <a:ea typeface="+mn-ea"/>
              <a:cs typeface="+mn-cs"/>
            </a:rPr>
            <a:t>a.(Using Python or Excel) With a seed of 1, to develop a Monte Carlo simulation with 500 trials. What are the mean and standard deviation of the demand and production capacity?</a:t>
          </a:r>
        </a:p>
        <a:p>
          <a:pPr lvl="0"/>
          <a:r>
            <a:rPr lang="en-US" sz="1400">
              <a:solidFill>
                <a:schemeClr val="dk1"/>
              </a:solidFill>
              <a:effectLst/>
              <a:latin typeface="+mn-lt"/>
              <a:ea typeface="+mn-ea"/>
              <a:cs typeface="+mn-cs"/>
            </a:rPr>
            <a:t>b.Based on the simulation, what is the probability that the company cannot produce enough N95 masks to support the regional hospitals?</a:t>
          </a:r>
        </a:p>
        <a:p>
          <a:pPr lvl="0"/>
          <a:r>
            <a:rPr lang="en-US" sz="1400">
              <a:solidFill>
                <a:schemeClr val="dk1"/>
              </a:solidFill>
              <a:effectLst/>
              <a:latin typeface="+mn-lt"/>
              <a:ea typeface="+mn-ea"/>
              <a:cs typeface="+mn-cs"/>
            </a:rPr>
            <a:t>c.Based on the simulation, what is the probability that the company will have an excess production capacity?</a:t>
          </a:r>
        </a:p>
        <a:p>
          <a:r>
            <a:rPr lang="en-US" sz="1400">
              <a:solidFill>
                <a:schemeClr val="dk1"/>
              </a:solidFill>
              <a:effectLst/>
              <a:latin typeface="+mn-lt"/>
              <a:ea typeface="+mn-ea"/>
              <a:cs typeface="+mn-cs"/>
            </a:rPr>
            <a:t> </a:t>
          </a:r>
        </a:p>
        <a:p>
          <a:r>
            <a:rPr lang="en-US" sz="1400" b="1">
              <a:solidFill>
                <a:schemeClr val="dk1"/>
              </a:solidFill>
              <a:effectLst/>
              <a:latin typeface="+mn-lt"/>
              <a:ea typeface="+mn-ea"/>
              <a:cs typeface="+mn-cs"/>
            </a:rPr>
            <a:t>Note:</a:t>
          </a:r>
        </a:p>
        <a:p>
          <a:r>
            <a:rPr lang="en-US" sz="1400" b="1">
              <a:solidFill>
                <a:schemeClr val="dk1"/>
              </a:solidFill>
              <a:effectLst/>
              <a:latin typeface="+mn-lt"/>
              <a:ea typeface="+mn-ea"/>
              <a:cs typeface="+mn-cs"/>
            </a:rPr>
            <a:t>For the N95 Demand, max = 400, min = 170, and mode = 200.</a:t>
          </a:r>
        </a:p>
        <a:p>
          <a:r>
            <a:rPr lang="en-US" sz="1400">
              <a:solidFill>
                <a:schemeClr val="dk1"/>
              </a:solidFill>
              <a:effectLst/>
              <a:latin typeface="+mn-lt"/>
              <a:ea typeface="+mn-ea"/>
              <a:cs typeface="+mn-cs"/>
            </a:rPr>
            <a:t> </a:t>
          </a:r>
        </a:p>
        <a:p>
          <a:r>
            <a:rPr lang="en-US" sz="1400">
              <a:solidFill>
                <a:schemeClr val="dk1"/>
              </a:solidFill>
              <a:effectLst/>
              <a:latin typeface="+mn-lt"/>
              <a:ea typeface="+mn-ea"/>
              <a:cs typeface="+mn-cs"/>
            </a:rPr>
            <a:t>For Python, use the function: </a:t>
          </a:r>
        </a:p>
        <a:p>
          <a:r>
            <a:rPr lang="en-US" sz="1400">
              <a:solidFill>
                <a:schemeClr val="dk1"/>
              </a:solidFill>
              <a:effectLst/>
              <a:latin typeface="+mn-lt"/>
              <a:ea typeface="+mn-ea"/>
              <a:cs typeface="+mn-cs"/>
            </a:rPr>
            <a:t># Generate random samples using triangular distribution</a:t>
          </a:r>
        </a:p>
        <a:p>
          <a:r>
            <a:rPr lang="en-US" sz="1400">
              <a:solidFill>
                <a:schemeClr val="dk1"/>
              </a:solidFill>
              <a:effectLst/>
              <a:latin typeface="+mn-lt"/>
              <a:ea typeface="+mn-ea"/>
              <a:cs typeface="+mn-cs"/>
            </a:rPr>
            <a:t>Demand = np.random.triangular(left=min_value, mode=mode_value, right=max_value, size=num_trials)</a:t>
          </a:r>
        </a:p>
        <a:p>
          <a:r>
            <a:rPr lang="en-US" sz="1400">
              <a:solidFill>
                <a:schemeClr val="dk1"/>
              </a:solidFill>
              <a:effectLst/>
              <a:latin typeface="+mn-lt"/>
              <a:ea typeface="+mn-ea"/>
              <a:cs typeface="+mn-cs"/>
            </a:rPr>
            <a:t> </a:t>
          </a:r>
        </a:p>
        <a:p>
          <a:r>
            <a:rPr lang="en-US" sz="1400">
              <a:solidFill>
                <a:schemeClr val="dk1"/>
              </a:solidFill>
              <a:effectLst/>
              <a:latin typeface="+mn-lt"/>
              <a:ea typeface="+mn-ea"/>
              <a:cs typeface="+mn-cs"/>
            </a:rPr>
            <a:t>For Excel, use the hard code for the triangular distribution:</a:t>
          </a:r>
        </a:p>
        <a:p>
          <a:r>
            <a:rPr lang="en-US" sz="1400">
              <a:solidFill>
                <a:schemeClr val="dk1"/>
              </a:solidFill>
              <a:effectLst/>
              <a:latin typeface="+mn-lt"/>
              <a:ea typeface="+mn-ea"/>
              <a:cs typeface="+mn-cs"/>
            </a:rPr>
            <a:t> </a:t>
          </a:r>
        </a:p>
        <a:p>
          <a:r>
            <a:rPr lang="en-US" sz="1400">
              <a:solidFill>
                <a:schemeClr val="dk1"/>
              </a:solidFill>
              <a:effectLst/>
              <a:latin typeface="+mn-lt"/>
              <a:ea typeface="+mn-ea"/>
              <a:cs typeface="+mn-cs"/>
            </a:rPr>
            <a:t>=IF(value&lt;(mode-min)/(max-min), </a:t>
          </a:r>
        </a:p>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    min + SQRT(value*(max-min)*(mode-min)), max - SQRT((1-value)*(maxx-min)*(max-mode)))</a:t>
          </a:r>
        </a:p>
        <a:p>
          <a:endParaRPr lang="en-US" sz="1400">
            <a:solidFill>
              <a:schemeClr val="dk1"/>
            </a:solidFill>
            <a:effectLst/>
            <a:latin typeface="+mn-lt"/>
            <a:ea typeface="+mn-ea"/>
            <a:cs typeface="+mn-cs"/>
          </a:endParaRPr>
        </a:p>
        <a:p>
          <a:endParaRPr lang="th-TH" sz="1100"/>
        </a:p>
      </xdr:txBody>
    </xdr:sp>
    <xdr:clientData/>
  </xdr:twoCellAnchor>
  <xdr:twoCellAnchor editAs="oneCell">
    <xdr:from>
      <xdr:col>1</xdr:col>
      <xdr:colOff>502519</xdr:colOff>
      <xdr:row>7</xdr:row>
      <xdr:rowOff>105398</xdr:rowOff>
    </xdr:from>
    <xdr:to>
      <xdr:col>2</xdr:col>
      <xdr:colOff>2109241</xdr:colOff>
      <xdr:row>15</xdr:row>
      <xdr:rowOff>99305</xdr:rowOff>
    </xdr:to>
    <xdr:pic>
      <xdr:nvPicPr>
        <xdr:cNvPr id="3" name="Picture 1" descr="A table with numbers and masks&#10;&#10;AI-generated content may be incorrect.">
          <a:extLst>
            <a:ext uri="{FF2B5EF4-FFF2-40B4-BE49-F238E27FC236}">
              <a16:creationId xmlns:a16="http://schemas.microsoft.com/office/drawing/2014/main" id="{5A4C2361-4455-6748-8362-8DA6537F35F9}"/>
            </a:ext>
          </a:extLst>
        </xdr:cNvPr>
        <xdr:cNvPicPr>
          <a:picLocks noChangeAspect="1"/>
        </xdr:cNvPicPr>
      </xdr:nvPicPr>
      <xdr:blipFill>
        <a:blip xmlns:r="http://schemas.openxmlformats.org/officeDocument/2006/relationships" r:embed="rId1"/>
        <a:stretch>
          <a:fillRect/>
        </a:stretch>
      </xdr:blipFill>
      <xdr:spPr>
        <a:xfrm>
          <a:off x="1324821" y="1722592"/>
          <a:ext cx="3136693" cy="138268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ธีม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7606-B576-9645-A14F-ED0653A785DF}">
  <sheetPr>
    <pageSetUpPr fitToPage="1"/>
  </sheetPr>
  <dimension ref="A1"/>
  <sheetViews>
    <sheetView topLeftCell="A31" zoomScale="145" zoomScaleNormal="145" workbookViewId="0">
      <selection activeCell="H6" sqref="H6"/>
    </sheetView>
  </sheetViews>
  <sheetFormatPr baseColWidth="10" defaultColWidth="11.1640625" defaultRowHeight="14" x14ac:dyDescent="0.15"/>
  <sheetData>
    <row r="1" spans="1:1" x14ac:dyDescent="0.15">
      <c r="A1" t="s">
        <v>0</v>
      </c>
    </row>
  </sheetData>
  <pageMargins left="0.78740157480314965" right="7.874015748031496E-2" top="0.74803149606299213" bottom="0.74803149606299213" header="0.31496062992125984" footer="0.31496062992125984"/>
  <pageSetup paperSize="9" scale="86"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CC94F-68FC-2441-B468-C1B43968F6F6}">
  <sheetPr>
    <pageSetUpPr fitToPage="1"/>
  </sheetPr>
  <dimension ref="A1:G19"/>
  <sheetViews>
    <sheetView zoomScale="115" zoomScaleNormal="115" workbookViewId="0">
      <selection activeCell="A5" sqref="A5"/>
    </sheetView>
  </sheetViews>
  <sheetFormatPr baseColWidth="10" defaultColWidth="11.1640625" defaultRowHeight="14" x14ac:dyDescent="0.15"/>
  <cols>
    <col min="3" max="3" width="14.6640625" bestFit="1" customWidth="1"/>
    <col min="4" max="4" width="15.1640625" bestFit="1" customWidth="1"/>
    <col min="5" max="5" width="14.33203125" bestFit="1" customWidth="1"/>
    <col min="7" max="7" width="13" bestFit="1" customWidth="1"/>
  </cols>
  <sheetData>
    <row r="1" spans="1:7" ht="15" thickBot="1" x14ac:dyDescent="0.2">
      <c r="A1" s="24" t="s">
        <v>1</v>
      </c>
    </row>
    <row r="2" spans="1:7" x14ac:dyDescent="0.15">
      <c r="B2" s="50"/>
      <c r="C2" s="51" t="s">
        <v>2</v>
      </c>
      <c r="D2" s="51" t="s">
        <v>3</v>
      </c>
      <c r="E2" s="52" t="s">
        <v>4</v>
      </c>
    </row>
    <row r="3" spans="1:7" x14ac:dyDescent="0.15">
      <c r="B3" s="53" t="s">
        <v>5</v>
      </c>
      <c r="C3" s="49"/>
      <c r="D3" s="49"/>
      <c r="E3" s="54"/>
      <c r="F3" s="15"/>
      <c r="G3" s="15"/>
    </row>
    <row r="4" spans="1:7" x14ac:dyDescent="0.15">
      <c r="B4" s="53" t="s">
        <v>6</v>
      </c>
      <c r="C4" s="49">
        <v>46</v>
      </c>
      <c r="D4" s="49">
        <v>40</v>
      </c>
      <c r="E4" s="54">
        <v>35</v>
      </c>
      <c r="F4" s="15"/>
      <c r="G4" s="15"/>
    </row>
    <row r="5" spans="1:7" x14ac:dyDescent="0.15">
      <c r="B5" s="53" t="s">
        <v>7</v>
      </c>
      <c r="C5" s="49">
        <v>52000</v>
      </c>
      <c r="D5" s="49">
        <v>43000</v>
      </c>
      <c r="E5" s="54">
        <v>31000</v>
      </c>
      <c r="F5" s="15"/>
      <c r="G5" s="15"/>
    </row>
    <row r="6" spans="1:7" x14ac:dyDescent="0.15">
      <c r="B6" s="39"/>
      <c r="C6" s="55"/>
      <c r="D6" s="55"/>
      <c r="E6" s="56"/>
      <c r="F6" s="15"/>
      <c r="G6" s="15"/>
    </row>
    <row r="7" spans="1:7" ht="15" thickBot="1" x14ac:dyDescent="0.2">
      <c r="B7" s="57" t="s">
        <v>8</v>
      </c>
      <c r="C7" s="58">
        <v>2500</v>
      </c>
      <c r="D7" s="58">
        <v>3500</v>
      </c>
      <c r="E7" s="59">
        <v>5000</v>
      </c>
      <c r="F7" s="15"/>
      <c r="G7" s="15"/>
    </row>
    <row r="8" spans="1:7" x14ac:dyDescent="0.15">
      <c r="C8" s="15"/>
      <c r="D8" s="15"/>
      <c r="E8" s="15"/>
      <c r="F8" s="15"/>
      <c r="G8" s="15"/>
    </row>
    <row r="9" spans="1:7" x14ac:dyDescent="0.15">
      <c r="A9">
        <v>65</v>
      </c>
      <c r="B9" t="s">
        <v>9</v>
      </c>
      <c r="C9" s="15"/>
      <c r="D9" s="15"/>
      <c r="E9" s="15"/>
      <c r="F9" s="15"/>
      <c r="G9" s="15"/>
    </row>
    <row r="10" spans="1:7" x14ac:dyDescent="0.15">
      <c r="A10" s="24" t="s">
        <v>10</v>
      </c>
      <c r="B10" s="19" t="s">
        <v>11</v>
      </c>
      <c r="C10" s="61">
        <f>$A$9*C7</f>
        <v>162500</v>
      </c>
      <c r="D10" s="61">
        <f t="shared" ref="D10:E10" si="0">$A$9*D7</f>
        <v>227500</v>
      </c>
      <c r="E10" s="61">
        <f t="shared" si="0"/>
        <v>325000</v>
      </c>
      <c r="F10" s="15"/>
      <c r="G10" s="15"/>
    </row>
    <row r="11" spans="1:7" x14ac:dyDescent="0.15">
      <c r="B11" s="19"/>
      <c r="C11" s="62" t="str">
        <f ca="1">_xlfn.FORMULATEXT(C10)</f>
        <v>=$A$9*C7</v>
      </c>
      <c r="D11" s="62" t="str">
        <f t="shared" ref="D11:E11" ca="1" si="1">_xlfn.FORMULATEXT(D10)</f>
        <v>=$A$9*D7</v>
      </c>
      <c r="E11" s="62" t="str">
        <f t="shared" ca="1" si="1"/>
        <v>=$A$9*E7</v>
      </c>
      <c r="F11" s="15"/>
      <c r="G11" s="15"/>
    </row>
    <row r="12" spans="1:7" x14ac:dyDescent="0.15">
      <c r="B12" s="19" t="s">
        <v>12</v>
      </c>
      <c r="C12" s="61">
        <f>C5+(C4*C7)</f>
        <v>167000</v>
      </c>
      <c r="D12" s="61">
        <f t="shared" ref="D12:E12" si="2">D5+(D4*D7)</f>
        <v>183000</v>
      </c>
      <c r="E12" s="61">
        <f t="shared" si="2"/>
        <v>206000</v>
      </c>
      <c r="F12" s="15"/>
      <c r="G12" s="15"/>
    </row>
    <row r="13" spans="1:7" x14ac:dyDescent="0.15">
      <c r="B13" s="19"/>
      <c r="C13" s="62" t="str">
        <f ca="1">_xlfn.FORMULATEXT(C12)</f>
        <v>=C5+(C4*C7)</v>
      </c>
      <c r="D13" s="62" t="str">
        <f t="shared" ref="D13:E13" ca="1" si="3">_xlfn.FORMULATEXT(D12)</f>
        <v>=D5+(D4*D7)</v>
      </c>
      <c r="E13" s="62" t="str">
        <f t="shared" ca="1" si="3"/>
        <v>=E5+(E4*E7)</v>
      </c>
      <c r="F13" s="15"/>
      <c r="G13" s="33" t="s">
        <v>13</v>
      </c>
    </row>
    <row r="14" spans="1:7" x14ac:dyDescent="0.15">
      <c r="B14" s="19" t="s">
        <v>14</v>
      </c>
      <c r="C14" s="61">
        <f>C10-C12</f>
        <v>-4500</v>
      </c>
      <c r="D14" s="61">
        <f>D10-D12</f>
        <v>44500</v>
      </c>
      <c r="E14" s="61">
        <f>E10-E12</f>
        <v>119000</v>
      </c>
      <c r="F14" s="15"/>
      <c r="G14" s="60">
        <f>AVERAGE(C14:E14)</f>
        <v>53000</v>
      </c>
    </row>
    <row r="15" spans="1:7" x14ac:dyDescent="0.15">
      <c r="B15" s="19"/>
      <c r="C15" s="62" t="str">
        <f ca="1">_xlfn.FORMULATEXT(C14)</f>
        <v>=C10-C12</v>
      </c>
      <c r="D15" s="62" t="str">
        <f t="shared" ref="D15:E15" ca="1" si="4">_xlfn.FORMULATEXT(D14)</f>
        <v>=D10-D12</v>
      </c>
      <c r="E15" s="62" t="str">
        <f t="shared" ca="1" si="4"/>
        <v>=E10-E12</v>
      </c>
      <c r="F15" s="15"/>
      <c r="G15" s="60" t="str">
        <f ca="1">_xlfn.FORMULATEXT(G14)</f>
        <v>=AVERAGE(C14:E14)</v>
      </c>
    </row>
    <row r="16" spans="1:7" x14ac:dyDescent="0.15">
      <c r="C16" s="15"/>
      <c r="D16" s="15"/>
      <c r="E16" s="15"/>
      <c r="F16" s="15"/>
      <c r="G16" s="15"/>
    </row>
    <row r="17" spans="3:7" x14ac:dyDescent="0.15">
      <c r="C17" s="15"/>
      <c r="D17" s="15"/>
      <c r="E17" s="15"/>
      <c r="F17" s="15"/>
      <c r="G17" s="15"/>
    </row>
    <row r="18" spans="3:7" x14ac:dyDescent="0.15">
      <c r="C18" s="15"/>
      <c r="D18" s="15"/>
      <c r="E18" s="15"/>
      <c r="F18" s="15"/>
      <c r="G18" s="15"/>
    </row>
    <row r="19" spans="3:7" x14ac:dyDescent="0.15">
      <c r="C19" s="15"/>
      <c r="D19" s="15"/>
      <c r="E19" s="15"/>
    </row>
  </sheetData>
  <printOptions headings="1"/>
  <pageMargins left="0.78740157480314965" right="7.874015748031496E-2" top="0.74803149606299213" bottom="7.874015748031496E-2" header="7.874015748031496E-2" footer="7.874015748031496E-2"/>
  <pageSetup paperSize="9"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B4510-35D9-184B-920B-1DA9AC6D6B10}">
  <sheetPr>
    <pageSetUpPr fitToPage="1"/>
  </sheetPr>
  <dimension ref="A1:H101"/>
  <sheetViews>
    <sheetView zoomScale="115" zoomScaleNormal="115" workbookViewId="0">
      <selection activeCell="B7" sqref="B7"/>
    </sheetView>
  </sheetViews>
  <sheetFormatPr baseColWidth="10" defaultColWidth="11.1640625" defaultRowHeight="14" x14ac:dyDescent="0.15"/>
  <cols>
    <col min="4" max="4" width="14.6640625" bestFit="1" customWidth="1"/>
    <col min="5" max="5" width="4.1640625" customWidth="1"/>
    <col min="6" max="6" width="13.6640625" bestFit="1" customWidth="1"/>
  </cols>
  <sheetData>
    <row r="1" spans="1:8" x14ac:dyDescent="0.15">
      <c r="A1" s="24" t="s">
        <v>15</v>
      </c>
      <c r="C1" s="32" t="s">
        <v>16</v>
      </c>
      <c r="D1" s="19" t="s">
        <v>17</v>
      </c>
      <c r="F1" s="84" t="s">
        <v>10</v>
      </c>
      <c r="G1" s="85"/>
      <c r="H1" s="19"/>
    </row>
    <row r="2" spans="1:8" x14ac:dyDescent="0.15">
      <c r="A2" s="19" t="s">
        <v>18</v>
      </c>
      <c r="B2" s="48">
        <v>0.3</v>
      </c>
      <c r="C2" s="19">
        <v>1</v>
      </c>
      <c r="D2" s="19">
        <v>4</v>
      </c>
      <c r="F2" s="23" t="s">
        <v>19</v>
      </c>
      <c r="G2" s="19" t="s">
        <v>20</v>
      </c>
      <c r="H2" s="19"/>
    </row>
    <row r="3" spans="1:8" x14ac:dyDescent="0.15">
      <c r="A3" s="19" t="s">
        <v>21</v>
      </c>
      <c r="B3" s="48">
        <f>100%-B2</f>
        <v>0.7</v>
      </c>
      <c r="C3" s="19">
        <v>2</v>
      </c>
      <c r="D3" s="19">
        <v>4</v>
      </c>
      <c r="F3" s="19">
        <v>1</v>
      </c>
      <c r="G3" s="19">
        <f t="shared" ref="G3:G12" si="0">COUNTIF(D:D,F3)</f>
        <v>17</v>
      </c>
      <c r="H3" s="63" t="str">
        <f ca="1">_xlfn.FORMULATEXT(G3)</f>
        <v>=COUNTIF(D:D,F3)</v>
      </c>
    </row>
    <row r="4" spans="1:8" x14ac:dyDescent="0.15">
      <c r="A4" s="19" t="s">
        <v>22</v>
      </c>
      <c r="B4" s="19"/>
      <c r="C4" s="19">
        <v>3</v>
      </c>
      <c r="D4" s="19">
        <v>1</v>
      </c>
      <c r="F4" s="19">
        <v>2</v>
      </c>
      <c r="G4" s="19">
        <f t="shared" si="0"/>
        <v>18</v>
      </c>
      <c r="H4" s="63" t="str">
        <f ca="1">_xlfn.FORMULATEXT(G4)</f>
        <v>=COUNTIF(D:D,F4)</v>
      </c>
    </row>
    <row r="5" spans="1:8" x14ac:dyDescent="0.15">
      <c r="C5" s="19">
        <v>4</v>
      </c>
      <c r="D5" s="19">
        <v>2</v>
      </c>
      <c r="F5" s="19">
        <v>3</v>
      </c>
      <c r="G5" s="19">
        <f t="shared" si="0"/>
        <v>27</v>
      </c>
      <c r="H5" s="63" t="str">
        <f t="shared" ref="H5:H12" ca="1" si="1">_xlfn.FORMULATEXT(G5)</f>
        <v>=COUNTIF(D:D,F5)</v>
      </c>
    </row>
    <row r="6" spans="1:8" x14ac:dyDescent="0.15">
      <c r="A6" s="28" t="s">
        <v>23</v>
      </c>
      <c r="B6" s="31">
        <v>0.3</v>
      </c>
      <c r="C6" s="19">
        <v>5</v>
      </c>
      <c r="D6" s="19">
        <v>3</v>
      </c>
      <c r="F6" s="19">
        <v>4</v>
      </c>
      <c r="G6" s="19">
        <f t="shared" si="0"/>
        <v>22</v>
      </c>
      <c r="H6" s="63" t="str">
        <f t="shared" ca="1" si="1"/>
        <v>=COUNTIF(D:D,F6)</v>
      </c>
    </row>
    <row r="7" spans="1:8" x14ac:dyDescent="0.15">
      <c r="A7" s="28" t="s">
        <v>24</v>
      </c>
      <c r="B7" s="31">
        <v>10</v>
      </c>
      <c r="C7" s="19">
        <v>6</v>
      </c>
      <c r="D7" s="19">
        <v>4</v>
      </c>
      <c r="F7" s="19">
        <v>5</v>
      </c>
      <c r="G7" s="19">
        <f t="shared" si="0"/>
        <v>6</v>
      </c>
      <c r="H7" s="63" t="str">
        <f t="shared" ca="1" si="1"/>
        <v>=COUNTIF(D:D,F7)</v>
      </c>
    </row>
    <row r="8" spans="1:8" x14ac:dyDescent="0.15">
      <c r="C8" s="19">
        <v>7</v>
      </c>
      <c r="D8" s="19">
        <v>3</v>
      </c>
      <c r="F8" s="19">
        <v>6</v>
      </c>
      <c r="G8" s="19">
        <f t="shared" si="0"/>
        <v>4</v>
      </c>
      <c r="H8" s="63" t="str">
        <f t="shared" ca="1" si="1"/>
        <v>=COUNTIF(D:D,F8)</v>
      </c>
    </row>
    <row r="9" spans="1:8" x14ac:dyDescent="0.15">
      <c r="C9" s="19">
        <v>8</v>
      </c>
      <c r="D9" s="19">
        <v>2</v>
      </c>
      <c r="F9" s="19">
        <v>7</v>
      </c>
      <c r="G9" s="19">
        <f t="shared" si="0"/>
        <v>2</v>
      </c>
      <c r="H9" s="63" t="str">
        <f t="shared" ca="1" si="1"/>
        <v>=COUNTIF(D:D,F9)</v>
      </c>
    </row>
    <row r="10" spans="1:8" x14ac:dyDescent="0.15">
      <c r="C10" s="19">
        <v>9</v>
      </c>
      <c r="D10" s="19">
        <v>2</v>
      </c>
      <c r="F10" s="19">
        <v>8</v>
      </c>
      <c r="G10" s="19">
        <f t="shared" si="0"/>
        <v>0</v>
      </c>
      <c r="H10" s="63" t="str">
        <f t="shared" ca="1" si="1"/>
        <v>=COUNTIF(D:D,F10)</v>
      </c>
    </row>
    <row r="11" spans="1:8" x14ac:dyDescent="0.15">
      <c r="C11" s="19">
        <v>10</v>
      </c>
      <c r="D11" s="19">
        <v>2</v>
      </c>
      <c r="F11" s="19">
        <v>9</v>
      </c>
      <c r="G11" s="19">
        <f t="shared" si="0"/>
        <v>0</v>
      </c>
      <c r="H11" s="63" t="str">
        <f t="shared" ca="1" si="1"/>
        <v>=COUNTIF(D:D,F11)</v>
      </c>
    </row>
    <row r="12" spans="1:8" x14ac:dyDescent="0.15">
      <c r="C12" s="19">
        <v>11</v>
      </c>
      <c r="D12" s="19">
        <v>4</v>
      </c>
      <c r="F12" s="19">
        <v>10</v>
      </c>
      <c r="G12" s="19">
        <f t="shared" si="0"/>
        <v>0</v>
      </c>
      <c r="H12" s="63" t="str">
        <f t="shared" ca="1" si="1"/>
        <v>=COUNTIF(D:D,F12)</v>
      </c>
    </row>
    <row r="13" spans="1:8" x14ac:dyDescent="0.15">
      <c r="C13" s="19">
        <v>12</v>
      </c>
      <c r="D13" s="19">
        <v>3</v>
      </c>
    </row>
    <row r="14" spans="1:8" x14ac:dyDescent="0.15">
      <c r="C14" s="19">
        <v>13</v>
      </c>
      <c r="D14" s="19">
        <v>6</v>
      </c>
      <c r="G14" t="s">
        <v>25</v>
      </c>
    </row>
    <row r="15" spans="1:8" x14ac:dyDescent="0.15">
      <c r="C15" s="19">
        <v>14</v>
      </c>
      <c r="D15" s="19">
        <v>2</v>
      </c>
    </row>
    <row r="16" spans="1:8" x14ac:dyDescent="0.15">
      <c r="C16" s="19">
        <v>15</v>
      </c>
      <c r="D16" s="19">
        <v>3</v>
      </c>
    </row>
    <row r="17" spans="3:4" x14ac:dyDescent="0.15">
      <c r="C17" s="19">
        <v>16</v>
      </c>
      <c r="D17" s="19">
        <v>3</v>
      </c>
    </row>
    <row r="18" spans="3:4" x14ac:dyDescent="0.15">
      <c r="C18" s="19">
        <v>17</v>
      </c>
      <c r="D18" s="19">
        <v>4</v>
      </c>
    </row>
    <row r="19" spans="3:4" x14ac:dyDescent="0.15">
      <c r="C19" s="19">
        <v>18</v>
      </c>
      <c r="D19" s="19">
        <v>6</v>
      </c>
    </row>
    <row r="20" spans="3:4" x14ac:dyDescent="0.15">
      <c r="C20" s="19">
        <v>19</v>
      </c>
      <c r="D20" s="19">
        <v>2</v>
      </c>
    </row>
    <row r="21" spans="3:4" x14ac:dyDescent="0.15">
      <c r="C21" s="19">
        <v>20</v>
      </c>
      <c r="D21" s="19">
        <v>0</v>
      </c>
    </row>
    <row r="22" spans="3:4" x14ac:dyDescent="0.15">
      <c r="C22" s="19">
        <v>21</v>
      </c>
      <c r="D22" s="19">
        <v>2</v>
      </c>
    </row>
    <row r="23" spans="3:4" x14ac:dyDescent="0.15">
      <c r="C23" s="19">
        <v>22</v>
      </c>
      <c r="D23" s="19">
        <v>1</v>
      </c>
    </row>
    <row r="24" spans="3:4" x14ac:dyDescent="0.15">
      <c r="C24" s="19">
        <v>23</v>
      </c>
      <c r="D24" s="19">
        <v>2</v>
      </c>
    </row>
    <row r="25" spans="3:4" x14ac:dyDescent="0.15">
      <c r="C25" s="19">
        <v>24</v>
      </c>
      <c r="D25" s="19">
        <v>2</v>
      </c>
    </row>
    <row r="26" spans="3:4" x14ac:dyDescent="0.15">
      <c r="C26" s="19">
        <v>25</v>
      </c>
      <c r="D26" s="19">
        <v>2</v>
      </c>
    </row>
    <row r="27" spans="3:4" x14ac:dyDescent="0.15">
      <c r="C27" s="19">
        <v>26</v>
      </c>
      <c r="D27" s="19">
        <v>3</v>
      </c>
    </row>
    <row r="28" spans="3:4" x14ac:dyDescent="0.15">
      <c r="C28" s="19">
        <v>27</v>
      </c>
      <c r="D28" s="19">
        <v>5</v>
      </c>
    </row>
    <row r="29" spans="3:4" x14ac:dyDescent="0.15">
      <c r="C29" s="19">
        <v>28</v>
      </c>
      <c r="D29" s="19">
        <v>3</v>
      </c>
    </row>
    <row r="30" spans="3:4" x14ac:dyDescent="0.15">
      <c r="C30" s="19">
        <v>29</v>
      </c>
      <c r="D30" s="19">
        <v>6</v>
      </c>
    </row>
    <row r="31" spans="3:4" x14ac:dyDescent="0.15">
      <c r="C31" s="19">
        <v>30</v>
      </c>
      <c r="D31" s="19">
        <v>5</v>
      </c>
    </row>
    <row r="32" spans="3:4" x14ac:dyDescent="0.15">
      <c r="C32" s="19">
        <v>31</v>
      </c>
      <c r="D32" s="19">
        <v>3</v>
      </c>
    </row>
    <row r="33" spans="3:4" x14ac:dyDescent="0.15">
      <c r="C33" s="19">
        <v>32</v>
      </c>
      <c r="D33" s="19">
        <v>2</v>
      </c>
    </row>
    <row r="34" spans="3:4" x14ac:dyDescent="0.15">
      <c r="C34" s="19">
        <v>33</v>
      </c>
      <c r="D34" s="19">
        <v>1</v>
      </c>
    </row>
    <row r="35" spans="3:4" x14ac:dyDescent="0.15">
      <c r="C35" s="19">
        <v>34</v>
      </c>
      <c r="D35" s="19">
        <v>4</v>
      </c>
    </row>
    <row r="36" spans="3:4" x14ac:dyDescent="0.15">
      <c r="C36" s="19">
        <v>35</v>
      </c>
      <c r="D36" s="19">
        <v>0</v>
      </c>
    </row>
    <row r="37" spans="3:4" x14ac:dyDescent="0.15">
      <c r="C37" s="19">
        <v>36</v>
      </c>
      <c r="D37" s="19">
        <v>1</v>
      </c>
    </row>
    <row r="38" spans="3:4" x14ac:dyDescent="0.15">
      <c r="C38" s="19">
        <v>37</v>
      </c>
      <c r="D38" s="19">
        <v>4</v>
      </c>
    </row>
    <row r="39" spans="3:4" x14ac:dyDescent="0.15">
      <c r="C39" s="19">
        <v>38</v>
      </c>
      <c r="D39" s="19">
        <v>2</v>
      </c>
    </row>
    <row r="40" spans="3:4" x14ac:dyDescent="0.15">
      <c r="C40" s="19">
        <v>39</v>
      </c>
      <c r="D40" s="19">
        <v>5</v>
      </c>
    </row>
    <row r="41" spans="3:4" x14ac:dyDescent="0.15">
      <c r="C41" s="19">
        <v>40</v>
      </c>
      <c r="D41" s="19">
        <v>3</v>
      </c>
    </row>
    <row r="42" spans="3:4" x14ac:dyDescent="0.15">
      <c r="C42" s="19">
        <v>41</v>
      </c>
      <c r="D42" s="19">
        <v>1</v>
      </c>
    </row>
    <row r="43" spans="3:4" x14ac:dyDescent="0.15">
      <c r="C43" s="19">
        <v>42</v>
      </c>
      <c r="D43" s="19">
        <v>7</v>
      </c>
    </row>
    <row r="44" spans="3:4" x14ac:dyDescent="0.15">
      <c r="C44" s="19">
        <v>43</v>
      </c>
      <c r="D44" s="19">
        <v>3</v>
      </c>
    </row>
    <row r="45" spans="3:4" x14ac:dyDescent="0.15">
      <c r="C45" s="19">
        <v>44</v>
      </c>
      <c r="D45" s="19">
        <v>3</v>
      </c>
    </row>
    <row r="46" spans="3:4" x14ac:dyDescent="0.15">
      <c r="C46" s="19">
        <v>45</v>
      </c>
      <c r="D46" s="19">
        <v>3</v>
      </c>
    </row>
    <row r="47" spans="3:4" x14ac:dyDescent="0.15">
      <c r="C47" s="19">
        <v>46</v>
      </c>
      <c r="D47" s="19">
        <v>3</v>
      </c>
    </row>
    <row r="48" spans="3:4" x14ac:dyDescent="0.15">
      <c r="C48" s="19">
        <v>47</v>
      </c>
      <c r="D48" s="19">
        <v>4</v>
      </c>
    </row>
    <row r="49" spans="3:4" x14ac:dyDescent="0.15">
      <c r="C49" s="19">
        <v>48</v>
      </c>
      <c r="D49" s="19">
        <v>4</v>
      </c>
    </row>
    <row r="50" spans="3:4" x14ac:dyDescent="0.15">
      <c r="C50" s="19">
        <v>49</v>
      </c>
      <c r="D50" s="19">
        <v>4</v>
      </c>
    </row>
    <row r="51" spans="3:4" x14ac:dyDescent="0.15">
      <c r="C51" s="19">
        <v>50</v>
      </c>
      <c r="D51" s="19">
        <v>3</v>
      </c>
    </row>
    <row r="52" spans="3:4" x14ac:dyDescent="0.15">
      <c r="C52" s="19">
        <v>51</v>
      </c>
      <c r="D52" s="19">
        <v>5</v>
      </c>
    </row>
    <row r="53" spans="3:4" x14ac:dyDescent="0.15">
      <c r="C53" s="19">
        <v>52</v>
      </c>
      <c r="D53" s="19">
        <v>3</v>
      </c>
    </row>
    <row r="54" spans="3:4" x14ac:dyDescent="0.15">
      <c r="C54" s="19">
        <v>53</v>
      </c>
      <c r="D54" s="19">
        <v>1</v>
      </c>
    </row>
    <row r="55" spans="3:4" x14ac:dyDescent="0.15">
      <c r="C55" s="19">
        <v>54</v>
      </c>
      <c r="D55" s="19">
        <v>6</v>
      </c>
    </row>
    <row r="56" spans="3:4" x14ac:dyDescent="0.15">
      <c r="C56" s="19">
        <v>55</v>
      </c>
      <c r="D56" s="19">
        <v>1</v>
      </c>
    </row>
    <row r="57" spans="3:4" x14ac:dyDescent="0.15">
      <c r="C57" s="19">
        <v>56</v>
      </c>
      <c r="D57" s="19">
        <v>1</v>
      </c>
    </row>
    <row r="58" spans="3:4" x14ac:dyDescent="0.15">
      <c r="C58" s="19">
        <v>57</v>
      </c>
      <c r="D58" s="19">
        <v>4</v>
      </c>
    </row>
    <row r="59" spans="3:4" x14ac:dyDescent="0.15">
      <c r="C59" s="19">
        <v>58</v>
      </c>
      <c r="D59" s="19">
        <v>5</v>
      </c>
    </row>
    <row r="60" spans="3:4" x14ac:dyDescent="0.15">
      <c r="C60" s="19">
        <v>59</v>
      </c>
      <c r="D60" s="19">
        <v>4</v>
      </c>
    </row>
    <row r="61" spans="3:4" x14ac:dyDescent="0.15">
      <c r="C61" s="19">
        <v>60</v>
      </c>
      <c r="D61" s="19">
        <v>2</v>
      </c>
    </row>
    <row r="62" spans="3:4" x14ac:dyDescent="0.15">
      <c r="C62" s="19">
        <v>61</v>
      </c>
      <c r="D62" s="19">
        <v>7</v>
      </c>
    </row>
    <row r="63" spans="3:4" x14ac:dyDescent="0.15">
      <c r="C63" s="19">
        <v>62</v>
      </c>
      <c r="D63" s="19">
        <v>3</v>
      </c>
    </row>
    <row r="64" spans="3:4" x14ac:dyDescent="0.15">
      <c r="C64" s="19">
        <v>63</v>
      </c>
      <c r="D64" s="19">
        <v>2</v>
      </c>
    </row>
    <row r="65" spans="3:4" x14ac:dyDescent="0.15">
      <c r="C65" s="19">
        <v>64</v>
      </c>
      <c r="D65" s="19">
        <v>2</v>
      </c>
    </row>
    <row r="66" spans="3:4" x14ac:dyDescent="0.15">
      <c r="C66" s="19">
        <v>65</v>
      </c>
      <c r="D66" s="19">
        <v>1</v>
      </c>
    </row>
    <row r="67" spans="3:4" x14ac:dyDescent="0.15">
      <c r="C67" s="19">
        <v>66</v>
      </c>
      <c r="D67" s="19">
        <v>5</v>
      </c>
    </row>
    <row r="68" spans="3:4" x14ac:dyDescent="0.15">
      <c r="C68" s="19">
        <v>67</v>
      </c>
      <c r="D68" s="19">
        <v>4</v>
      </c>
    </row>
    <row r="69" spans="3:4" x14ac:dyDescent="0.15">
      <c r="C69" s="19">
        <v>68</v>
      </c>
      <c r="D69" s="19">
        <v>4</v>
      </c>
    </row>
    <row r="70" spans="3:4" x14ac:dyDescent="0.15">
      <c r="C70" s="19">
        <v>69</v>
      </c>
      <c r="D70" s="19">
        <v>0</v>
      </c>
    </row>
    <row r="71" spans="3:4" x14ac:dyDescent="0.15">
      <c r="C71" s="19">
        <v>70</v>
      </c>
      <c r="D71" s="19">
        <v>3</v>
      </c>
    </row>
    <row r="72" spans="3:4" x14ac:dyDescent="0.15">
      <c r="C72" s="19">
        <v>71</v>
      </c>
      <c r="D72" s="19">
        <v>2</v>
      </c>
    </row>
    <row r="73" spans="3:4" x14ac:dyDescent="0.15">
      <c r="C73" s="19">
        <v>72</v>
      </c>
      <c r="D73" s="19">
        <v>4</v>
      </c>
    </row>
    <row r="74" spans="3:4" x14ac:dyDescent="0.15">
      <c r="C74" s="19">
        <v>73</v>
      </c>
      <c r="D74" s="19">
        <v>0</v>
      </c>
    </row>
    <row r="75" spans="3:4" x14ac:dyDescent="0.15">
      <c r="C75" s="19">
        <v>74</v>
      </c>
      <c r="D75" s="19">
        <v>3</v>
      </c>
    </row>
    <row r="76" spans="3:4" x14ac:dyDescent="0.15">
      <c r="C76" s="19">
        <v>75</v>
      </c>
      <c r="D76" s="19">
        <v>3</v>
      </c>
    </row>
    <row r="77" spans="3:4" x14ac:dyDescent="0.15">
      <c r="C77" s="19">
        <v>76</v>
      </c>
      <c r="D77" s="19">
        <v>4</v>
      </c>
    </row>
    <row r="78" spans="3:4" x14ac:dyDescent="0.15">
      <c r="C78" s="19">
        <v>77</v>
      </c>
      <c r="D78" s="19">
        <v>3</v>
      </c>
    </row>
    <row r="79" spans="3:4" x14ac:dyDescent="0.15">
      <c r="C79" s="19">
        <v>78</v>
      </c>
      <c r="D79" s="19">
        <v>3</v>
      </c>
    </row>
    <row r="80" spans="3:4" x14ac:dyDescent="0.15">
      <c r="C80" s="19">
        <v>79</v>
      </c>
      <c r="D80" s="19">
        <v>4</v>
      </c>
    </row>
    <row r="81" spans="3:4" x14ac:dyDescent="0.15">
      <c r="C81" s="19">
        <v>80</v>
      </c>
      <c r="D81" s="19">
        <v>3</v>
      </c>
    </row>
    <row r="82" spans="3:4" x14ac:dyDescent="0.15">
      <c r="C82" s="19">
        <v>81</v>
      </c>
      <c r="D82" s="19">
        <v>1</v>
      </c>
    </row>
    <row r="83" spans="3:4" x14ac:dyDescent="0.15">
      <c r="C83" s="19">
        <v>82</v>
      </c>
      <c r="D83" s="19">
        <v>2</v>
      </c>
    </row>
    <row r="84" spans="3:4" x14ac:dyDescent="0.15">
      <c r="C84" s="19">
        <v>83</v>
      </c>
      <c r="D84" s="19">
        <v>3</v>
      </c>
    </row>
    <row r="85" spans="3:4" x14ac:dyDescent="0.15">
      <c r="C85" s="19">
        <v>84</v>
      </c>
      <c r="D85" s="19">
        <v>1</v>
      </c>
    </row>
    <row r="86" spans="3:4" x14ac:dyDescent="0.15">
      <c r="C86" s="19">
        <v>85</v>
      </c>
      <c r="D86" s="19">
        <v>4</v>
      </c>
    </row>
    <row r="87" spans="3:4" x14ac:dyDescent="0.15">
      <c r="C87" s="19">
        <v>86</v>
      </c>
      <c r="D87" s="19">
        <v>1</v>
      </c>
    </row>
    <row r="88" spans="3:4" x14ac:dyDescent="0.15">
      <c r="C88" s="19">
        <v>87</v>
      </c>
      <c r="D88" s="19">
        <v>4</v>
      </c>
    </row>
    <row r="89" spans="3:4" x14ac:dyDescent="0.15">
      <c r="C89" s="19">
        <v>88</v>
      </c>
      <c r="D89" s="19">
        <v>3</v>
      </c>
    </row>
    <row r="90" spans="3:4" x14ac:dyDescent="0.15">
      <c r="C90" s="19">
        <v>89</v>
      </c>
      <c r="D90" s="19">
        <v>1</v>
      </c>
    </row>
    <row r="91" spans="3:4" x14ac:dyDescent="0.15">
      <c r="C91" s="19">
        <v>90</v>
      </c>
      <c r="D91" s="19">
        <v>1</v>
      </c>
    </row>
    <row r="92" spans="3:4" x14ac:dyDescent="0.15">
      <c r="C92" s="19">
        <v>91</v>
      </c>
      <c r="D92" s="19">
        <v>3</v>
      </c>
    </row>
    <row r="93" spans="3:4" x14ac:dyDescent="0.15">
      <c r="C93" s="19">
        <v>92</v>
      </c>
      <c r="D93" s="19">
        <v>4</v>
      </c>
    </row>
    <row r="94" spans="3:4" x14ac:dyDescent="0.15">
      <c r="C94" s="19">
        <v>93</v>
      </c>
      <c r="D94" s="19">
        <v>4</v>
      </c>
    </row>
    <row r="95" spans="3:4" x14ac:dyDescent="0.15">
      <c r="C95" s="19">
        <v>94</v>
      </c>
      <c r="D95" s="19">
        <v>3</v>
      </c>
    </row>
    <row r="96" spans="3:4" x14ac:dyDescent="0.15">
      <c r="C96" s="19">
        <v>95</v>
      </c>
      <c r="D96" s="19">
        <v>3</v>
      </c>
    </row>
    <row r="97" spans="3:4" x14ac:dyDescent="0.15">
      <c r="C97" s="19">
        <v>96</v>
      </c>
      <c r="D97" s="19">
        <v>1</v>
      </c>
    </row>
    <row r="98" spans="3:4" x14ac:dyDescent="0.15">
      <c r="C98" s="19">
        <v>97</v>
      </c>
      <c r="D98" s="19">
        <v>4</v>
      </c>
    </row>
    <row r="99" spans="3:4" x14ac:dyDescent="0.15">
      <c r="C99" s="19">
        <v>98</v>
      </c>
      <c r="D99" s="19">
        <v>1</v>
      </c>
    </row>
    <row r="100" spans="3:4" x14ac:dyDescent="0.15">
      <c r="C100" s="19">
        <v>99</v>
      </c>
      <c r="D100" s="19">
        <v>2</v>
      </c>
    </row>
    <row r="101" spans="3:4" x14ac:dyDescent="0.15">
      <c r="C101" s="19">
        <v>100</v>
      </c>
      <c r="D101" s="19">
        <v>1</v>
      </c>
    </row>
  </sheetData>
  <mergeCells count="1">
    <mergeCell ref="F1:G1"/>
  </mergeCells>
  <printOptions headings="1"/>
  <pageMargins left="0.74803149606299213" right="7.874015748031496E-2" top="0.74803149606299213" bottom="7.874015748031496E-2" header="7.874015748031496E-2" footer="7.874015748031496E-2"/>
  <pageSetup paperSize="9" scale="53"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392E-5D1F-D34B-ADCF-04337BFD585F}">
  <sheetPr>
    <pageSetUpPr fitToPage="1"/>
  </sheetPr>
  <dimension ref="A1:L102"/>
  <sheetViews>
    <sheetView zoomScale="223" zoomScaleNormal="100" workbookViewId="0">
      <selection activeCell="K3" sqref="K3"/>
    </sheetView>
  </sheetViews>
  <sheetFormatPr baseColWidth="10" defaultColWidth="11.1640625" defaultRowHeight="14" x14ac:dyDescent="0.15"/>
  <cols>
    <col min="1" max="1" width="12.6640625" customWidth="1"/>
    <col min="5" max="5" width="9" bestFit="1" customWidth="1"/>
    <col min="6" max="6" width="7.6640625" customWidth="1"/>
    <col min="7" max="7" width="12.5" customWidth="1"/>
    <col min="8" max="8" width="4.6640625" customWidth="1"/>
    <col min="9" max="9" width="12.6640625" bestFit="1" customWidth="1"/>
    <col min="10" max="10" width="9.1640625" customWidth="1"/>
    <col min="12" max="12" width="27.5" bestFit="1" customWidth="1"/>
  </cols>
  <sheetData>
    <row r="1" spans="1:12" x14ac:dyDescent="0.15">
      <c r="A1" s="24" t="s">
        <v>26</v>
      </c>
      <c r="B1" s="26" t="s">
        <v>27</v>
      </c>
      <c r="F1" s="19" t="s">
        <v>28</v>
      </c>
      <c r="I1" s="27" t="s">
        <v>29</v>
      </c>
      <c r="K1" s="1" t="s">
        <v>8</v>
      </c>
    </row>
    <row r="2" spans="1:12" x14ac:dyDescent="0.15">
      <c r="A2" s="19" t="s">
        <v>8</v>
      </c>
      <c r="B2" s="19" t="s">
        <v>30</v>
      </c>
      <c r="D2" s="19" t="s">
        <v>26</v>
      </c>
      <c r="F2" s="19">
        <v>0</v>
      </c>
      <c r="I2" s="19" t="s">
        <v>31</v>
      </c>
      <c r="K2" s="19" t="s">
        <v>32</v>
      </c>
      <c r="L2" s="19" t="s">
        <v>33</v>
      </c>
    </row>
    <row r="3" spans="1:12" x14ac:dyDescent="0.15">
      <c r="A3" s="19">
        <v>100</v>
      </c>
      <c r="B3" s="19">
        <v>20</v>
      </c>
      <c r="D3" s="19">
        <f>B3/$B$7</f>
        <v>0.22222222222222221</v>
      </c>
      <c r="E3" s="64" t="str">
        <f ca="1">_xlfn.FORMULATEXT(D3)</f>
        <v>=B3/$B$7</v>
      </c>
      <c r="F3" s="29">
        <f>F2+D3</f>
        <v>0.22222222222222221</v>
      </c>
      <c r="G3" s="64" t="str">
        <f ca="1">_xlfn.FORMULATEXT(F3)</f>
        <v>=F2+D3</v>
      </c>
      <c r="H3" s="28"/>
      <c r="I3" s="19">
        <v>7.8263692594256109E-6</v>
      </c>
      <c r="K3" s="19">
        <f>_xlfn.XLOOKUP(I3,$F$3:$F$6,A$3:A$6,0,1,1)</f>
        <v>100</v>
      </c>
      <c r="L3" s="28" t="str">
        <f ca="1">_xlfn.FORMULATEXT(K3)</f>
        <v>=XLOOKUP(I3,$F$3:$F$6,A$3:A$6,0,1,1)</v>
      </c>
    </row>
    <row r="4" spans="1:12" x14ac:dyDescent="0.15">
      <c r="A4" s="19">
        <v>200</v>
      </c>
      <c r="B4" s="19">
        <v>25</v>
      </c>
      <c r="D4" s="19">
        <f t="shared" ref="D4:D6" si="0">B4/$B$7</f>
        <v>0.27777777777777779</v>
      </c>
      <c r="E4" s="64" t="str">
        <f t="shared" ref="E4:E6" ca="1" si="1">_xlfn.FORMULATEXT(D4)</f>
        <v>=B4/$B$7</v>
      </c>
      <c r="F4" s="29">
        <f>F3+D4</f>
        <v>0.5</v>
      </c>
      <c r="G4" s="64" t="str">
        <f t="shared" ref="G4:G6" ca="1" si="2">_xlfn.FORMULATEXT(F4)</f>
        <v>=F3+D4</v>
      </c>
      <c r="H4" s="28"/>
      <c r="I4" s="19">
        <v>0.13153778814316625</v>
      </c>
      <c r="K4" s="19">
        <f t="shared" ref="K4:K67" si="3">_xlfn.XLOOKUP(I4,$F$3:$F$6,A$3:A$6,0,1,1)</f>
        <v>100</v>
      </c>
      <c r="L4" s="28" t="str">
        <f t="shared" ref="L4:L67" ca="1" si="4">_xlfn.FORMULATEXT(K4)</f>
        <v>=XLOOKUP(I4,$F$3:$F$6,A$3:A$6,0,1,1)</v>
      </c>
    </row>
    <row r="5" spans="1:12" x14ac:dyDescent="0.15">
      <c r="A5" s="19">
        <v>300</v>
      </c>
      <c r="B5" s="19">
        <v>35</v>
      </c>
      <c r="D5" s="19">
        <f t="shared" si="0"/>
        <v>0.3888888888888889</v>
      </c>
      <c r="E5" s="64" t="str">
        <f t="shared" ca="1" si="1"/>
        <v>=B5/$B$7</v>
      </c>
      <c r="F5" s="29">
        <f t="shared" ref="F5:F6" si="5">F4+D5</f>
        <v>0.88888888888888884</v>
      </c>
      <c r="G5" s="64" t="str">
        <f t="shared" ca="1" si="2"/>
        <v>=F4+D5</v>
      </c>
      <c r="H5" s="28"/>
      <c r="I5" s="19">
        <v>0.75560532219503318</v>
      </c>
      <c r="K5" s="19">
        <f t="shared" si="3"/>
        <v>300</v>
      </c>
      <c r="L5" s="28" t="str">
        <f t="shared" ca="1" si="4"/>
        <v>=XLOOKUP(I5,$F$3:$F$6,A$3:A$6,0,1,1)</v>
      </c>
    </row>
    <row r="6" spans="1:12" x14ac:dyDescent="0.15">
      <c r="A6" s="19">
        <v>400</v>
      </c>
      <c r="B6" s="19">
        <v>10</v>
      </c>
      <c r="D6" s="19">
        <f t="shared" si="0"/>
        <v>0.1111111111111111</v>
      </c>
      <c r="E6" s="64" t="str">
        <f t="shared" ca="1" si="1"/>
        <v>=B6/$B$7</v>
      </c>
      <c r="F6" s="29">
        <f t="shared" si="5"/>
        <v>1</v>
      </c>
      <c r="G6" s="64" t="str">
        <f t="shared" ca="1" si="2"/>
        <v>=F5+D6</v>
      </c>
      <c r="H6" s="28"/>
      <c r="I6" s="19">
        <v>0.45865013192344928</v>
      </c>
      <c r="K6" s="19">
        <f t="shared" si="3"/>
        <v>200</v>
      </c>
      <c r="L6" s="28" t="str">
        <f t="shared" ca="1" si="4"/>
        <v>=XLOOKUP(I6,$F$3:$F$6,A$3:A$6,0,1,1)</v>
      </c>
    </row>
    <row r="7" spans="1:12" x14ac:dyDescent="0.15">
      <c r="A7" s="28" t="s">
        <v>34</v>
      </c>
      <c r="B7" s="19">
        <f>SUM(B3:B6)</f>
        <v>90</v>
      </c>
      <c r="C7" s="25" t="str">
        <f ca="1">_xlfn.FORMULATEXT(B7)</f>
        <v>=SUM(B3:B6)</v>
      </c>
      <c r="I7" s="19">
        <v>0.53276723741216925</v>
      </c>
      <c r="K7" s="19">
        <f t="shared" si="3"/>
        <v>300</v>
      </c>
      <c r="L7" s="28" t="str">
        <f t="shared" ca="1" si="4"/>
        <v>=XLOOKUP(I7,$F$3:$F$6,A$3:A$6,0,1,1)</v>
      </c>
    </row>
    <row r="8" spans="1:12" x14ac:dyDescent="0.15">
      <c r="I8" s="19">
        <v>0.21895918632809036</v>
      </c>
      <c r="K8" s="19">
        <f t="shared" si="3"/>
        <v>100</v>
      </c>
      <c r="L8" s="28" t="str">
        <f t="shared" ca="1" si="4"/>
        <v>=XLOOKUP(I8,$F$3:$F$6,A$3:A$6,0,1,1)</v>
      </c>
    </row>
    <row r="9" spans="1:12" x14ac:dyDescent="0.15">
      <c r="I9" s="19">
        <v>4.7044616214486128E-2</v>
      </c>
      <c r="K9" s="19">
        <f t="shared" si="3"/>
        <v>100</v>
      </c>
      <c r="L9" s="28" t="str">
        <f t="shared" ca="1" si="4"/>
        <v>=XLOOKUP(I9,$F$3:$F$6,A$3:A$6,0,1,1)</v>
      </c>
    </row>
    <row r="10" spans="1:12" x14ac:dyDescent="0.15">
      <c r="I10" s="19">
        <v>0.67886471686831895</v>
      </c>
      <c r="K10" s="19">
        <f t="shared" si="3"/>
        <v>300</v>
      </c>
      <c r="L10" s="28" t="str">
        <f t="shared" ca="1" si="4"/>
        <v>=XLOOKUP(I10,$F$3:$F$6,A$3:A$6,0,1,1)</v>
      </c>
    </row>
    <row r="11" spans="1:12" x14ac:dyDescent="0.15">
      <c r="I11" s="19">
        <v>0.67929640583661222</v>
      </c>
      <c r="K11" s="19">
        <f t="shared" si="3"/>
        <v>300</v>
      </c>
      <c r="L11" s="28" t="str">
        <f t="shared" ca="1" si="4"/>
        <v>=XLOOKUP(I11,$F$3:$F$6,A$3:A$6,0,1,1)</v>
      </c>
    </row>
    <row r="12" spans="1:12" x14ac:dyDescent="0.15">
      <c r="I12" s="19">
        <v>0.93469289594082761</v>
      </c>
      <c r="K12" s="19">
        <f t="shared" si="3"/>
        <v>400</v>
      </c>
      <c r="L12" s="28" t="str">
        <f t="shared" ca="1" si="4"/>
        <v>=XLOOKUP(I12,$F$3:$F$6,A$3:A$6,0,1,1)</v>
      </c>
    </row>
    <row r="13" spans="1:12" x14ac:dyDescent="0.15">
      <c r="I13" s="19">
        <v>0.38350207748985948</v>
      </c>
      <c r="K13" s="19">
        <f t="shared" si="3"/>
        <v>200</v>
      </c>
      <c r="L13" s="28" t="str">
        <f t="shared" ca="1" si="4"/>
        <v>=XLOOKUP(I13,$F$3:$F$6,A$3:A$6,0,1,1)</v>
      </c>
    </row>
    <row r="14" spans="1:12" x14ac:dyDescent="0.15">
      <c r="I14" s="19">
        <v>0.51941637206795455</v>
      </c>
      <c r="K14" s="19">
        <f t="shared" si="3"/>
        <v>300</v>
      </c>
      <c r="L14" s="28" t="str">
        <f t="shared" ca="1" si="4"/>
        <v>=XLOOKUP(I14,$F$3:$F$6,A$3:A$6,0,1,1)</v>
      </c>
    </row>
    <row r="15" spans="1:12" x14ac:dyDescent="0.15">
      <c r="I15" s="19">
        <v>0.8309653461123655</v>
      </c>
      <c r="K15" s="19">
        <f t="shared" si="3"/>
        <v>300</v>
      </c>
      <c r="L15" s="28" t="str">
        <f t="shared" ca="1" si="4"/>
        <v>=XLOOKUP(I15,$F$3:$F$6,A$3:A$6,0,1,1)</v>
      </c>
    </row>
    <row r="16" spans="1:12" x14ac:dyDescent="0.15">
      <c r="I16" s="19">
        <v>3.4572110527461446E-2</v>
      </c>
      <c r="K16" s="19">
        <f t="shared" si="3"/>
        <v>100</v>
      </c>
      <c r="L16" s="28" t="str">
        <f t="shared" ca="1" si="4"/>
        <v>=XLOOKUP(I16,$F$3:$F$6,A$3:A$6,0,1,1)</v>
      </c>
    </row>
    <row r="17" spans="1:12" x14ac:dyDescent="0.15">
      <c r="I17" s="19">
        <v>5.346163504452521E-2</v>
      </c>
      <c r="K17" s="19">
        <f t="shared" si="3"/>
        <v>100</v>
      </c>
      <c r="L17" s="28" t="str">
        <f t="shared" ca="1" si="4"/>
        <v>=XLOOKUP(I17,$F$3:$F$6,A$3:A$6,0,1,1)</v>
      </c>
    </row>
    <row r="18" spans="1:12" x14ac:dyDescent="0.15">
      <c r="I18" s="19">
        <v>0.52970019333516261</v>
      </c>
      <c r="K18" s="19">
        <f t="shared" si="3"/>
        <v>300</v>
      </c>
      <c r="L18" s="28" t="str">
        <f t="shared" ca="1" si="4"/>
        <v>=XLOOKUP(I18,$F$3:$F$6,A$3:A$6,0,1,1)</v>
      </c>
    </row>
    <row r="19" spans="1:12" x14ac:dyDescent="0.15">
      <c r="I19" s="19">
        <v>0.67114938407724234</v>
      </c>
      <c r="K19" s="19">
        <f t="shared" si="3"/>
        <v>300</v>
      </c>
      <c r="L19" s="28" t="str">
        <f t="shared" ca="1" si="4"/>
        <v>=XLOOKUP(I19,$F$3:$F$6,A$3:A$6,0,1,1)</v>
      </c>
    </row>
    <row r="20" spans="1:12" x14ac:dyDescent="0.15">
      <c r="I20" s="19">
        <v>7.6981862111474321E-3</v>
      </c>
      <c r="K20" s="19">
        <f t="shared" si="3"/>
        <v>100</v>
      </c>
      <c r="L20" s="28" t="str">
        <f t="shared" ca="1" si="4"/>
        <v>=XLOOKUP(I20,$F$3:$F$6,A$3:A$6,0,1,1)</v>
      </c>
    </row>
    <row r="21" spans="1:12" x14ac:dyDescent="0.15">
      <c r="I21" s="19">
        <v>0.38341565075489492</v>
      </c>
      <c r="K21" s="19">
        <f t="shared" si="3"/>
        <v>200</v>
      </c>
      <c r="L21" s="28" t="str">
        <f t="shared" ca="1" si="4"/>
        <v>=XLOOKUP(I21,$F$3:$F$6,A$3:A$6,0,1,1)</v>
      </c>
    </row>
    <row r="22" spans="1:12" x14ac:dyDescent="0.15">
      <c r="A22" s="17" t="s">
        <v>10</v>
      </c>
      <c r="B22" s="19"/>
      <c r="C22" s="19"/>
      <c r="D22" s="19"/>
      <c r="I22" s="19">
        <v>6.6842237518561179E-2</v>
      </c>
      <c r="K22" s="19">
        <f t="shared" si="3"/>
        <v>100</v>
      </c>
      <c r="L22" s="28" t="str">
        <f t="shared" ca="1" si="4"/>
        <v>=XLOOKUP(I22,$F$3:$F$6,A$3:A$6,0,1,1)</v>
      </c>
    </row>
    <row r="23" spans="1:12" x14ac:dyDescent="0.15">
      <c r="B23" s="19" t="s">
        <v>8</v>
      </c>
      <c r="C23" s="19" t="s">
        <v>35</v>
      </c>
      <c r="D23" s="19"/>
      <c r="I23" s="19">
        <v>0.41748597445780689</v>
      </c>
      <c r="K23" s="19">
        <f t="shared" si="3"/>
        <v>200</v>
      </c>
      <c r="L23" s="28" t="str">
        <f t="shared" ca="1" si="4"/>
        <v>=XLOOKUP(I23,$F$3:$F$6,A$3:A$6,0,1,1)</v>
      </c>
    </row>
    <row r="24" spans="1:12" x14ac:dyDescent="0.15">
      <c r="B24" s="19">
        <v>100</v>
      </c>
      <c r="C24" s="19">
        <f>COUNTIF(K:K,A3)</f>
        <v>18</v>
      </c>
      <c r="D24" s="28" t="str">
        <f ca="1">_xlfn.FORMULATEXT(C24)</f>
        <v>=COUNTIF(K:K,A3)</v>
      </c>
      <c r="I24" s="19">
        <v>0.68677271236049608</v>
      </c>
      <c r="K24" s="19">
        <f t="shared" si="3"/>
        <v>300</v>
      </c>
      <c r="L24" s="28" t="str">
        <f t="shared" ca="1" si="4"/>
        <v>=XLOOKUP(I24,$F$3:$F$6,A$3:A$6,0,1,1)</v>
      </c>
    </row>
    <row r="25" spans="1:12" x14ac:dyDescent="0.15">
      <c r="B25" s="19">
        <v>200</v>
      </c>
      <c r="C25" s="19">
        <f>COUNTIF(K:K,A4)</f>
        <v>28</v>
      </c>
      <c r="D25" s="28" t="str">
        <f t="shared" ref="D25:D27" ca="1" si="6">_xlfn.FORMULATEXT(C25)</f>
        <v>=COUNTIF(K:K,A4)</v>
      </c>
      <c r="I25" s="19">
        <v>0.58897664285682916</v>
      </c>
      <c r="K25" s="19">
        <f t="shared" si="3"/>
        <v>300</v>
      </c>
      <c r="L25" s="28" t="str">
        <f t="shared" ca="1" si="4"/>
        <v>=XLOOKUP(I25,$F$3:$F$6,A$3:A$6,0,1,1)</v>
      </c>
    </row>
    <row r="26" spans="1:12" x14ac:dyDescent="0.15">
      <c r="B26" s="19">
        <v>300</v>
      </c>
      <c r="C26" s="19">
        <f>COUNTIF(K:K,A5)</f>
        <v>41</v>
      </c>
      <c r="D26" s="28" t="str">
        <f t="shared" ca="1" si="6"/>
        <v>=COUNTIF(K:K,A5)</v>
      </c>
      <c r="I26" s="19">
        <v>0.93043649472782231</v>
      </c>
      <c r="K26" s="19">
        <f t="shared" si="3"/>
        <v>400</v>
      </c>
      <c r="L26" s="28" t="str">
        <f t="shared" ca="1" si="4"/>
        <v>=XLOOKUP(I26,$F$3:$F$6,A$3:A$6,0,1,1)</v>
      </c>
    </row>
    <row r="27" spans="1:12" x14ac:dyDescent="0.15">
      <c r="B27" s="19">
        <v>400</v>
      </c>
      <c r="C27" s="19">
        <f>COUNTIF(K:K,A6)</f>
        <v>13</v>
      </c>
      <c r="D27" s="28" t="str">
        <f t="shared" ca="1" si="6"/>
        <v>=COUNTIF(K:K,A6)</v>
      </c>
      <c r="I27" s="19">
        <v>0.84616689050857297</v>
      </c>
      <c r="K27" s="19">
        <f t="shared" si="3"/>
        <v>300</v>
      </c>
      <c r="L27" s="28" t="str">
        <f t="shared" ca="1" si="4"/>
        <v>=XLOOKUP(I27,$F$3:$F$6,A$3:A$6,0,1,1)</v>
      </c>
    </row>
    <row r="28" spans="1:12" x14ac:dyDescent="0.15">
      <c r="I28" s="19">
        <v>0.52692877758616985</v>
      </c>
      <c r="K28" s="19">
        <f t="shared" si="3"/>
        <v>300</v>
      </c>
      <c r="L28" s="28" t="str">
        <f t="shared" ca="1" si="4"/>
        <v>=XLOOKUP(I28,$F$3:$F$6,A$3:A$6,0,1,1)</v>
      </c>
    </row>
    <row r="29" spans="1:12" x14ac:dyDescent="0.15">
      <c r="I29" s="19">
        <v>9.1964890757559287E-2</v>
      </c>
      <c r="K29" s="19">
        <f t="shared" si="3"/>
        <v>100</v>
      </c>
      <c r="L29" s="28" t="str">
        <f t="shared" ca="1" si="4"/>
        <v>=XLOOKUP(I29,$F$3:$F$6,A$3:A$6,0,1,1)</v>
      </c>
    </row>
    <row r="30" spans="1:12" x14ac:dyDescent="0.15">
      <c r="I30" s="19">
        <v>0.65391896229885471</v>
      </c>
      <c r="K30" s="19">
        <f t="shared" si="3"/>
        <v>300</v>
      </c>
      <c r="L30" s="28" t="str">
        <f t="shared" ca="1" si="4"/>
        <v>=XLOOKUP(I30,$F$3:$F$6,A$3:A$6,0,1,1)</v>
      </c>
    </row>
    <row r="31" spans="1:12" x14ac:dyDescent="0.15">
      <c r="I31" s="19">
        <v>0.41599935685098144</v>
      </c>
      <c r="K31" s="19">
        <f t="shared" si="3"/>
        <v>200</v>
      </c>
      <c r="L31" s="28" t="str">
        <f t="shared" ca="1" si="4"/>
        <v>=XLOOKUP(I31,$F$3:$F$6,A$3:A$6,0,1,1)</v>
      </c>
    </row>
    <row r="32" spans="1:12" x14ac:dyDescent="0.15">
      <c r="I32" s="19">
        <v>0.70119059444460585</v>
      </c>
      <c r="K32" s="19">
        <f t="shared" si="3"/>
        <v>300</v>
      </c>
      <c r="L32" s="28" t="str">
        <f t="shared" ca="1" si="4"/>
        <v>=XLOOKUP(I32,$F$3:$F$6,A$3:A$6,0,1,1)</v>
      </c>
    </row>
    <row r="33" spans="9:12" x14ac:dyDescent="0.15">
      <c r="I33" s="19">
        <v>0.91032083048965817</v>
      </c>
      <c r="K33" s="19">
        <f t="shared" si="3"/>
        <v>400</v>
      </c>
      <c r="L33" s="28" t="str">
        <f t="shared" ca="1" si="4"/>
        <v>=XLOOKUP(I33,$F$3:$F$6,A$3:A$6,0,1,1)</v>
      </c>
    </row>
    <row r="34" spans="9:12" x14ac:dyDescent="0.15">
      <c r="I34" s="19">
        <v>0.76219803968546818</v>
      </c>
      <c r="K34" s="19">
        <f t="shared" si="3"/>
        <v>300</v>
      </c>
      <c r="L34" s="28" t="str">
        <f t="shared" ca="1" si="4"/>
        <v>=XLOOKUP(I34,$F$3:$F$6,A$3:A$6,0,1,1)</v>
      </c>
    </row>
    <row r="35" spans="9:12" x14ac:dyDescent="0.15">
      <c r="I35" s="19">
        <v>0.26245299366417013</v>
      </c>
      <c r="K35" s="19">
        <f t="shared" si="3"/>
        <v>200</v>
      </c>
      <c r="L35" s="28" t="str">
        <f t="shared" ca="1" si="4"/>
        <v>=XLOOKUP(I35,$F$3:$F$6,A$3:A$6,0,1,1)</v>
      </c>
    </row>
    <row r="36" spans="9:12" x14ac:dyDescent="0.15">
      <c r="I36" s="19">
        <v>4.7464513707656655E-2</v>
      </c>
      <c r="K36" s="19">
        <f t="shared" si="3"/>
        <v>100</v>
      </c>
      <c r="L36" s="28" t="str">
        <f t="shared" ca="1" si="4"/>
        <v>=XLOOKUP(I36,$F$3:$F$6,A$3:A$6,0,1,1)</v>
      </c>
    </row>
    <row r="37" spans="9:12" x14ac:dyDescent="0.15">
      <c r="I37" s="19">
        <v>0.73608188458535906</v>
      </c>
      <c r="K37" s="19">
        <f t="shared" si="3"/>
        <v>300</v>
      </c>
      <c r="L37" s="28" t="str">
        <f t="shared" ca="1" si="4"/>
        <v>=XLOOKUP(I37,$F$3:$F$6,A$3:A$6,0,1,1)</v>
      </c>
    </row>
    <row r="38" spans="9:12" x14ac:dyDescent="0.15">
      <c r="I38" s="19">
        <v>0.32823422613005815</v>
      </c>
      <c r="K38" s="19">
        <f t="shared" si="3"/>
        <v>200</v>
      </c>
      <c r="L38" s="28" t="str">
        <f t="shared" ca="1" si="4"/>
        <v>=XLOOKUP(I38,$F$3:$F$6,A$3:A$6,0,1,1)</v>
      </c>
    </row>
    <row r="39" spans="9:12" x14ac:dyDescent="0.15">
      <c r="I39" s="19">
        <v>0.63263856788754391</v>
      </c>
      <c r="K39" s="19">
        <f t="shared" si="3"/>
        <v>300</v>
      </c>
      <c r="L39" s="28" t="str">
        <f t="shared" ca="1" si="4"/>
        <v>=XLOOKUP(I39,$F$3:$F$6,A$3:A$6,0,1,1)</v>
      </c>
    </row>
    <row r="40" spans="9:12" x14ac:dyDescent="0.15">
      <c r="I40" s="19">
        <v>0.75641048595142113</v>
      </c>
      <c r="K40" s="19">
        <f t="shared" si="3"/>
        <v>300</v>
      </c>
      <c r="L40" s="28" t="str">
        <f t="shared" ca="1" si="4"/>
        <v>=XLOOKUP(I40,$F$3:$F$6,A$3:A$6,0,1,1)</v>
      </c>
    </row>
    <row r="41" spans="9:12" x14ac:dyDescent="0.15">
      <c r="I41" s="19">
        <v>0.99103738553404686</v>
      </c>
      <c r="K41" s="19">
        <f t="shared" si="3"/>
        <v>400</v>
      </c>
      <c r="L41" s="28" t="str">
        <f t="shared" ca="1" si="4"/>
        <v>=XLOOKUP(I41,$F$3:$F$6,A$3:A$6,0,1,1)</v>
      </c>
    </row>
    <row r="42" spans="9:12" x14ac:dyDescent="0.15">
      <c r="I42" s="19">
        <v>0.36533867072562626</v>
      </c>
      <c r="K42" s="19">
        <f t="shared" si="3"/>
        <v>200</v>
      </c>
      <c r="L42" s="28" t="str">
        <f t="shared" ca="1" si="4"/>
        <v>=XLOOKUP(I42,$F$3:$F$6,A$3:A$6,0,1,1)</v>
      </c>
    </row>
    <row r="43" spans="9:12" x14ac:dyDescent="0.15">
      <c r="I43" s="19">
        <v>0.24703888560041734</v>
      </c>
      <c r="K43" s="19">
        <f t="shared" si="3"/>
        <v>200</v>
      </c>
      <c r="L43" s="28" t="str">
        <f t="shared" ca="1" si="4"/>
        <v>=XLOOKUP(I43,$F$3:$F$6,A$3:A$6,0,1,1)</v>
      </c>
    </row>
    <row r="44" spans="9:12" x14ac:dyDescent="0.15">
      <c r="I44" s="19">
        <v>0.98255028621412366</v>
      </c>
      <c r="K44" s="19">
        <f t="shared" si="3"/>
        <v>400</v>
      </c>
      <c r="L44" s="28" t="str">
        <f t="shared" ca="1" si="4"/>
        <v>=XLOOKUP(I44,$F$3:$F$6,A$3:A$6,0,1,1)</v>
      </c>
    </row>
    <row r="45" spans="9:12" x14ac:dyDescent="0.15">
      <c r="I45" s="19">
        <v>0.7226604007755687</v>
      </c>
      <c r="K45" s="19">
        <f t="shared" si="3"/>
        <v>300</v>
      </c>
      <c r="L45" s="28" t="str">
        <f t="shared" ca="1" si="4"/>
        <v>=XLOOKUP(I45,$F$3:$F$6,A$3:A$6,0,1,1)</v>
      </c>
    </row>
    <row r="46" spans="9:12" x14ac:dyDescent="0.15">
      <c r="I46" s="19">
        <v>0.75335583498392056</v>
      </c>
      <c r="K46" s="19">
        <f t="shared" si="3"/>
        <v>300</v>
      </c>
      <c r="L46" s="28" t="str">
        <f t="shared" ca="1" si="4"/>
        <v>=XLOOKUP(I46,$F$3:$F$6,A$3:A$6,0,1,1)</v>
      </c>
    </row>
    <row r="47" spans="9:12" x14ac:dyDescent="0.15">
      <c r="I47" s="19">
        <v>0.65151857475355202</v>
      </c>
      <c r="K47" s="19">
        <f t="shared" si="3"/>
        <v>300</v>
      </c>
      <c r="L47" s="28" t="str">
        <f t="shared" ca="1" si="4"/>
        <v>=XLOOKUP(I47,$F$3:$F$6,A$3:A$6,0,1,1)</v>
      </c>
    </row>
    <row r="48" spans="9:12" x14ac:dyDescent="0.15">
      <c r="I48" s="19">
        <v>7.2685882948658381E-2</v>
      </c>
      <c r="K48" s="19">
        <f t="shared" si="3"/>
        <v>100</v>
      </c>
      <c r="L48" s="28" t="str">
        <f t="shared" ca="1" si="4"/>
        <v>=XLOOKUP(I48,$F$3:$F$6,A$3:A$6,0,1,1)</v>
      </c>
    </row>
    <row r="49" spans="9:12" x14ac:dyDescent="0.15">
      <c r="I49" s="19">
        <v>0.63163471810130156</v>
      </c>
      <c r="K49" s="19">
        <f t="shared" si="3"/>
        <v>300</v>
      </c>
      <c r="L49" s="28" t="str">
        <f t="shared" ca="1" si="4"/>
        <v>=XLOOKUP(I49,$F$3:$F$6,A$3:A$6,0,1,1)</v>
      </c>
    </row>
    <row r="50" spans="9:12" x14ac:dyDescent="0.15">
      <c r="I50" s="19">
        <v>0.88470712857540101</v>
      </c>
      <c r="K50" s="19">
        <f t="shared" si="3"/>
        <v>300</v>
      </c>
      <c r="L50" s="28" t="str">
        <f t="shared" ca="1" si="4"/>
        <v>=XLOOKUP(I50,$F$3:$F$6,A$3:A$6,0,1,1)</v>
      </c>
    </row>
    <row r="51" spans="9:12" x14ac:dyDescent="0.15">
      <c r="I51" s="19">
        <v>0.27270996676418463</v>
      </c>
      <c r="K51" s="19">
        <f t="shared" si="3"/>
        <v>200</v>
      </c>
      <c r="L51" s="28" t="str">
        <f t="shared" ca="1" si="4"/>
        <v>=XLOOKUP(I51,$F$3:$F$6,A$3:A$6,0,1,1)</v>
      </c>
    </row>
    <row r="52" spans="9:12" x14ac:dyDescent="0.15">
      <c r="I52" s="19">
        <v>0.43641140565109038</v>
      </c>
      <c r="K52" s="19">
        <f t="shared" si="3"/>
        <v>200</v>
      </c>
      <c r="L52" s="28" t="str">
        <f t="shared" ca="1" si="4"/>
        <v>=XLOOKUP(I52,$F$3:$F$6,A$3:A$6,0,1,1)</v>
      </c>
    </row>
    <row r="53" spans="9:12" x14ac:dyDescent="0.15">
      <c r="I53" s="19">
        <v>0.76649477787618281</v>
      </c>
      <c r="K53" s="19">
        <f t="shared" si="3"/>
        <v>300</v>
      </c>
      <c r="L53" s="28" t="str">
        <f t="shared" ca="1" si="4"/>
        <v>=XLOOKUP(I53,$F$3:$F$6,A$3:A$6,0,1,1)</v>
      </c>
    </row>
    <row r="54" spans="9:12" x14ac:dyDescent="0.15">
      <c r="I54" s="19">
        <v>0.47773176500468134</v>
      </c>
      <c r="K54" s="19">
        <f t="shared" si="3"/>
        <v>200</v>
      </c>
      <c r="L54" s="28" t="str">
        <f t="shared" ca="1" si="4"/>
        <v>=XLOOKUP(I54,$F$3:$F$6,A$3:A$6,0,1,1)</v>
      </c>
    </row>
    <row r="55" spans="9:12" x14ac:dyDescent="0.15">
      <c r="I55" s="19">
        <v>0.23777443367884235</v>
      </c>
      <c r="K55" s="19">
        <f t="shared" si="3"/>
        <v>200</v>
      </c>
      <c r="L55" s="28" t="str">
        <f t="shared" ca="1" si="4"/>
        <v>=XLOOKUP(I55,$F$3:$F$6,A$3:A$6,0,1,1)</v>
      </c>
    </row>
    <row r="56" spans="9:12" x14ac:dyDescent="0.15">
      <c r="I56" s="19">
        <v>0.27490684030340373</v>
      </c>
      <c r="K56" s="19">
        <f t="shared" si="3"/>
        <v>200</v>
      </c>
      <c r="L56" s="28" t="str">
        <f t="shared" ca="1" si="4"/>
        <v>=XLOOKUP(I56,$F$3:$F$6,A$3:A$6,0,1,1)</v>
      </c>
    </row>
    <row r="57" spans="9:12" x14ac:dyDescent="0.15">
      <c r="I57" s="19">
        <v>0.35926497930626616</v>
      </c>
      <c r="K57" s="19">
        <f t="shared" si="3"/>
        <v>200</v>
      </c>
      <c r="L57" s="28" t="str">
        <f t="shared" ca="1" si="4"/>
        <v>=XLOOKUP(I57,$F$3:$F$6,A$3:A$6,0,1,1)</v>
      </c>
    </row>
    <row r="58" spans="9:12" x14ac:dyDescent="0.15">
      <c r="I58" s="19">
        <v>0.16650720041548236</v>
      </c>
      <c r="K58" s="19">
        <f t="shared" si="3"/>
        <v>100</v>
      </c>
      <c r="L58" s="28" t="str">
        <f t="shared" ca="1" si="4"/>
        <v>=XLOOKUP(I58,$F$3:$F$6,A$3:A$6,0,1,1)</v>
      </c>
    </row>
    <row r="59" spans="9:12" x14ac:dyDescent="0.15">
      <c r="I59" s="19">
        <v>0.48651738301223024</v>
      </c>
      <c r="K59" s="19">
        <f t="shared" si="3"/>
        <v>200</v>
      </c>
      <c r="L59" s="28" t="str">
        <f t="shared" ca="1" si="4"/>
        <v>=XLOOKUP(I59,$F$3:$F$6,A$3:A$6,0,1,1)</v>
      </c>
    </row>
    <row r="60" spans="9:12" x14ac:dyDescent="0.15">
      <c r="I60" s="19">
        <v>0.89765628655331964</v>
      </c>
      <c r="K60" s="19">
        <f t="shared" si="3"/>
        <v>400</v>
      </c>
      <c r="L60" s="28" t="str">
        <f t="shared" ca="1" si="4"/>
        <v>=XLOOKUP(I60,$F$3:$F$6,A$3:A$6,0,1,1)</v>
      </c>
    </row>
    <row r="61" spans="9:12" x14ac:dyDescent="0.15">
      <c r="I61" s="19">
        <v>0.90920810164381194</v>
      </c>
      <c r="K61" s="19">
        <f t="shared" si="3"/>
        <v>400</v>
      </c>
      <c r="L61" s="28" t="str">
        <f t="shared" ca="1" si="4"/>
        <v>=XLOOKUP(I61,$F$3:$F$6,A$3:A$6,0,1,1)</v>
      </c>
    </row>
    <row r="62" spans="9:12" x14ac:dyDescent="0.15">
      <c r="I62" s="19">
        <v>6.0564327547589468E-2</v>
      </c>
      <c r="K62" s="19">
        <f t="shared" si="3"/>
        <v>100</v>
      </c>
      <c r="L62" s="28" t="str">
        <f t="shared" ca="1" si="4"/>
        <v>=XLOOKUP(I62,$F$3:$F$6,A$3:A$6,0,1,1)</v>
      </c>
    </row>
    <row r="63" spans="9:12" x14ac:dyDescent="0.15">
      <c r="I63" s="19">
        <v>0.90465309233621372</v>
      </c>
      <c r="K63" s="19">
        <f t="shared" si="3"/>
        <v>400</v>
      </c>
      <c r="L63" s="28" t="str">
        <f t="shared" ca="1" si="4"/>
        <v>=XLOOKUP(I63,$F$3:$F$6,A$3:A$6,0,1,1)</v>
      </c>
    </row>
    <row r="64" spans="9:12" x14ac:dyDescent="0.15">
      <c r="I64" s="19">
        <v>0.50452289474407341</v>
      </c>
      <c r="K64" s="19">
        <f t="shared" si="3"/>
        <v>300</v>
      </c>
      <c r="L64" s="28" t="str">
        <f t="shared" ca="1" si="4"/>
        <v>=XLOOKUP(I64,$F$3:$F$6,A$3:A$6,0,1,1)</v>
      </c>
    </row>
    <row r="65" spans="9:12" x14ac:dyDescent="0.15">
      <c r="I65" s="19">
        <v>0.51629196364259899</v>
      </c>
      <c r="K65" s="19">
        <f t="shared" si="3"/>
        <v>300</v>
      </c>
      <c r="L65" s="28" t="str">
        <f t="shared" ca="1" si="4"/>
        <v>=XLOOKUP(I65,$F$3:$F$6,A$3:A$6,0,1,1)</v>
      </c>
    </row>
    <row r="66" spans="9:12" x14ac:dyDescent="0.15">
      <c r="I66" s="19">
        <v>0.31903294116213587</v>
      </c>
      <c r="K66" s="19">
        <f t="shared" si="3"/>
        <v>200</v>
      </c>
      <c r="L66" s="28" t="str">
        <f t="shared" ca="1" si="4"/>
        <v>=XLOOKUP(I66,$F$3:$F$6,A$3:A$6,0,1,1)</v>
      </c>
    </row>
    <row r="67" spans="9:12" x14ac:dyDescent="0.15">
      <c r="I67" s="19">
        <v>0.98664211201790819</v>
      </c>
      <c r="K67" s="19">
        <f t="shared" si="3"/>
        <v>400</v>
      </c>
      <c r="L67" s="28" t="str">
        <f t="shared" ca="1" si="4"/>
        <v>=XLOOKUP(I67,$F$3:$F$6,A$3:A$6,0,1,1)</v>
      </c>
    </row>
    <row r="68" spans="9:12" x14ac:dyDescent="0.15">
      <c r="I68" s="19">
        <v>0.49397668498287756</v>
      </c>
      <c r="K68" s="19">
        <f t="shared" ref="K68:K102" si="7">_xlfn.XLOOKUP(I68,$F$3:$F$6,A$3:A$6,0,1,1)</f>
        <v>200</v>
      </c>
      <c r="L68" s="28" t="str">
        <f t="shared" ref="L68:L102" ca="1" si="8">_xlfn.FORMULATEXT(K68)</f>
        <v>=XLOOKUP(I68,$F$3:$F$6,A$3:A$6,0,1,1)</v>
      </c>
    </row>
    <row r="69" spans="9:12" x14ac:dyDescent="0.15">
      <c r="I69" s="19">
        <v>0.26614450722287619</v>
      </c>
      <c r="K69" s="19">
        <f t="shared" si="7"/>
        <v>200</v>
      </c>
      <c r="L69" s="28" t="str">
        <f t="shared" ca="1" si="8"/>
        <v>=XLOOKUP(I69,$F$3:$F$6,A$3:A$6,0,1,1)</v>
      </c>
    </row>
    <row r="70" spans="9:12" x14ac:dyDescent="0.15">
      <c r="I70" s="19">
        <v>9.0732894880107093E-2</v>
      </c>
      <c r="K70" s="19">
        <f t="shared" si="7"/>
        <v>100</v>
      </c>
      <c r="L70" s="28" t="str">
        <f t="shared" ca="1" si="8"/>
        <v>=XLOOKUP(I70,$F$3:$F$6,A$3:A$6,0,1,1)</v>
      </c>
    </row>
    <row r="71" spans="9:12" x14ac:dyDescent="0.15">
      <c r="I71" s="19">
        <v>0.94776424995985076</v>
      </c>
      <c r="K71" s="19">
        <f t="shared" si="7"/>
        <v>400</v>
      </c>
      <c r="L71" s="28" t="str">
        <f t="shared" ca="1" si="8"/>
        <v>=XLOOKUP(I71,$F$3:$F$6,A$3:A$6,0,1,1)</v>
      </c>
    </row>
    <row r="72" spans="9:12" x14ac:dyDescent="0.15">
      <c r="I72" s="19">
        <v>7.374907521239904E-2</v>
      </c>
      <c r="K72" s="19">
        <f t="shared" si="7"/>
        <v>100</v>
      </c>
      <c r="L72" s="28" t="str">
        <f t="shared" ca="1" si="8"/>
        <v>=XLOOKUP(I72,$F$3:$F$6,A$3:A$6,0,1,1)</v>
      </c>
    </row>
    <row r="73" spans="9:12" x14ac:dyDescent="0.15">
      <c r="I73" s="19">
        <v>0.50070709479074327</v>
      </c>
      <c r="K73" s="19">
        <f t="shared" si="7"/>
        <v>300</v>
      </c>
      <c r="L73" s="28" t="str">
        <f t="shared" ca="1" si="8"/>
        <v>=XLOOKUP(I73,$F$3:$F$6,A$3:A$6,0,1,1)</v>
      </c>
    </row>
    <row r="74" spans="9:12" x14ac:dyDescent="0.15">
      <c r="I74" s="19">
        <v>0.38414214802167479</v>
      </c>
      <c r="K74" s="19">
        <f t="shared" si="7"/>
        <v>200</v>
      </c>
      <c r="L74" s="28" t="str">
        <f t="shared" ca="1" si="8"/>
        <v>=XLOOKUP(I74,$F$3:$F$6,A$3:A$6,0,1,1)</v>
      </c>
    </row>
    <row r="75" spans="9:12" x14ac:dyDescent="0.15">
      <c r="I75" s="19">
        <v>0.27708180028809321</v>
      </c>
      <c r="K75" s="19">
        <f t="shared" si="7"/>
        <v>200</v>
      </c>
      <c r="L75" s="28" t="str">
        <f t="shared" ca="1" si="8"/>
        <v>=XLOOKUP(I75,$F$3:$F$6,A$3:A$6,0,1,1)</v>
      </c>
    </row>
    <row r="76" spans="9:12" x14ac:dyDescent="0.15">
      <c r="I76" s="19">
        <v>0.91381744198213211</v>
      </c>
      <c r="K76" s="19">
        <f t="shared" si="7"/>
        <v>400</v>
      </c>
      <c r="L76" s="28" t="str">
        <f t="shared" ca="1" si="8"/>
        <v>=XLOOKUP(I76,$F$3:$F$6,A$3:A$6,0,1,1)</v>
      </c>
    </row>
    <row r="77" spans="9:12" x14ac:dyDescent="0.15">
      <c r="I77" s="19">
        <v>0.52974739369458868</v>
      </c>
      <c r="K77" s="19">
        <f t="shared" si="7"/>
        <v>300</v>
      </c>
      <c r="L77" s="28" t="str">
        <f t="shared" ca="1" si="8"/>
        <v>=XLOOKUP(I77,$F$3:$F$6,A$3:A$6,0,1,1)</v>
      </c>
    </row>
    <row r="78" spans="9:12" x14ac:dyDescent="0.15">
      <c r="I78" s="19">
        <v>0.46444582495114106</v>
      </c>
      <c r="K78" s="19">
        <f t="shared" si="7"/>
        <v>200</v>
      </c>
      <c r="L78" s="28" t="str">
        <f t="shared" ca="1" si="8"/>
        <v>=XLOOKUP(I78,$F$3:$F$6,A$3:A$6,0,1,1)</v>
      </c>
    </row>
    <row r="79" spans="9:12" x14ac:dyDescent="0.15">
      <c r="I79" s="19">
        <v>0.94097995382779276</v>
      </c>
      <c r="K79" s="19">
        <f t="shared" si="7"/>
        <v>400</v>
      </c>
      <c r="L79" s="28" t="str">
        <f t="shared" ca="1" si="8"/>
        <v>=XLOOKUP(I79,$F$3:$F$6,A$3:A$6,0,1,1)</v>
      </c>
    </row>
    <row r="80" spans="9:12" x14ac:dyDescent="0.15">
      <c r="I80" s="19">
        <v>5.0083983712868756E-2</v>
      </c>
      <c r="K80" s="19">
        <f t="shared" si="7"/>
        <v>100</v>
      </c>
      <c r="L80" s="28" t="str">
        <f t="shared" ca="1" si="8"/>
        <v>=XLOOKUP(I80,$F$3:$F$6,A$3:A$6,0,1,1)</v>
      </c>
    </row>
    <row r="81" spans="9:12" x14ac:dyDescent="0.15">
      <c r="I81" s="19">
        <v>0.76151426218520579</v>
      </c>
      <c r="K81" s="19">
        <f t="shared" si="7"/>
        <v>300</v>
      </c>
      <c r="L81" s="28" t="str">
        <f t="shared" ca="1" si="8"/>
        <v>=XLOOKUP(I81,$F$3:$F$6,A$3:A$6,0,1,1)</v>
      </c>
    </row>
    <row r="82" spans="9:12" x14ac:dyDescent="0.15">
      <c r="I82" s="19">
        <v>0.77020454675434369</v>
      </c>
      <c r="K82" s="19">
        <f t="shared" si="7"/>
        <v>300</v>
      </c>
      <c r="L82" s="28" t="str">
        <f t="shared" ca="1" si="8"/>
        <v>=XLOOKUP(I82,$F$3:$F$6,A$3:A$6,0,1,1)</v>
      </c>
    </row>
    <row r="83" spans="9:12" x14ac:dyDescent="0.15">
      <c r="I83" s="19">
        <v>0.82781730025439393</v>
      </c>
      <c r="K83" s="19">
        <f t="shared" si="7"/>
        <v>300</v>
      </c>
      <c r="L83" s="28" t="str">
        <f t="shared" ca="1" si="8"/>
        <v>=XLOOKUP(I83,$F$3:$F$6,A$3:A$6,0,1,1)</v>
      </c>
    </row>
    <row r="84" spans="9:12" x14ac:dyDescent="0.15">
      <c r="I84" s="19">
        <v>0.12536537559952837</v>
      </c>
      <c r="K84" s="19">
        <f t="shared" si="7"/>
        <v>100</v>
      </c>
      <c r="L84" s="28" t="str">
        <f t="shared" ca="1" si="8"/>
        <v>=XLOOKUP(I84,$F$3:$F$6,A$3:A$6,0,1,1)</v>
      </c>
    </row>
    <row r="85" spans="9:12" x14ac:dyDescent="0.15">
      <c r="I85" s="19">
        <v>1.5867701273349907E-2</v>
      </c>
      <c r="K85" s="19">
        <f t="shared" si="7"/>
        <v>100</v>
      </c>
      <c r="L85" s="28" t="str">
        <f t="shared" ca="1" si="8"/>
        <v>=XLOOKUP(I85,$F$3:$F$6,A$3:A$6,0,1,1)</v>
      </c>
    </row>
    <row r="86" spans="9:12" x14ac:dyDescent="0.15">
      <c r="I86" s="19">
        <v>0.68845530119186982</v>
      </c>
      <c r="K86" s="19">
        <f t="shared" si="7"/>
        <v>300</v>
      </c>
      <c r="L86" s="28" t="str">
        <f t="shared" ca="1" si="8"/>
        <v>=XLOOKUP(I86,$F$3:$F$6,A$3:A$6,0,1,1)</v>
      </c>
    </row>
    <row r="87" spans="9:12" x14ac:dyDescent="0.15">
      <c r="I87" s="19">
        <v>0.86824713175569057</v>
      </c>
      <c r="K87" s="19">
        <f t="shared" si="7"/>
        <v>300</v>
      </c>
      <c r="L87" s="28" t="str">
        <f t="shared" ca="1" si="8"/>
        <v>=XLOOKUP(I87,$F$3:$F$6,A$3:A$6,0,1,1)</v>
      </c>
    </row>
    <row r="88" spans="9:12" x14ac:dyDescent="0.15">
      <c r="I88" s="19">
        <v>0.62954341789220614</v>
      </c>
      <c r="K88" s="19">
        <f t="shared" si="7"/>
        <v>300</v>
      </c>
      <c r="L88" s="28" t="str">
        <f t="shared" ca="1" si="8"/>
        <v>=XLOOKUP(I88,$F$3:$F$6,A$3:A$6,0,1,1)</v>
      </c>
    </row>
    <row r="89" spans="9:12" x14ac:dyDescent="0.15">
      <c r="I89" s="19">
        <v>0.73622451430942137</v>
      </c>
      <c r="K89" s="19">
        <f t="shared" si="7"/>
        <v>300</v>
      </c>
      <c r="L89" s="28" t="str">
        <f t="shared" ca="1" si="8"/>
        <v>=XLOOKUP(I89,$F$3:$F$6,A$3:A$6,0,1,1)</v>
      </c>
    </row>
    <row r="90" spans="9:12" x14ac:dyDescent="0.15">
      <c r="I90" s="19">
        <v>0.7254119984458256</v>
      </c>
      <c r="K90" s="19">
        <f t="shared" si="7"/>
        <v>300</v>
      </c>
      <c r="L90" s="28" t="str">
        <f t="shared" ca="1" si="8"/>
        <v>=XLOOKUP(I90,$F$3:$F$6,A$3:A$6,0,1,1)</v>
      </c>
    </row>
    <row r="91" spans="9:12" x14ac:dyDescent="0.15">
      <c r="I91" s="19">
        <v>0.99945787899170901</v>
      </c>
      <c r="K91" s="19">
        <f t="shared" si="7"/>
        <v>400</v>
      </c>
      <c r="L91" s="28" t="str">
        <f t="shared" ca="1" si="8"/>
        <v>=XLOOKUP(I91,$F$3:$F$6,A$3:A$6,0,1,1)</v>
      </c>
    </row>
    <row r="92" spans="9:12" x14ac:dyDescent="0.15">
      <c r="I92" s="19">
        <v>0.88857221365374151</v>
      </c>
      <c r="K92" s="19">
        <f t="shared" si="7"/>
        <v>300</v>
      </c>
      <c r="L92" s="28" t="str">
        <f t="shared" ca="1" si="8"/>
        <v>=XLOOKUP(I92,$F$3:$F$6,A$3:A$6,0,1,1)</v>
      </c>
    </row>
    <row r="93" spans="9:12" x14ac:dyDescent="0.15">
      <c r="I93" s="19">
        <v>0.23319487843345613</v>
      </c>
      <c r="K93" s="19">
        <f t="shared" si="7"/>
        <v>200</v>
      </c>
      <c r="L93" s="28" t="str">
        <f t="shared" ca="1" si="8"/>
        <v>=XLOOKUP(I93,$F$3:$F$6,A$3:A$6,0,1,1)</v>
      </c>
    </row>
    <row r="94" spans="9:12" x14ac:dyDescent="0.15">
      <c r="I94" s="19">
        <v>0.30632183109704492</v>
      </c>
      <c r="K94" s="19">
        <f t="shared" si="7"/>
        <v>200</v>
      </c>
      <c r="L94" s="28" t="str">
        <f t="shared" ca="1" si="8"/>
        <v>=XLOOKUP(I94,$F$3:$F$6,A$3:A$6,0,1,1)</v>
      </c>
    </row>
    <row r="95" spans="9:12" x14ac:dyDescent="0.15">
      <c r="I95" s="19">
        <v>0.35101524803369083</v>
      </c>
      <c r="K95" s="19">
        <f t="shared" si="7"/>
        <v>200</v>
      </c>
      <c r="L95" s="28" t="str">
        <f t="shared" ca="1" si="8"/>
        <v>=XLOOKUP(I95,$F$3:$F$6,A$3:A$6,0,1,1)</v>
      </c>
    </row>
    <row r="96" spans="9:12" x14ac:dyDescent="0.15">
      <c r="I96" s="19">
        <v>0.51327370224207347</v>
      </c>
      <c r="K96" s="19">
        <f t="shared" si="7"/>
        <v>300</v>
      </c>
      <c r="L96" s="28" t="str">
        <f t="shared" ca="1" si="8"/>
        <v>=XLOOKUP(I96,$F$3:$F$6,A$3:A$6,0,1,1)</v>
      </c>
    </row>
    <row r="97" spans="9:12" x14ac:dyDescent="0.15">
      <c r="I97" s="19">
        <v>0.59111358252871482</v>
      </c>
      <c r="K97" s="19">
        <f t="shared" si="7"/>
        <v>300</v>
      </c>
      <c r="L97" s="28" t="str">
        <f t="shared" ca="1" si="8"/>
        <v>=XLOOKUP(I97,$F$3:$F$6,A$3:A$6,0,1,1)</v>
      </c>
    </row>
    <row r="98" spans="9:12" x14ac:dyDescent="0.15">
      <c r="I98" s="19">
        <v>0.84598156011010595</v>
      </c>
      <c r="K98" s="19">
        <f t="shared" si="7"/>
        <v>300</v>
      </c>
      <c r="L98" s="28" t="str">
        <f t="shared" ca="1" si="8"/>
        <v>=XLOOKUP(I98,$F$3:$F$6,A$3:A$6,0,1,1)</v>
      </c>
    </row>
    <row r="99" spans="9:12" x14ac:dyDescent="0.15">
      <c r="I99" s="19">
        <v>0.41208077055033332</v>
      </c>
      <c r="K99" s="19">
        <f t="shared" si="7"/>
        <v>200</v>
      </c>
      <c r="L99" s="28" t="str">
        <f t="shared" ca="1" si="8"/>
        <v>=XLOOKUP(I99,$F$3:$F$6,A$3:A$6,0,1,1)</v>
      </c>
    </row>
    <row r="100" spans="9:12" x14ac:dyDescent="0.15">
      <c r="I100" s="19">
        <v>0.84151063945214755</v>
      </c>
      <c r="K100" s="19">
        <f t="shared" si="7"/>
        <v>300</v>
      </c>
      <c r="L100" s="28" t="str">
        <f t="shared" ca="1" si="8"/>
        <v>=XLOOKUP(I100,$F$3:$F$6,A$3:A$6,0,1,1)</v>
      </c>
    </row>
    <row r="101" spans="9:12" x14ac:dyDescent="0.15">
      <c r="I101" s="19">
        <v>0.2693172722446347</v>
      </c>
      <c r="K101" s="19">
        <f t="shared" si="7"/>
        <v>200</v>
      </c>
      <c r="L101" s="28" t="str">
        <f t="shared" ca="1" si="8"/>
        <v>=XLOOKUP(I101,$F$3:$F$6,A$3:A$6,0,1,1)</v>
      </c>
    </row>
    <row r="102" spans="9:12" x14ac:dyDescent="0.15">
      <c r="I102" s="19">
        <v>0.41539461557538931</v>
      </c>
      <c r="K102" s="19">
        <f t="shared" si="7"/>
        <v>200</v>
      </c>
      <c r="L102" s="28" t="str">
        <f t="shared" ca="1" si="8"/>
        <v>=XLOOKUP(I102,$F$3:$F$6,A$3:A$6,0,1,1)</v>
      </c>
    </row>
  </sheetData>
  <printOptions headings="1"/>
  <pageMargins left="0.70866141732283472" right="7.874015748031496E-2" top="0.74803149606299213" bottom="7.874015748031496E-2" header="7.874015748031496E-2" footer="7.874015748031496E-2"/>
  <pageSetup paperSize="9" scale="61" fitToHeight="10"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B52FE-C46B-C64B-85A5-6995D876DD80}">
  <sheetPr>
    <pageSetUpPr fitToPage="1"/>
  </sheetPr>
  <dimension ref="A1:T106"/>
  <sheetViews>
    <sheetView zoomScale="85" zoomScaleNormal="85" workbookViewId="0">
      <selection activeCell="F41" sqref="F41"/>
    </sheetView>
  </sheetViews>
  <sheetFormatPr baseColWidth="10" defaultColWidth="11.1640625" defaultRowHeight="14" x14ac:dyDescent="0.15"/>
  <cols>
    <col min="1" max="1" width="12.6640625" bestFit="1" customWidth="1"/>
    <col min="2" max="2" width="17.5" bestFit="1" customWidth="1"/>
    <col min="3" max="3" width="11.6640625" bestFit="1" customWidth="1"/>
    <col min="4" max="4" width="15.1640625" bestFit="1" customWidth="1"/>
    <col min="7" max="7" width="12.6640625" bestFit="1" customWidth="1"/>
    <col min="10" max="10" width="20.1640625" bestFit="1" customWidth="1"/>
    <col min="11" max="11" width="20.6640625" bestFit="1" customWidth="1"/>
    <col min="12" max="12" width="14.5" bestFit="1" customWidth="1"/>
    <col min="15" max="15" width="11.83203125" bestFit="1" customWidth="1"/>
    <col min="16" max="16" width="12.6640625" bestFit="1" customWidth="1"/>
    <col min="17" max="17" width="12.5" bestFit="1" customWidth="1"/>
    <col min="18" max="18" width="12.1640625" bestFit="1" customWidth="1"/>
  </cols>
  <sheetData>
    <row r="1" spans="1:20" x14ac:dyDescent="0.15">
      <c r="A1" s="87" t="s">
        <v>36</v>
      </c>
      <c r="B1" s="87"/>
      <c r="I1" s="30" t="s">
        <v>37</v>
      </c>
      <c r="J1" s="23" t="s">
        <v>38</v>
      </c>
      <c r="K1" s="23" t="s">
        <v>39</v>
      </c>
      <c r="L1" s="23" t="s">
        <v>40</v>
      </c>
      <c r="M1" s="23" t="s">
        <v>41</v>
      </c>
    </row>
    <row r="2" spans="1:20" x14ac:dyDescent="0.15">
      <c r="A2" s="19"/>
      <c r="B2" s="23" t="s">
        <v>38</v>
      </c>
      <c r="C2" s="23" t="s">
        <v>39</v>
      </c>
      <c r="D2" s="23" t="s">
        <v>40</v>
      </c>
      <c r="F2" s="19" t="s">
        <v>42</v>
      </c>
      <c r="G2" s="19"/>
      <c r="H2" s="19"/>
      <c r="J2" s="23">
        <v>0.3</v>
      </c>
      <c r="K2" s="23">
        <v>0.55000000000000004</v>
      </c>
      <c r="L2" s="23">
        <v>0.15</v>
      </c>
      <c r="M2" s="23">
        <v>300000</v>
      </c>
      <c r="O2" s="89" t="s">
        <v>43</v>
      </c>
      <c r="P2" s="90"/>
      <c r="Q2" s="84"/>
      <c r="R2" s="19" t="s">
        <v>44</v>
      </c>
    </row>
    <row r="3" spans="1:20" x14ac:dyDescent="0.15">
      <c r="A3" s="19" t="s">
        <v>45</v>
      </c>
      <c r="B3" s="23">
        <v>2</v>
      </c>
      <c r="C3" s="23">
        <v>5</v>
      </c>
      <c r="D3" s="23">
        <v>6.25</v>
      </c>
      <c r="F3" s="19" t="s">
        <v>38</v>
      </c>
      <c r="G3" s="19" t="s">
        <v>39</v>
      </c>
      <c r="H3" s="19" t="s">
        <v>40</v>
      </c>
      <c r="J3" s="23">
        <f>J2*$M$2</f>
        <v>90000</v>
      </c>
      <c r="K3" s="23">
        <f>K2*$M$2</f>
        <v>165000</v>
      </c>
      <c r="L3" s="23">
        <f>L2*$M$2</f>
        <v>45000</v>
      </c>
      <c r="M3" s="67"/>
      <c r="O3" s="19" t="s">
        <v>38</v>
      </c>
      <c r="P3" s="19" t="s">
        <v>39</v>
      </c>
      <c r="Q3" s="19" t="s">
        <v>40</v>
      </c>
      <c r="R3" s="19"/>
    </row>
    <row r="4" spans="1:20" x14ac:dyDescent="0.15">
      <c r="A4" s="19" t="s">
        <v>46</v>
      </c>
      <c r="B4" s="23">
        <v>0.3</v>
      </c>
      <c r="C4" s="23">
        <v>2.5</v>
      </c>
      <c r="D4" s="23">
        <v>5.5</v>
      </c>
      <c r="J4" s="33" t="str">
        <f ca="1">_xlfn.FORMULATEXT(J3)</f>
        <v>=J2*$M$2</v>
      </c>
      <c r="K4" s="33" t="str">
        <f t="shared" ref="K4:L4" ca="1" si="0">_xlfn.FORMULATEXT(K3)</f>
        <v>=K2*$M$2</v>
      </c>
      <c r="L4" s="33" t="str">
        <f t="shared" ca="1" si="0"/>
        <v>=L2*$M$2</v>
      </c>
      <c r="M4" s="17"/>
    </row>
    <row r="6" spans="1:20" x14ac:dyDescent="0.15">
      <c r="E6" s="19">
        <v>1</v>
      </c>
      <c r="F6" s="19">
        <v>0.70359897613525391</v>
      </c>
      <c r="G6" s="19">
        <v>-5.8033418655395508</v>
      </c>
      <c r="H6" s="19">
        <v>-17.517352104187012</v>
      </c>
      <c r="J6" s="19">
        <f>(F6*$J$3)/100</f>
        <v>633.23907852172852</v>
      </c>
      <c r="K6" s="19">
        <f>(G6*$K$3)/100</f>
        <v>-9575.5140781402588</v>
      </c>
      <c r="L6" s="19">
        <f>(H6*$L$3)/100</f>
        <v>-7882.8084468841553</v>
      </c>
      <c r="O6" s="19">
        <f t="shared" ref="O6:O37" si="1">J$3+J6</f>
        <v>90633.239078521729</v>
      </c>
      <c r="P6" s="19">
        <f t="shared" ref="P6:P37" si="2">K$3+K6</f>
        <v>155424.48592185974</v>
      </c>
      <c r="Q6" s="19">
        <f t="shared" ref="Q6:Q37" si="3">L$3+L6</f>
        <v>37117.191553115845</v>
      </c>
      <c r="R6" s="19">
        <f>O6+P6+Q6</f>
        <v>283174.91655349731</v>
      </c>
    </row>
    <row r="7" spans="1:20" x14ac:dyDescent="0.15">
      <c r="A7" s="88" t="s">
        <v>47</v>
      </c>
      <c r="B7" s="88"/>
      <c r="C7" t="s">
        <v>48</v>
      </c>
      <c r="E7" s="19">
        <v>2</v>
      </c>
      <c r="F7" s="19">
        <v>1.6642545738723129</v>
      </c>
      <c r="G7" s="19">
        <v>2.2021214489359409</v>
      </c>
      <c r="H7" s="19">
        <v>9.4667187659069896E-2</v>
      </c>
      <c r="J7" s="19">
        <f t="shared" ref="J7:J70" si="4">(F7*$J$3)/100</f>
        <v>1497.8291164850816</v>
      </c>
      <c r="K7" s="19">
        <f t="shared" ref="K7:K70" si="5">(G7*$K$3)/100</f>
        <v>3633.5003907443024</v>
      </c>
      <c r="L7" s="19">
        <f t="shared" ref="L7:L70" si="6">(H7*$L$3)/100</f>
        <v>42.600234446581453</v>
      </c>
      <c r="O7" s="19">
        <f t="shared" si="1"/>
        <v>91497.829116485082</v>
      </c>
      <c r="P7" s="19">
        <f t="shared" si="2"/>
        <v>168633.5003907443</v>
      </c>
      <c r="Q7" s="19">
        <f t="shared" si="3"/>
        <v>45042.600234446581</v>
      </c>
      <c r="R7" s="19">
        <f t="shared" ref="R7:R70" si="7">O7+P7+Q7</f>
        <v>305173.92974167597</v>
      </c>
      <c r="T7" s="16"/>
    </row>
    <row r="8" spans="1:20" x14ac:dyDescent="0.15">
      <c r="C8" t="s">
        <v>49</v>
      </c>
      <c r="E8" s="19">
        <v>3</v>
      </c>
      <c r="F8" s="19">
        <v>2.2076703822240233</v>
      </c>
      <c r="G8" s="19">
        <v>6.7305865185335279</v>
      </c>
      <c r="H8" s="19">
        <v>10.057290340773761</v>
      </c>
      <c r="J8" s="19">
        <f t="shared" si="4"/>
        <v>1986.903344001621</v>
      </c>
      <c r="K8" s="19">
        <f t="shared" si="5"/>
        <v>11105.467755580321</v>
      </c>
      <c r="L8" s="19">
        <f t="shared" si="6"/>
        <v>4525.7806533481926</v>
      </c>
      <c r="O8" s="19">
        <f t="shared" si="1"/>
        <v>91986.903344001621</v>
      </c>
      <c r="P8" s="19">
        <f t="shared" si="2"/>
        <v>176105.46775558032</v>
      </c>
      <c r="Q8" s="19">
        <f t="shared" si="3"/>
        <v>49525.780653348193</v>
      </c>
      <c r="R8" s="19">
        <f t="shared" si="7"/>
        <v>317618.15175293013</v>
      </c>
    </row>
    <row r="9" spans="1:20" x14ac:dyDescent="0.15">
      <c r="E9" s="19">
        <v>4</v>
      </c>
      <c r="F9" s="19">
        <v>1.9688495790906018</v>
      </c>
      <c r="G9" s="19">
        <v>4.740413159088348</v>
      </c>
      <c r="H9" s="19">
        <v>5.6789089499943657</v>
      </c>
      <c r="J9" s="19">
        <f t="shared" si="4"/>
        <v>1771.9646211815416</v>
      </c>
      <c r="K9" s="19">
        <f t="shared" si="5"/>
        <v>7821.6817124957743</v>
      </c>
      <c r="L9" s="19">
        <f t="shared" si="6"/>
        <v>2555.5090274974646</v>
      </c>
      <c r="O9" s="19">
        <f t="shared" si="1"/>
        <v>91771.964621181542</v>
      </c>
      <c r="P9" s="19">
        <f t="shared" si="2"/>
        <v>172821.68171249577</v>
      </c>
      <c r="Q9" s="19">
        <f t="shared" si="3"/>
        <v>47555.509027497465</v>
      </c>
      <c r="R9" s="19">
        <f t="shared" si="7"/>
        <v>312149.15536117484</v>
      </c>
    </row>
    <row r="10" spans="1:20" x14ac:dyDescent="0.15">
      <c r="E10" s="19">
        <v>5</v>
      </c>
      <c r="F10" s="19">
        <v>2.0246682247961871</v>
      </c>
      <c r="G10" s="19">
        <v>5.2055685399682261</v>
      </c>
      <c r="H10" s="19">
        <v>6.7022507879300974</v>
      </c>
      <c r="J10" s="19">
        <f t="shared" si="4"/>
        <v>1822.2014023165684</v>
      </c>
      <c r="K10" s="19">
        <f t="shared" si="5"/>
        <v>8589.1880909475731</v>
      </c>
      <c r="L10" s="19">
        <f t="shared" si="6"/>
        <v>3016.0128545685438</v>
      </c>
      <c r="O10" s="19">
        <f t="shared" si="1"/>
        <v>91822.201402316568</v>
      </c>
      <c r="P10" s="19">
        <f t="shared" si="2"/>
        <v>173589.18809094757</v>
      </c>
      <c r="Q10" s="19">
        <f t="shared" si="3"/>
        <v>48016.012854568544</v>
      </c>
      <c r="R10" s="19">
        <f t="shared" si="7"/>
        <v>313427.40234783269</v>
      </c>
    </row>
    <row r="11" spans="1:20" x14ac:dyDescent="0.15">
      <c r="E11" s="19">
        <v>6</v>
      </c>
      <c r="F11" s="19">
        <v>1.7672862264153082</v>
      </c>
      <c r="G11" s="19">
        <v>3.0607185534609016</v>
      </c>
      <c r="H11" s="19">
        <v>1.9835808176139835</v>
      </c>
      <c r="J11" s="19">
        <f t="shared" si="4"/>
        <v>1590.5576037737774</v>
      </c>
      <c r="K11" s="19">
        <f t="shared" si="5"/>
        <v>5050.1856132104876</v>
      </c>
      <c r="L11" s="19">
        <f t="shared" si="6"/>
        <v>892.61136792629259</v>
      </c>
      <c r="O11" s="19">
        <f t="shared" si="1"/>
        <v>91590.557603773777</v>
      </c>
      <c r="P11" s="19">
        <f t="shared" si="2"/>
        <v>170050.18561321049</v>
      </c>
      <c r="Q11" s="19">
        <f t="shared" si="3"/>
        <v>45892.611367926293</v>
      </c>
      <c r="R11" s="19">
        <f t="shared" si="7"/>
        <v>307533.35458491056</v>
      </c>
    </row>
    <row r="12" spans="1:20" x14ac:dyDescent="0.15">
      <c r="E12" s="19">
        <v>7</v>
      </c>
      <c r="F12" s="19">
        <v>1.4977365531667601</v>
      </c>
      <c r="G12" s="19">
        <v>0.81447127638966776</v>
      </c>
      <c r="H12" s="19">
        <v>-2.9581631919427309</v>
      </c>
      <c r="J12" s="19">
        <f t="shared" si="4"/>
        <v>1347.9628978500841</v>
      </c>
      <c r="K12" s="19">
        <f t="shared" si="5"/>
        <v>1343.8776060429518</v>
      </c>
      <c r="L12" s="19">
        <f t="shared" si="6"/>
        <v>-1331.1734363742289</v>
      </c>
      <c r="O12" s="19">
        <f t="shared" si="1"/>
        <v>91347.962897850084</v>
      </c>
      <c r="P12" s="19">
        <f t="shared" si="2"/>
        <v>166343.87760604295</v>
      </c>
      <c r="Q12" s="19">
        <f t="shared" si="3"/>
        <v>43668.826563625771</v>
      </c>
      <c r="R12" s="19">
        <f t="shared" si="7"/>
        <v>301360.66706751881</v>
      </c>
    </row>
    <row r="13" spans="1:20" x14ac:dyDescent="0.15">
      <c r="E13" s="19">
        <v>8</v>
      </c>
      <c r="F13" s="19">
        <v>2.1393580078001833</v>
      </c>
      <c r="G13" s="19">
        <v>6.1613167316681938</v>
      </c>
      <c r="H13" s="19">
        <v>8.8048968096700264</v>
      </c>
      <c r="J13" s="19">
        <f t="shared" si="4"/>
        <v>1925.4222070201649</v>
      </c>
      <c r="K13" s="19">
        <f t="shared" si="5"/>
        <v>10166.17260725252</v>
      </c>
      <c r="L13" s="19">
        <f t="shared" si="6"/>
        <v>3962.2035643515119</v>
      </c>
      <c r="O13" s="19">
        <f t="shared" si="1"/>
        <v>91925.422207020165</v>
      </c>
      <c r="P13" s="19">
        <f t="shared" si="2"/>
        <v>175166.17260725252</v>
      </c>
      <c r="Q13" s="19">
        <f t="shared" si="3"/>
        <v>48962.203564351512</v>
      </c>
      <c r="R13" s="19">
        <f t="shared" si="7"/>
        <v>316053.79837862425</v>
      </c>
    </row>
    <row r="14" spans="1:20" x14ac:dyDescent="0.15">
      <c r="E14" s="19">
        <v>9</v>
      </c>
      <c r="F14" s="19">
        <v>2.139719531944138</v>
      </c>
      <c r="G14" s="19">
        <v>6.1643294328678166</v>
      </c>
      <c r="H14" s="19">
        <v>8.8115247523091966</v>
      </c>
      <c r="J14" s="19">
        <f t="shared" si="4"/>
        <v>1925.7475787497242</v>
      </c>
      <c r="K14" s="19">
        <f t="shared" si="5"/>
        <v>10171.143564231897</v>
      </c>
      <c r="L14" s="19">
        <f t="shared" si="6"/>
        <v>3965.1861385391385</v>
      </c>
      <c r="O14" s="19">
        <f t="shared" si="1"/>
        <v>91925.747578749724</v>
      </c>
      <c r="P14" s="19">
        <f t="shared" si="2"/>
        <v>175171.1435642319</v>
      </c>
      <c r="Q14" s="19">
        <f t="shared" si="3"/>
        <v>48965.186138539138</v>
      </c>
      <c r="R14" s="19">
        <f t="shared" si="7"/>
        <v>316062.0772815207</v>
      </c>
    </row>
    <row r="15" spans="1:20" x14ac:dyDescent="0.15">
      <c r="E15" s="19">
        <v>10</v>
      </c>
      <c r="F15" s="19">
        <v>2.4535054358711932</v>
      </c>
      <c r="G15" s="19">
        <v>8.7792119655932765</v>
      </c>
      <c r="H15" s="19">
        <v>14.564266324305208</v>
      </c>
      <c r="J15" s="19">
        <f t="shared" si="4"/>
        <v>2208.1548922840739</v>
      </c>
      <c r="K15" s="19">
        <f t="shared" si="5"/>
        <v>14485.699743228906</v>
      </c>
      <c r="L15" s="19">
        <f t="shared" si="6"/>
        <v>6553.9198459373438</v>
      </c>
      <c r="O15" s="19">
        <f t="shared" si="1"/>
        <v>92208.154892284074</v>
      </c>
      <c r="P15" s="19">
        <f t="shared" si="2"/>
        <v>179485.69974322891</v>
      </c>
      <c r="Q15" s="19">
        <f t="shared" si="3"/>
        <v>51553.919845937344</v>
      </c>
      <c r="R15" s="19">
        <f t="shared" si="7"/>
        <v>323247.77448145032</v>
      </c>
    </row>
    <row r="16" spans="1:20" x14ac:dyDescent="0.15">
      <c r="E16" s="19">
        <v>11</v>
      </c>
      <c r="F16" s="19">
        <v>1.9111111037564115</v>
      </c>
      <c r="G16" s="19">
        <v>4.2592591979700956</v>
      </c>
      <c r="H16" s="19">
        <v>4.6203702355342102</v>
      </c>
      <c r="J16" s="19">
        <f t="shared" si="4"/>
        <v>1719.9999933807703</v>
      </c>
      <c r="K16" s="19">
        <f t="shared" si="5"/>
        <v>7027.7776766506586</v>
      </c>
      <c r="L16" s="19">
        <f t="shared" si="6"/>
        <v>2079.1666059903946</v>
      </c>
      <c r="O16" s="19">
        <f t="shared" si="1"/>
        <v>91719.99999338077</v>
      </c>
      <c r="P16" s="19">
        <f t="shared" si="2"/>
        <v>172027.77767665067</v>
      </c>
      <c r="Q16" s="19">
        <f t="shared" si="3"/>
        <v>47079.166605990395</v>
      </c>
      <c r="R16" s="19">
        <f t="shared" si="7"/>
        <v>310826.94427602179</v>
      </c>
    </row>
    <row r="17" spans="5:18" x14ac:dyDescent="0.15">
      <c r="E17" s="19">
        <v>12</v>
      </c>
      <c r="F17" s="19">
        <v>2.0146065985973109</v>
      </c>
      <c r="G17" s="19">
        <v>5.1217216549775912</v>
      </c>
      <c r="H17" s="19">
        <v>6.5177876409507007</v>
      </c>
      <c r="J17" s="19">
        <f t="shared" si="4"/>
        <v>1813.1459387375799</v>
      </c>
      <c r="K17" s="19">
        <f t="shared" si="5"/>
        <v>8450.8407307130256</v>
      </c>
      <c r="L17" s="19">
        <f t="shared" si="6"/>
        <v>2933.0044384278153</v>
      </c>
      <c r="O17" s="19">
        <f t="shared" si="1"/>
        <v>91813.14593873758</v>
      </c>
      <c r="P17" s="19">
        <f t="shared" si="2"/>
        <v>173450.84073071304</v>
      </c>
      <c r="Q17" s="19">
        <f t="shared" si="3"/>
        <v>47933.004438427815</v>
      </c>
      <c r="R17" s="19">
        <f t="shared" si="7"/>
        <v>313196.99110787845</v>
      </c>
    </row>
    <row r="18" spans="5:18" x14ac:dyDescent="0.15">
      <c r="E18" s="19">
        <v>13</v>
      </c>
      <c r="F18" s="19">
        <v>2.2873960056604119</v>
      </c>
      <c r="G18" s="19">
        <v>7.3949667138367658</v>
      </c>
      <c r="H18" s="19">
        <v>11.518926770440885</v>
      </c>
      <c r="J18" s="19">
        <f t="shared" si="4"/>
        <v>2058.6564050943707</v>
      </c>
      <c r="K18" s="19">
        <f t="shared" si="5"/>
        <v>12201.695077830665</v>
      </c>
      <c r="L18" s="19">
        <f t="shared" si="6"/>
        <v>5183.5170466983982</v>
      </c>
      <c r="O18" s="19">
        <f t="shared" si="1"/>
        <v>92058.656405094371</v>
      </c>
      <c r="P18" s="19">
        <f t="shared" si="2"/>
        <v>177201.69507783066</v>
      </c>
      <c r="Q18" s="19">
        <f t="shared" si="3"/>
        <v>50183.517046698398</v>
      </c>
      <c r="R18" s="19">
        <f t="shared" si="7"/>
        <v>319443.86852962337</v>
      </c>
    </row>
    <row r="19" spans="5:18" x14ac:dyDescent="0.15">
      <c r="E19" s="19">
        <v>14</v>
      </c>
      <c r="F19" s="19">
        <v>1.4547574715397786</v>
      </c>
      <c r="G19" s="19">
        <v>0.45631226283148862</v>
      </c>
      <c r="H19" s="19">
        <v>-3.746113021770725</v>
      </c>
      <c r="J19" s="19">
        <f t="shared" si="4"/>
        <v>1309.2817243858008</v>
      </c>
      <c r="K19" s="19">
        <f t="shared" si="5"/>
        <v>752.91523367195623</v>
      </c>
      <c r="L19" s="19">
        <f t="shared" si="6"/>
        <v>-1685.7508597968263</v>
      </c>
      <c r="O19" s="19">
        <f t="shared" si="1"/>
        <v>91309.281724385801</v>
      </c>
      <c r="P19" s="19">
        <f t="shared" si="2"/>
        <v>165752.91523367196</v>
      </c>
      <c r="Q19" s="19">
        <f t="shared" si="3"/>
        <v>43314.249140203174</v>
      </c>
      <c r="R19" s="19">
        <f t="shared" si="7"/>
        <v>300376.44609826093</v>
      </c>
    </row>
    <row r="20" spans="5:18" x14ac:dyDescent="0.15">
      <c r="E20" s="19">
        <v>15</v>
      </c>
      <c r="F20" s="19">
        <v>1.5163461790070869</v>
      </c>
      <c r="G20" s="19">
        <v>0.96955149172572419</v>
      </c>
      <c r="H20" s="19">
        <v>-2.6169867182034068</v>
      </c>
      <c r="J20" s="19">
        <f t="shared" si="4"/>
        <v>1364.7115611063782</v>
      </c>
      <c r="K20" s="19">
        <f t="shared" si="5"/>
        <v>1599.7599613474449</v>
      </c>
      <c r="L20" s="19">
        <f t="shared" si="6"/>
        <v>-1177.6440231915331</v>
      </c>
      <c r="O20" s="19">
        <f t="shared" si="1"/>
        <v>91364.711561106378</v>
      </c>
      <c r="P20" s="19">
        <f t="shared" si="2"/>
        <v>166599.75996134744</v>
      </c>
      <c r="Q20" s="19">
        <f t="shared" si="3"/>
        <v>43822.355976808467</v>
      </c>
      <c r="R20" s="19">
        <f t="shared" si="7"/>
        <v>301786.82749926229</v>
      </c>
    </row>
    <row r="21" spans="5:18" x14ac:dyDescent="0.15">
      <c r="E21" s="19">
        <v>16</v>
      </c>
      <c r="F21" s="19">
        <v>2.02235481133539</v>
      </c>
      <c r="G21" s="19">
        <v>5.1862900944615831</v>
      </c>
      <c r="H21" s="19">
        <v>6.6598382078154827</v>
      </c>
      <c r="J21" s="19">
        <f t="shared" si="4"/>
        <v>1820.119330201851</v>
      </c>
      <c r="K21" s="19">
        <f t="shared" si="5"/>
        <v>8557.3786558616121</v>
      </c>
      <c r="L21" s="19">
        <f t="shared" si="6"/>
        <v>2996.9271935169672</v>
      </c>
      <c r="O21" s="19">
        <f t="shared" si="1"/>
        <v>91820.119330201851</v>
      </c>
      <c r="P21" s="19">
        <f t="shared" si="2"/>
        <v>173557.3786558616</v>
      </c>
      <c r="Q21" s="19">
        <f t="shared" si="3"/>
        <v>47996.927193516967</v>
      </c>
      <c r="R21" s="19">
        <f t="shared" si="7"/>
        <v>313374.42517958046</v>
      </c>
    </row>
    <row r="22" spans="5:18" x14ac:dyDescent="0.15">
      <c r="E22" s="19">
        <v>17</v>
      </c>
      <c r="F22" s="19">
        <v>2.1329269707639469</v>
      </c>
      <c r="G22" s="19">
        <v>6.107724756366224</v>
      </c>
      <c r="H22" s="19">
        <v>8.6869944640056929</v>
      </c>
      <c r="J22" s="19">
        <f t="shared" si="4"/>
        <v>1919.6342736875522</v>
      </c>
      <c r="K22" s="19">
        <f t="shared" si="5"/>
        <v>10077.74584800427</v>
      </c>
      <c r="L22" s="19">
        <f t="shared" si="6"/>
        <v>3909.1475088025618</v>
      </c>
      <c r="O22" s="19">
        <f t="shared" si="1"/>
        <v>91919.634273687552</v>
      </c>
      <c r="P22" s="19">
        <f t="shared" si="2"/>
        <v>175077.74584800427</v>
      </c>
      <c r="Q22" s="19">
        <f t="shared" si="3"/>
        <v>48909.147508802562</v>
      </c>
      <c r="R22" s="19">
        <f t="shared" si="7"/>
        <v>315906.52763049444</v>
      </c>
    </row>
    <row r="23" spans="5:18" x14ac:dyDescent="0.15">
      <c r="E23" s="19">
        <v>18</v>
      </c>
      <c r="F23" s="19">
        <v>1.2731209204066545</v>
      </c>
      <c r="G23" s="19">
        <v>-1.0573256632778794</v>
      </c>
      <c r="H23" s="19">
        <v>-7.0761164592113346</v>
      </c>
      <c r="J23" s="19">
        <f t="shared" si="4"/>
        <v>1145.808828365989</v>
      </c>
      <c r="K23" s="19">
        <f t="shared" si="5"/>
        <v>-1744.5873444085009</v>
      </c>
      <c r="L23" s="19">
        <f t="shared" si="6"/>
        <v>-3184.2524066451006</v>
      </c>
      <c r="O23" s="19">
        <f t="shared" si="1"/>
        <v>91145.808828365989</v>
      </c>
      <c r="P23" s="19">
        <f t="shared" si="2"/>
        <v>163255.4126555915</v>
      </c>
      <c r="Q23" s="19">
        <f t="shared" si="3"/>
        <v>41815.747593354899</v>
      </c>
      <c r="R23" s="19">
        <f t="shared" si="7"/>
        <v>296216.96907731239</v>
      </c>
    </row>
    <row r="24" spans="5:18" x14ac:dyDescent="0.15">
      <c r="E24" s="19">
        <v>19</v>
      </c>
      <c r="F24" s="19">
        <v>1.9110432327142917</v>
      </c>
      <c r="G24" s="19">
        <v>4.2586936059524305</v>
      </c>
      <c r="H24" s="19">
        <v>4.6191259330953471</v>
      </c>
      <c r="J24" s="19">
        <f t="shared" si="4"/>
        <v>1719.9389094428625</v>
      </c>
      <c r="K24" s="19">
        <f t="shared" si="5"/>
        <v>7026.8444498215104</v>
      </c>
      <c r="L24" s="19">
        <f t="shared" si="6"/>
        <v>2078.6066698929062</v>
      </c>
      <c r="O24" s="19">
        <f t="shared" si="1"/>
        <v>91719.938909442862</v>
      </c>
      <c r="P24" s="19">
        <f t="shared" si="2"/>
        <v>172026.84444982151</v>
      </c>
      <c r="Q24" s="19">
        <f t="shared" si="3"/>
        <v>47078.606669892906</v>
      </c>
      <c r="R24" s="19">
        <f t="shared" si="7"/>
        <v>310825.39002915728</v>
      </c>
    </row>
    <row r="25" spans="5:18" x14ac:dyDescent="0.15">
      <c r="E25" s="19">
        <v>20</v>
      </c>
      <c r="F25" s="19">
        <v>1.5500811564852484</v>
      </c>
      <c r="G25" s="19">
        <v>1.2506763040437363</v>
      </c>
      <c r="H25" s="19">
        <v>-1.9985121311037801</v>
      </c>
      <c r="J25" s="19">
        <f t="shared" si="4"/>
        <v>1395.0730408367235</v>
      </c>
      <c r="K25" s="19">
        <f t="shared" si="5"/>
        <v>2063.6159016721649</v>
      </c>
      <c r="L25" s="19">
        <f t="shared" si="6"/>
        <v>-899.33045899670105</v>
      </c>
      <c r="O25" s="19">
        <f t="shared" si="1"/>
        <v>91395.073040836724</v>
      </c>
      <c r="P25" s="19">
        <f t="shared" si="2"/>
        <v>167063.61590167216</v>
      </c>
      <c r="Q25" s="19">
        <f t="shared" si="3"/>
        <v>44100.669541003299</v>
      </c>
      <c r="R25" s="19">
        <f t="shared" si="7"/>
        <v>302559.35848351219</v>
      </c>
    </row>
    <row r="26" spans="5:18" x14ac:dyDescent="0.15">
      <c r="E26" s="19">
        <v>21</v>
      </c>
      <c r="F26" s="19">
        <v>1.9375013430835679</v>
      </c>
      <c r="G26" s="19">
        <v>4.4791778590297326</v>
      </c>
      <c r="H26" s="19">
        <v>5.1041912898654118</v>
      </c>
      <c r="J26" s="19">
        <f t="shared" si="4"/>
        <v>1743.7512087752111</v>
      </c>
      <c r="K26" s="19">
        <f t="shared" si="5"/>
        <v>7390.6434673990589</v>
      </c>
      <c r="L26" s="19">
        <f t="shared" si="6"/>
        <v>2296.8860804394353</v>
      </c>
      <c r="O26" s="19">
        <f t="shared" si="1"/>
        <v>91743.751208775211</v>
      </c>
      <c r="P26" s="19">
        <f t="shared" si="2"/>
        <v>172390.64346739906</v>
      </c>
      <c r="Q26" s="19">
        <f t="shared" si="3"/>
        <v>47296.886080439435</v>
      </c>
      <c r="R26" s="19">
        <f t="shared" si="7"/>
        <v>311431.28075661371</v>
      </c>
    </row>
    <row r="27" spans="5:18" x14ac:dyDescent="0.15">
      <c r="E27" s="19">
        <v>22</v>
      </c>
      <c r="F27" s="19">
        <v>2.1460168732592138</v>
      </c>
      <c r="G27" s="19">
        <v>6.2168072771601146</v>
      </c>
      <c r="H27" s="19">
        <v>8.9269760097522521</v>
      </c>
      <c r="J27" s="19">
        <f t="shared" si="4"/>
        <v>1931.4151859332924</v>
      </c>
      <c r="K27" s="19">
        <f t="shared" si="5"/>
        <v>10257.732007314189</v>
      </c>
      <c r="L27" s="19">
        <f t="shared" si="6"/>
        <v>4017.1392043885135</v>
      </c>
      <c r="O27" s="19">
        <f t="shared" si="1"/>
        <v>91931.415185933292</v>
      </c>
      <c r="P27" s="19">
        <f t="shared" si="2"/>
        <v>175257.73200731419</v>
      </c>
      <c r="Q27" s="19">
        <f t="shared" si="3"/>
        <v>49017.139204388513</v>
      </c>
      <c r="R27" s="19">
        <f t="shared" si="7"/>
        <v>316206.28639763594</v>
      </c>
    </row>
    <row r="28" spans="5:18" x14ac:dyDescent="0.15">
      <c r="E28" s="19">
        <v>23</v>
      </c>
      <c r="F28" s="19">
        <v>2.0674740476824809</v>
      </c>
      <c r="G28" s="19">
        <v>5.5622837306873407</v>
      </c>
      <c r="H28" s="19">
        <v>7.4870242075121496</v>
      </c>
      <c r="J28" s="19">
        <f t="shared" si="4"/>
        <v>1860.7266429142328</v>
      </c>
      <c r="K28" s="19">
        <f t="shared" si="5"/>
        <v>9177.7681556341122</v>
      </c>
      <c r="L28" s="19">
        <f t="shared" si="6"/>
        <v>3369.1608933804673</v>
      </c>
      <c r="O28" s="19">
        <f t="shared" si="1"/>
        <v>91860.726642914233</v>
      </c>
      <c r="P28" s="19">
        <f t="shared" si="2"/>
        <v>174177.76815563411</v>
      </c>
      <c r="Q28" s="19">
        <f t="shared" si="3"/>
        <v>48369.160893380467</v>
      </c>
      <c r="R28" s="19">
        <f t="shared" si="7"/>
        <v>314407.65569192881</v>
      </c>
    </row>
    <row r="29" spans="5:18" x14ac:dyDescent="0.15">
      <c r="E29" s="19">
        <v>24</v>
      </c>
      <c r="F29" s="19">
        <v>2.4437156349013094</v>
      </c>
      <c r="G29" s="19">
        <v>8.6976302908442449</v>
      </c>
      <c r="H29" s="19">
        <v>14.384786639857339</v>
      </c>
      <c r="J29" s="19">
        <f t="shared" si="4"/>
        <v>2199.3440714111784</v>
      </c>
      <c r="K29" s="19">
        <f t="shared" si="5"/>
        <v>14351.089979893004</v>
      </c>
      <c r="L29" s="19">
        <f t="shared" si="6"/>
        <v>6473.1539879358024</v>
      </c>
      <c r="O29" s="19">
        <f t="shared" si="1"/>
        <v>92199.344071411178</v>
      </c>
      <c r="P29" s="19">
        <f t="shared" si="2"/>
        <v>179351.089979893</v>
      </c>
      <c r="Q29" s="19">
        <f t="shared" si="3"/>
        <v>51473.153987935802</v>
      </c>
      <c r="R29" s="19">
        <f t="shared" si="7"/>
        <v>323023.58803923998</v>
      </c>
    </row>
    <row r="30" spans="5:18" x14ac:dyDescent="0.15">
      <c r="E30" s="19">
        <v>25</v>
      </c>
      <c r="F30" s="19">
        <v>2.3060390554310288</v>
      </c>
      <c r="G30" s="19">
        <v>7.5503254619252402</v>
      </c>
      <c r="H30" s="19">
        <v>11.860716016235529</v>
      </c>
      <c r="J30" s="19">
        <f t="shared" si="4"/>
        <v>2075.4351498879259</v>
      </c>
      <c r="K30" s="19">
        <f t="shared" si="5"/>
        <v>12458.037012176646</v>
      </c>
      <c r="L30" s="19">
        <f t="shared" si="6"/>
        <v>5337.3222073059878</v>
      </c>
      <c r="O30" s="19">
        <f t="shared" si="1"/>
        <v>92075.435149887926</v>
      </c>
      <c r="P30" s="19">
        <f t="shared" si="2"/>
        <v>177458.03701217665</v>
      </c>
      <c r="Q30" s="19">
        <f t="shared" si="3"/>
        <v>50337.322207305988</v>
      </c>
      <c r="R30" s="19">
        <f t="shared" si="7"/>
        <v>319870.79436937056</v>
      </c>
    </row>
    <row r="31" spans="5:18" x14ac:dyDescent="0.15">
      <c r="E31" s="19">
        <v>26</v>
      </c>
      <c r="F31" s="19">
        <v>2.0202654746317421</v>
      </c>
      <c r="G31" s="19">
        <v>5.1688789552645176</v>
      </c>
      <c r="H31" s="19">
        <v>6.6215337015819387</v>
      </c>
      <c r="J31" s="19">
        <f t="shared" si="4"/>
        <v>1818.2389271685679</v>
      </c>
      <c r="K31" s="19">
        <f t="shared" si="5"/>
        <v>8528.650276186454</v>
      </c>
      <c r="L31" s="19">
        <f t="shared" si="6"/>
        <v>2979.6901657118724</v>
      </c>
      <c r="O31" s="19">
        <f t="shared" si="1"/>
        <v>91818.238927168568</v>
      </c>
      <c r="P31" s="19">
        <f t="shared" si="2"/>
        <v>173528.65027618647</v>
      </c>
      <c r="Q31" s="19">
        <f t="shared" si="3"/>
        <v>47979.690165711872</v>
      </c>
      <c r="R31" s="19">
        <f t="shared" si="7"/>
        <v>313326.57936906692</v>
      </c>
    </row>
    <row r="32" spans="5:18" x14ac:dyDescent="0.15">
      <c r="E32" s="19">
        <v>27</v>
      </c>
      <c r="F32" s="19">
        <v>1.6013739291811362</v>
      </c>
      <c r="G32" s="19">
        <v>1.6781160765094683</v>
      </c>
      <c r="H32" s="19">
        <v>-1.0581446316791698</v>
      </c>
      <c r="J32" s="19">
        <f t="shared" si="4"/>
        <v>1441.2365362630226</v>
      </c>
      <c r="K32" s="19">
        <f t="shared" si="5"/>
        <v>2768.8915262406226</v>
      </c>
      <c r="L32" s="19">
        <f t="shared" si="6"/>
        <v>-476.16508425562643</v>
      </c>
      <c r="O32" s="19">
        <f t="shared" si="1"/>
        <v>91441.236536263023</v>
      </c>
      <c r="P32" s="19">
        <f t="shared" si="2"/>
        <v>167768.89152624062</v>
      </c>
      <c r="Q32" s="19">
        <f t="shared" si="3"/>
        <v>44523.834915744374</v>
      </c>
      <c r="R32" s="19">
        <f t="shared" si="7"/>
        <v>303733.96297824802</v>
      </c>
    </row>
    <row r="33" spans="1:18" x14ac:dyDescent="0.15">
      <c r="E33" s="19">
        <v>28</v>
      </c>
      <c r="F33" s="19">
        <v>2.1187770521937637</v>
      </c>
      <c r="G33" s="19">
        <v>5.9898087682813639</v>
      </c>
      <c r="H33" s="19">
        <v>8.4275792902190005</v>
      </c>
      <c r="J33" s="19">
        <f t="shared" si="4"/>
        <v>1906.8993469743873</v>
      </c>
      <c r="K33" s="19">
        <f t="shared" si="5"/>
        <v>9883.1844676642504</v>
      </c>
      <c r="L33" s="19">
        <f t="shared" si="6"/>
        <v>3792.4106805985502</v>
      </c>
      <c r="O33" s="19">
        <f t="shared" si="1"/>
        <v>91906.899346974387</v>
      </c>
      <c r="P33" s="19">
        <f t="shared" si="2"/>
        <v>174883.18446766425</v>
      </c>
      <c r="Q33" s="19">
        <f t="shared" si="3"/>
        <v>48792.41068059855</v>
      </c>
      <c r="R33" s="19">
        <f t="shared" si="7"/>
        <v>315582.49449523725</v>
      </c>
    </row>
    <row r="34" spans="1:18" x14ac:dyDescent="0.15">
      <c r="E34" s="19">
        <v>29</v>
      </c>
      <c r="F34" s="19">
        <v>1.9363581082434393</v>
      </c>
      <c r="G34" s="19">
        <v>4.4696509020286612</v>
      </c>
      <c r="H34" s="19">
        <v>5.0832319844630547</v>
      </c>
      <c r="J34" s="19">
        <f t="shared" si="4"/>
        <v>1742.7222974190954</v>
      </c>
      <c r="K34" s="19">
        <f t="shared" si="5"/>
        <v>7374.923988347291</v>
      </c>
      <c r="L34" s="19">
        <f t="shared" si="6"/>
        <v>2287.4543930083746</v>
      </c>
      <c r="O34" s="19">
        <f t="shared" si="1"/>
        <v>91742.722297419095</v>
      </c>
      <c r="P34" s="19">
        <f t="shared" si="2"/>
        <v>172374.92398834729</v>
      </c>
      <c r="Q34" s="19">
        <f t="shared" si="3"/>
        <v>47287.454393008375</v>
      </c>
      <c r="R34" s="19">
        <f t="shared" si="7"/>
        <v>311405.10067877476</v>
      </c>
    </row>
    <row r="35" spans="1:18" x14ac:dyDescent="0.15">
      <c r="A35" s="19" t="s">
        <v>50</v>
      </c>
      <c r="B35" s="19"/>
      <c r="C35" s="19" t="s">
        <v>51</v>
      </c>
      <c r="D35" s="19"/>
      <c r="E35" s="19">
        <v>30</v>
      </c>
      <c r="F35" s="19">
        <v>2.158348257173202</v>
      </c>
      <c r="G35" s="19">
        <v>6.3195688097766833</v>
      </c>
      <c r="H35" s="19">
        <v>9.1530513815087033</v>
      </c>
      <c r="J35" s="19">
        <f t="shared" si="4"/>
        <v>1942.5134314558818</v>
      </c>
      <c r="K35" s="19">
        <f t="shared" si="5"/>
        <v>10427.288536131528</v>
      </c>
      <c r="L35" s="19">
        <f t="shared" si="6"/>
        <v>4118.8731216789165</v>
      </c>
      <c r="O35" s="19">
        <f t="shared" si="1"/>
        <v>91942.513431455882</v>
      </c>
      <c r="P35" s="19">
        <f t="shared" si="2"/>
        <v>175427.28853613153</v>
      </c>
      <c r="Q35" s="19">
        <f t="shared" si="3"/>
        <v>49118.873121678917</v>
      </c>
      <c r="R35" s="19">
        <f t="shared" si="7"/>
        <v>316488.67508926638</v>
      </c>
    </row>
    <row r="36" spans="1:18" x14ac:dyDescent="0.15">
      <c r="A36" s="19">
        <f>AVERAGE(R6:R105)</f>
        <v>313121.36567300407</v>
      </c>
      <c r="B36" s="63" t="str">
        <f ca="1">_xlfn.FORMULATEXT(A36)</f>
        <v>=AVERAGE(R6:R105)</v>
      </c>
      <c r="C36" s="19">
        <f>STDEV(R6:R105)</f>
        <v>7728.2862473687892</v>
      </c>
      <c r="D36" s="63" t="str">
        <f ca="1">_xlfn.FORMULATEXT(C36)</f>
        <v>=STDEV(R6:R105)</v>
      </c>
      <c r="E36" s="19">
        <v>31</v>
      </c>
      <c r="F36" s="19">
        <v>2.4028197508887388</v>
      </c>
      <c r="G36" s="19">
        <v>8.3568312574061565</v>
      </c>
      <c r="H36" s="19">
        <v>13.635028766293544</v>
      </c>
      <c r="J36" s="19">
        <f t="shared" si="4"/>
        <v>2162.5377757998649</v>
      </c>
      <c r="K36" s="19">
        <f t="shared" si="5"/>
        <v>13788.771574720158</v>
      </c>
      <c r="L36" s="19">
        <f t="shared" si="6"/>
        <v>6135.7629448320949</v>
      </c>
      <c r="O36" s="19">
        <f t="shared" si="1"/>
        <v>92162.537775799865</v>
      </c>
      <c r="P36" s="19">
        <f t="shared" si="2"/>
        <v>178788.77157472016</v>
      </c>
      <c r="Q36" s="19">
        <f t="shared" si="3"/>
        <v>51135.762944832095</v>
      </c>
      <c r="R36" s="19">
        <f t="shared" si="7"/>
        <v>322087.07229535212</v>
      </c>
    </row>
    <row r="37" spans="1:18" x14ac:dyDescent="0.15">
      <c r="A37" s="13" t="s">
        <v>52</v>
      </c>
      <c r="B37" s="13"/>
      <c r="E37" s="19">
        <v>32</v>
      </c>
      <c r="F37" s="19">
        <v>2.214017177313508</v>
      </c>
      <c r="G37" s="19">
        <v>6.7834764776125667</v>
      </c>
      <c r="H37" s="19">
        <v>10.173648250747647</v>
      </c>
      <c r="J37" s="19">
        <f t="shared" si="4"/>
        <v>1992.6154595821572</v>
      </c>
      <c r="K37" s="19">
        <f t="shared" si="5"/>
        <v>11192.736188060735</v>
      </c>
      <c r="L37" s="19">
        <f t="shared" si="6"/>
        <v>4578.141712836441</v>
      </c>
      <c r="O37" s="19">
        <f t="shared" si="1"/>
        <v>91992.615459582157</v>
      </c>
      <c r="P37" s="19">
        <f t="shared" si="2"/>
        <v>176192.73618806072</v>
      </c>
      <c r="Q37" s="19">
        <f t="shared" si="3"/>
        <v>49578.141712836441</v>
      </c>
      <c r="R37" s="19">
        <f t="shared" si="7"/>
        <v>317763.49336047936</v>
      </c>
    </row>
    <row r="38" spans="1:18" x14ac:dyDescent="0.15">
      <c r="A38" s="19">
        <f>A36-M2</f>
        <v>13121.365673004068</v>
      </c>
      <c r="B38" s="63" t="str">
        <f ca="1">_xlfn.FORMULATEXT(A38)</f>
        <v>=A36-M2</v>
      </c>
      <c r="E38" s="19">
        <v>33</v>
      </c>
      <c r="F38" s="19">
        <v>1.8092598616494797</v>
      </c>
      <c r="G38" s="19">
        <v>3.4104988470789976</v>
      </c>
      <c r="H38" s="19">
        <v>2.7530974635737948</v>
      </c>
      <c r="J38" s="19">
        <f t="shared" si="4"/>
        <v>1628.3338754845317</v>
      </c>
      <c r="K38" s="19">
        <f t="shared" si="5"/>
        <v>5627.3230976803461</v>
      </c>
      <c r="L38" s="19">
        <f t="shared" si="6"/>
        <v>1238.8938586082077</v>
      </c>
      <c r="O38" s="19">
        <f t="shared" ref="O38:O69" si="8">J$3+J38</f>
        <v>91628.333875484532</v>
      </c>
      <c r="P38" s="19">
        <f t="shared" ref="P38:P69" si="9">K$3+K38</f>
        <v>170627.32309768035</v>
      </c>
      <c r="Q38" s="19">
        <f t="shared" ref="Q38:Q69" si="10">L$3+L38</f>
        <v>46238.893858608208</v>
      </c>
      <c r="R38" s="19">
        <f t="shared" si="7"/>
        <v>308494.55083177309</v>
      </c>
    </row>
    <row r="39" spans="1:18" x14ac:dyDescent="0.15">
      <c r="A39" s="35">
        <f>A38/M2</f>
        <v>4.3737885576680222E-2</v>
      </c>
      <c r="B39" s="63" t="str">
        <f ca="1">_xlfn.FORMULATEXT(A39)</f>
        <v>=A38/M2</v>
      </c>
      <c r="E39" s="19">
        <v>34</v>
      </c>
      <c r="F39" s="19">
        <v>1.499014847970102</v>
      </c>
      <c r="G39" s="19">
        <v>0.82512373308418319</v>
      </c>
      <c r="H39" s="19">
        <v>-2.934727787214797</v>
      </c>
      <c r="J39" s="19">
        <f t="shared" si="4"/>
        <v>1349.1133631730918</v>
      </c>
      <c r="K39" s="19">
        <f t="shared" si="5"/>
        <v>1361.4541595889023</v>
      </c>
      <c r="L39" s="19">
        <f t="shared" si="6"/>
        <v>-1320.6275042466586</v>
      </c>
      <c r="O39" s="19">
        <f t="shared" si="8"/>
        <v>91349.113363173092</v>
      </c>
      <c r="P39" s="19">
        <f t="shared" si="9"/>
        <v>166361.4541595889</v>
      </c>
      <c r="Q39" s="19">
        <f t="shared" si="10"/>
        <v>43679.372495753341</v>
      </c>
      <c r="R39" s="19">
        <f t="shared" si="7"/>
        <v>301389.94001851534</v>
      </c>
    </row>
    <row r="40" spans="1:18" x14ac:dyDescent="0.15">
      <c r="A40" s="16"/>
      <c r="E40" s="19">
        <v>35</v>
      </c>
      <c r="F40" s="19">
        <v>2.1893936314445455</v>
      </c>
      <c r="G40" s="19">
        <v>6.5782802620378789</v>
      </c>
      <c r="H40" s="19">
        <v>9.7222165764833335</v>
      </c>
      <c r="J40" s="19">
        <f t="shared" si="4"/>
        <v>1970.4542683000909</v>
      </c>
      <c r="K40" s="19">
        <f t="shared" si="5"/>
        <v>10854.1624323625</v>
      </c>
      <c r="L40" s="19">
        <f t="shared" si="6"/>
        <v>4374.9974594175001</v>
      </c>
      <c r="O40" s="19">
        <f t="shared" si="8"/>
        <v>91970.454268300091</v>
      </c>
      <c r="P40" s="19">
        <f t="shared" si="9"/>
        <v>175854.1624323625</v>
      </c>
      <c r="Q40" s="19">
        <f t="shared" si="10"/>
        <v>49374.9974594175</v>
      </c>
      <c r="R40" s="19">
        <f t="shared" si="7"/>
        <v>317199.61416008009</v>
      </c>
    </row>
    <row r="41" spans="1:18" x14ac:dyDescent="0.15">
      <c r="A41" t="s">
        <v>53</v>
      </c>
      <c r="E41" s="19">
        <v>36</v>
      </c>
      <c r="F41" s="19">
        <v>1.866561779526819</v>
      </c>
      <c r="G41" s="19">
        <v>3.8880148293901584</v>
      </c>
      <c r="H41" s="19">
        <v>3.8036326246583485</v>
      </c>
      <c r="J41" s="19">
        <f t="shared" si="4"/>
        <v>1679.9056015741371</v>
      </c>
      <c r="K41" s="19">
        <f t="shared" si="5"/>
        <v>6415.2244684937623</v>
      </c>
      <c r="L41" s="19">
        <f t="shared" si="6"/>
        <v>1711.6346810962568</v>
      </c>
      <c r="O41" s="19">
        <f t="shared" si="8"/>
        <v>91679.905601574137</v>
      </c>
      <c r="P41" s="19">
        <f t="shared" si="9"/>
        <v>171415.22446849378</v>
      </c>
      <c r="Q41" s="19">
        <f t="shared" si="10"/>
        <v>46711.634681096257</v>
      </c>
      <c r="R41" s="19">
        <f t="shared" si="7"/>
        <v>309806.76475116418</v>
      </c>
    </row>
    <row r="42" spans="1:18" x14ac:dyDescent="0.15">
      <c r="A42" s="68" t="s">
        <v>38</v>
      </c>
      <c r="B42" s="69" t="s">
        <v>39</v>
      </c>
      <c r="C42" s="69" t="s">
        <v>40</v>
      </c>
      <c r="E42" s="19">
        <v>37</v>
      </c>
      <c r="F42" s="19">
        <v>2.101655132311862</v>
      </c>
      <c r="G42" s="19">
        <v>5.8471261025988497</v>
      </c>
      <c r="H42" s="19">
        <v>8.1136774257174693</v>
      </c>
      <c r="J42" s="19">
        <f t="shared" si="4"/>
        <v>1891.4896190806758</v>
      </c>
      <c r="K42" s="19">
        <f t="shared" si="5"/>
        <v>9647.758069288102</v>
      </c>
      <c r="L42" s="19">
        <f t="shared" si="6"/>
        <v>3651.1548415728612</v>
      </c>
      <c r="O42" s="19">
        <f t="shared" si="8"/>
        <v>91891.489619080676</v>
      </c>
      <c r="P42" s="19">
        <f t="shared" si="9"/>
        <v>174647.7580692881</v>
      </c>
      <c r="Q42" s="19">
        <f t="shared" si="10"/>
        <v>48651.154841572861</v>
      </c>
      <c r="R42" s="19">
        <f t="shared" si="7"/>
        <v>315190.40252994164</v>
      </c>
    </row>
    <row r="43" spans="1:18" x14ac:dyDescent="0.15">
      <c r="A43" s="70">
        <v>0.45</v>
      </c>
      <c r="B43" s="71">
        <v>0.35</v>
      </c>
      <c r="C43" s="71">
        <v>0.2</v>
      </c>
      <c r="E43" s="19">
        <v>38</v>
      </c>
      <c r="F43" s="19">
        <v>2.2084404968627496</v>
      </c>
      <c r="G43" s="19">
        <v>6.7370041405229131</v>
      </c>
      <c r="H43" s="19">
        <v>10.071409109150409</v>
      </c>
      <c r="J43" s="19">
        <f t="shared" si="4"/>
        <v>1987.5964471764746</v>
      </c>
      <c r="K43" s="19">
        <f t="shared" si="5"/>
        <v>11116.056831862805</v>
      </c>
      <c r="L43" s="19">
        <f t="shared" si="6"/>
        <v>4532.1340991176839</v>
      </c>
      <c r="O43" s="19">
        <f t="shared" si="8"/>
        <v>91987.596447176475</v>
      </c>
      <c r="P43" s="19">
        <f t="shared" si="9"/>
        <v>176116.05683186281</v>
      </c>
      <c r="Q43" s="19">
        <f t="shared" si="10"/>
        <v>49532.134099117684</v>
      </c>
      <c r="R43" s="19">
        <f t="shared" si="7"/>
        <v>317635.78737815702</v>
      </c>
    </row>
    <row r="44" spans="1:18" x14ac:dyDescent="0.15">
      <c r="A44" s="86" t="s">
        <v>54</v>
      </c>
      <c r="B44" s="23" t="s">
        <v>50</v>
      </c>
      <c r="C44" s="23" t="s">
        <v>51</v>
      </c>
      <c r="E44" s="19">
        <v>39</v>
      </c>
      <c r="F44" s="19">
        <v>2.7101480150595307</v>
      </c>
      <c r="G44" s="19">
        <v>10.917900125496089</v>
      </c>
      <c r="H44" s="19">
        <v>19.269380276091397</v>
      </c>
      <c r="J44" s="19">
        <f t="shared" si="4"/>
        <v>2439.1332135535777</v>
      </c>
      <c r="K44" s="19">
        <f t="shared" si="5"/>
        <v>18014.535207068548</v>
      </c>
      <c r="L44" s="19">
        <f t="shared" si="6"/>
        <v>8671.2211242411286</v>
      </c>
      <c r="O44" s="19">
        <f t="shared" si="8"/>
        <v>92439.133213553578</v>
      </c>
      <c r="P44" s="19">
        <f t="shared" si="9"/>
        <v>183014.53520706855</v>
      </c>
      <c r="Q44" s="19">
        <f t="shared" si="10"/>
        <v>53671.221124241129</v>
      </c>
      <c r="R44" s="19">
        <f t="shared" si="7"/>
        <v>329124.88954486325</v>
      </c>
    </row>
    <row r="45" spans="1:18" x14ac:dyDescent="0.15">
      <c r="A45" s="86"/>
      <c r="B45" s="23">
        <v>311938.51815285516</v>
      </c>
      <c r="C45" s="23">
        <v>7120.8226995406721</v>
      </c>
      <c r="E45" s="19">
        <v>40</v>
      </c>
      <c r="F45" s="19">
        <v>1.8967323335818946</v>
      </c>
      <c r="G45" s="19">
        <v>4.1394361131824553</v>
      </c>
      <c r="H45" s="19">
        <v>4.3567594490014017</v>
      </c>
      <c r="J45" s="19">
        <f t="shared" si="4"/>
        <v>1707.0591002237052</v>
      </c>
      <c r="K45" s="19">
        <f t="shared" si="5"/>
        <v>6830.0695867510512</v>
      </c>
      <c r="L45" s="19">
        <f t="shared" si="6"/>
        <v>1960.5417520506307</v>
      </c>
      <c r="O45" s="19">
        <f t="shared" si="8"/>
        <v>91707.059100223705</v>
      </c>
      <c r="P45" s="19">
        <f t="shared" si="9"/>
        <v>171830.06958675105</v>
      </c>
      <c r="Q45" s="19">
        <f t="shared" si="10"/>
        <v>46960.541752050631</v>
      </c>
      <c r="R45" s="19">
        <f t="shared" si="7"/>
        <v>310497.67043902539</v>
      </c>
    </row>
    <row r="46" spans="1:18" x14ac:dyDescent="0.15">
      <c r="A46" s="86"/>
      <c r="B46" s="23">
        <v>11938.518152855162</v>
      </c>
      <c r="C46" s="23"/>
      <c r="E46" s="19">
        <v>41</v>
      </c>
      <c r="F46" s="19">
        <v>1.7948486907262122</v>
      </c>
      <c r="G46" s="19">
        <v>3.2904057560517685</v>
      </c>
      <c r="H46" s="19">
        <v>2.4888926633138908</v>
      </c>
      <c r="J46" s="19">
        <f t="shared" si="4"/>
        <v>1615.363821653591</v>
      </c>
      <c r="K46" s="19">
        <f t="shared" si="5"/>
        <v>5429.1694974854181</v>
      </c>
      <c r="L46" s="19">
        <f t="shared" si="6"/>
        <v>1120.0016984912509</v>
      </c>
      <c r="O46" s="19">
        <f t="shared" si="8"/>
        <v>91615.363821653591</v>
      </c>
      <c r="P46" s="19">
        <f t="shared" si="9"/>
        <v>170429.16949748542</v>
      </c>
      <c r="Q46" s="19">
        <f t="shared" si="10"/>
        <v>46120.001698491251</v>
      </c>
      <c r="R46" s="19">
        <f t="shared" si="7"/>
        <v>308164.53501763026</v>
      </c>
    </row>
    <row r="47" spans="1:18" x14ac:dyDescent="0.15">
      <c r="A47" s="86"/>
      <c r="B47" s="23"/>
      <c r="C47" s="23"/>
      <c r="E47" s="19">
        <v>42</v>
      </c>
      <c r="F47" s="19">
        <v>2.6328555173240602</v>
      </c>
      <c r="G47" s="19">
        <v>10.273795977700502</v>
      </c>
      <c r="H47" s="19">
        <v>17.852351150941104</v>
      </c>
      <c r="J47" s="19">
        <f t="shared" si="4"/>
        <v>2369.5699655916542</v>
      </c>
      <c r="K47" s="19">
        <f t="shared" si="5"/>
        <v>16951.763363205828</v>
      </c>
      <c r="L47" s="19">
        <f t="shared" si="6"/>
        <v>8033.5580179234967</v>
      </c>
      <c r="O47" s="19">
        <f t="shared" si="8"/>
        <v>92369.569965591654</v>
      </c>
      <c r="P47" s="19">
        <f t="shared" si="9"/>
        <v>181951.76336320583</v>
      </c>
      <c r="Q47" s="19">
        <f t="shared" si="10"/>
        <v>53033.558017923497</v>
      </c>
      <c r="R47" s="19">
        <f t="shared" si="7"/>
        <v>327354.89134672098</v>
      </c>
    </row>
    <row r="48" spans="1:18" x14ac:dyDescent="0.15">
      <c r="A48" s="86"/>
      <c r="B48" s="23">
        <v>3.9795060509517206E-2</v>
      </c>
      <c r="C48" s="23"/>
      <c r="E48" s="19">
        <v>43</v>
      </c>
      <c r="F48" s="19">
        <v>2.1772286850609817</v>
      </c>
      <c r="G48" s="19">
        <v>6.4769057088415138</v>
      </c>
      <c r="H48" s="19">
        <v>9.4991925594513305</v>
      </c>
      <c r="J48" s="19">
        <f t="shared" si="4"/>
        <v>1959.5058165548835</v>
      </c>
      <c r="K48" s="19">
        <f t="shared" si="5"/>
        <v>10686.894419588498</v>
      </c>
      <c r="L48" s="19">
        <f t="shared" si="6"/>
        <v>4274.6366517530987</v>
      </c>
      <c r="O48" s="19">
        <f t="shared" si="8"/>
        <v>91959.505816554883</v>
      </c>
      <c r="P48" s="19">
        <f t="shared" si="9"/>
        <v>175686.8944195885</v>
      </c>
      <c r="Q48" s="19">
        <f t="shared" si="10"/>
        <v>49274.636651753099</v>
      </c>
      <c r="R48" s="19">
        <f t="shared" si="7"/>
        <v>316921.03688789648</v>
      </c>
    </row>
    <row r="49" spans="1:18" x14ac:dyDescent="0.15">
      <c r="E49" s="19">
        <v>44</v>
      </c>
      <c r="F49" s="19">
        <v>2.2055264758382691</v>
      </c>
      <c r="G49" s="19">
        <v>6.7127206319855759</v>
      </c>
      <c r="H49" s="19">
        <v>10.017985390368267</v>
      </c>
      <c r="J49" s="19">
        <f t="shared" si="4"/>
        <v>1984.9738282544422</v>
      </c>
      <c r="K49" s="19">
        <f t="shared" si="5"/>
        <v>11075.989042776198</v>
      </c>
      <c r="L49" s="19">
        <f t="shared" si="6"/>
        <v>4508.0934256657201</v>
      </c>
      <c r="O49" s="19">
        <f t="shared" si="8"/>
        <v>91984.973828254442</v>
      </c>
      <c r="P49" s="19">
        <f t="shared" si="9"/>
        <v>176075.9890427762</v>
      </c>
      <c r="Q49" s="19">
        <f t="shared" si="10"/>
        <v>49508.09342566572</v>
      </c>
      <c r="R49" s="19">
        <f t="shared" si="7"/>
        <v>317569.05629669642</v>
      </c>
    </row>
    <row r="50" spans="1:18" x14ac:dyDescent="0.15">
      <c r="E50" s="19">
        <v>45</v>
      </c>
      <c r="F50" s="19">
        <v>2.1168268681794871</v>
      </c>
      <c r="G50" s="19">
        <v>5.9735572348290589</v>
      </c>
      <c r="H50" s="19">
        <v>8.3918259166239295</v>
      </c>
      <c r="J50" s="19">
        <f t="shared" si="4"/>
        <v>1905.1441813615384</v>
      </c>
      <c r="K50" s="19">
        <f t="shared" si="5"/>
        <v>9856.3694374679471</v>
      </c>
      <c r="L50" s="19">
        <f t="shared" si="6"/>
        <v>3776.3216624807683</v>
      </c>
      <c r="O50" s="19">
        <f t="shared" si="8"/>
        <v>91905.144181361538</v>
      </c>
      <c r="P50" s="19">
        <f t="shared" si="9"/>
        <v>174856.36943746795</v>
      </c>
      <c r="Q50" s="19">
        <f t="shared" si="10"/>
        <v>48776.321662480768</v>
      </c>
      <c r="R50" s="19">
        <f t="shared" si="7"/>
        <v>315537.83528131025</v>
      </c>
    </row>
    <row r="51" spans="1:18" x14ac:dyDescent="0.15">
      <c r="A51" s="86" t="s">
        <v>37</v>
      </c>
      <c r="B51" s="23" t="s">
        <v>50</v>
      </c>
      <c r="C51" s="23" t="s">
        <v>51</v>
      </c>
      <c r="E51" s="19">
        <v>46</v>
      </c>
      <c r="F51" s="19">
        <v>1.5631778801907785</v>
      </c>
      <c r="G51" s="19">
        <v>1.3598156682564877</v>
      </c>
      <c r="H51" s="19">
        <v>-1.7584055298357271</v>
      </c>
      <c r="J51" s="19">
        <f t="shared" si="4"/>
        <v>1406.8600921717007</v>
      </c>
      <c r="K51" s="19">
        <f t="shared" si="5"/>
        <v>2243.6958526232047</v>
      </c>
      <c r="L51" s="19">
        <f t="shared" si="6"/>
        <v>-791.28248842607718</v>
      </c>
      <c r="O51" s="19">
        <f t="shared" si="8"/>
        <v>91406.860092171701</v>
      </c>
      <c r="P51" s="19">
        <f t="shared" si="9"/>
        <v>167243.6958526232</v>
      </c>
      <c r="Q51" s="19">
        <f t="shared" si="10"/>
        <v>44208.717511573923</v>
      </c>
      <c r="R51" s="19">
        <f t="shared" si="7"/>
        <v>302859.27345636883</v>
      </c>
    </row>
    <row r="52" spans="1:18" x14ac:dyDescent="0.15">
      <c r="A52" s="86"/>
      <c r="B52" s="23">
        <v>313121.36567300407</v>
      </c>
      <c r="C52" s="23">
        <v>7728.2862473687892</v>
      </c>
      <c r="E52" s="19">
        <v>47</v>
      </c>
      <c r="F52" s="19">
        <v>2.1008556864690036</v>
      </c>
      <c r="G52" s="19">
        <v>5.840464053908363</v>
      </c>
      <c r="H52" s="19">
        <v>8.0990209185983986</v>
      </c>
      <c r="J52" s="19">
        <f t="shared" si="4"/>
        <v>1890.7701178221032</v>
      </c>
      <c r="K52" s="19">
        <f t="shared" si="5"/>
        <v>9636.7656889487989</v>
      </c>
      <c r="L52" s="19">
        <f t="shared" si="6"/>
        <v>3644.5594133692794</v>
      </c>
      <c r="O52" s="19">
        <f t="shared" si="8"/>
        <v>91890.770117822103</v>
      </c>
      <c r="P52" s="19">
        <f t="shared" si="9"/>
        <v>174636.7656889488</v>
      </c>
      <c r="Q52" s="19">
        <f t="shared" si="10"/>
        <v>48644.559413369279</v>
      </c>
      <c r="R52" s="19">
        <f t="shared" si="7"/>
        <v>315172.09522014018</v>
      </c>
    </row>
    <row r="53" spans="1:18" x14ac:dyDescent="0.15">
      <c r="A53" s="86"/>
      <c r="B53" s="23">
        <v>13121.365673004068</v>
      </c>
      <c r="C53" s="23"/>
      <c r="E53" s="19">
        <v>48</v>
      </c>
      <c r="F53" s="19">
        <v>2.3596551323425956</v>
      </c>
      <c r="G53" s="19">
        <v>7.9971261028549634</v>
      </c>
      <c r="H53" s="19">
        <v>12.843677426280919</v>
      </c>
      <c r="J53" s="19">
        <f t="shared" si="4"/>
        <v>2123.689619108336</v>
      </c>
      <c r="K53" s="19">
        <f t="shared" si="5"/>
        <v>13195.25806971069</v>
      </c>
      <c r="L53" s="19">
        <f t="shared" si="6"/>
        <v>5779.6548418264138</v>
      </c>
      <c r="O53" s="19">
        <f t="shared" si="8"/>
        <v>92123.689619108336</v>
      </c>
      <c r="P53" s="19">
        <f t="shared" si="9"/>
        <v>178195.25806971069</v>
      </c>
      <c r="Q53" s="19">
        <f t="shared" si="10"/>
        <v>50779.654841826414</v>
      </c>
      <c r="R53" s="19">
        <f t="shared" si="7"/>
        <v>321098.60253064544</v>
      </c>
    </row>
    <row r="54" spans="1:18" x14ac:dyDescent="0.15">
      <c r="A54" s="86"/>
      <c r="B54" s="23"/>
      <c r="C54" s="23"/>
      <c r="E54" s="19">
        <v>49</v>
      </c>
      <c r="F54" s="19">
        <v>1.8186090124363545</v>
      </c>
      <c r="G54" s="19">
        <v>3.4884084369696211</v>
      </c>
      <c r="H54" s="19">
        <v>2.9244985613331664</v>
      </c>
      <c r="J54" s="19">
        <f t="shared" si="4"/>
        <v>1636.7481111927191</v>
      </c>
      <c r="K54" s="19">
        <f t="shared" si="5"/>
        <v>5755.8739209998748</v>
      </c>
      <c r="L54" s="19">
        <f t="shared" si="6"/>
        <v>1316.0243525999249</v>
      </c>
      <c r="O54" s="19">
        <f t="shared" si="8"/>
        <v>91636.748111192719</v>
      </c>
      <c r="P54" s="19">
        <f t="shared" si="9"/>
        <v>170755.87392099987</v>
      </c>
      <c r="Q54" s="19">
        <f t="shared" si="10"/>
        <v>46316.024352599925</v>
      </c>
      <c r="R54" s="19">
        <f t="shared" si="7"/>
        <v>308708.64638479252</v>
      </c>
    </row>
    <row r="55" spans="1:18" x14ac:dyDescent="0.15">
      <c r="A55" s="86"/>
      <c r="B55" s="23">
        <v>4.3737885576680222E-2</v>
      </c>
      <c r="C55" s="23"/>
      <c r="E55" s="19">
        <v>50</v>
      </c>
      <c r="F55" s="19">
        <v>1.9519779976253631</v>
      </c>
      <c r="G55" s="19">
        <v>4.5998166468780255</v>
      </c>
      <c r="H55" s="19">
        <v>5.3695966231316561</v>
      </c>
      <c r="J55" s="19">
        <f t="shared" si="4"/>
        <v>1756.7801978628268</v>
      </c>
      <c r="K55" s="19">
        <f t="shared" si="5"/>
        <v>7589.6974673487421</v>
      </c>
      <c r="L55" s="19">
        <f t="shared" si="6"/>
        <v>2416.3184804092452</v>
      </c>
      <c r="O55" s="19">
        <f t="shared" si="8"/>
        <v>91756.780197862827</v>
      </c>
      <c r="P55" s="19">
        <f t="shared" si="9"/>
        <v>172589.69746734874</v>
      </c>
      <c r="Q55" s="19">
        <f t="shared" si="10"/>
        <v>47416.318480409245</v>
      </c>
      <c r="R55" s="19">
        <f t="shared" si="7"/>
        <v>311762.79614562076</v>
      </c>
    </row>
    <row r="56" spans="1:18" x14ac:dyDescent="0.15">
      <c r="E56" s="19">
        <v>51</v>
      </c>
      <c r="F56" s="19">
        <v>2.2182057414756855</v>
      </c>
      <c r="G56" s="19">
        <v>6.8183811789640458</v>
      </c>
      <c r="H56" s="19">
        <v>10.250438593720901</v>
      </c>
      <c r="J56" s="19">
        <f t="shared" si="4"/>
        <v>1996.3851673281169</v>
      </c>
      <c r="K56" s="19">
        <f t="shared" si="5"/>
        <v>11250.328945290674</v>
      </c>
      <c r="L56" s="19">
        <f t="shared" si="6"/>
        <v>4612.6973671744054</v>
      </c>
      <c r="O56" s="19">
        <f t="shared" si="8"/>
        <v>91996.385167328117</v>
      </c>
      <c r="P56" s="19">
        <f t="shared" si="9"/>
        <v>176250.32894529068</v>
      </c>
      <c r="Q56" s="19">
        <f t="shared" si="10"/>
        <v>49612.697367174405</v>
      </c>
      <c r="R56" s="19">
        <f t="shared" si="7"/>
        <v>317859.41147979326</v>
      </c>
    </row>
    <row r="57" spans="1:18" x14ac:dyDescent="0.15">
      <c r="E57" s="19">
        <v>52</v>
      </c>
      <c r="F57" s="19">
        <v>1.98324574335129</v>
      </c>
      <c r="G57" s="19">
        <v>4.8603811945940834</v>
      </c>
      <c r="H57" s="19">
        <v>5.9428386281069834</v>
      </c>
      <c r="J57" s="19">
        <f t="shared" si="4"/>
        <v>1784.921169016161</v>
      </c>
      <c r="K57" s="19">
        <f t="shared" si="5"/>
        <v>8019.6289710802375</v>
      </c>
      <c r="L57" s="19">
        <f t="shared" si="6"/>
        <v>2674.2773826481425</v>
      </c>
      <c r="O57" s="19">
        <f t="shared" si="8"/>
        <v>91784.921169016161</v>
      </c>
      <c r="P57" s="19">
        <f t="shared" si="9"/>
        <v>173019.62897108024</v>
      </c>
      <c r="Q57" s="19">
        <f t="shared" si="10"/>
        <v>47674.277382648143</v>
      </c>
      <c r="R57" s="19">
        <f t="shared" si="7"/>
        <v>312478.82752274454</v>
      </c>
    </row>
    <row r="58" spans="1:18" x14ac:dyDescent="0.15">
      <c r="E58" s="19">
        <v>53</v>
      </c>
      <c r="F58" s="19">
        <v>1.785955878905952</v>
      </c>
      <c r="G58" s="19">
        <v>3.2162989908829331</v>
      </c>
      <c r="H58" s="19">
        <v>2.3258577799424529</v>
      </c>
      <c r="J58" s="19">
        <f t="shared" si="4"/>
        <v>1607.3602910153568</v>
      </c>
      <c r="K58" s="19">
        <f t="shared" si="5"/>
        <v>5306.8933349568397</v>
      </c>
      <c r="L58" s="19">
        <f t="shared" si="6"/>
        <v>1046.6360009741038</v>
      </c>
      <c r="O58" s="19">
        <f t="shared" si="8"/>
        <v>91607.360291015357</v>
      </c>
      <c r="P58" s="19">
        <f t="shared" si="9"/>
        <v>170306.89333495684</v>
      </c>
      <c r="Q58" s="19">
        <f t="shared" si="10"/>
        <v>46046.636000974104</v>
      </c>
      <c r="R58" s="19">
        <f t="shared" si="7"/>
        <v>307960.8896269463</v>
      </c>
    </row>
    <row r="59" spans="1:18" x14ac:dyDescent="0.15">
      <c r="E59" s="19">
        <v>54</v>
      </c>
      <c r="F59" s="19">
        <v>1.8205881865942501</v>
      </c>
      <c r="G59" s="19">
        <v>3.5049015549520846</v>
      </c>
      <c r="H59" s="19">
        <v>2.960783420894586</v>
      </c>
      <c r="J59" s="19">
        <f t="shared" si="4"/>
        <v>1638.5293679348251</v>
      </c>
      <c r="K59" s="19">
        <f t="shared" si="5"/>
        <v>5783.0875656709404</v>
      </c>
      <c r="L59" s="19">
        <f t="shared" si="6"/>
        <v>1332.3525394025637</v>
      </c>
      <c r="O59" s="19">
        <f t="shared" si="8"/>
        <v>91638.529367934825</v>
      </c>
      <c r="P59" s="19">
        <f t="shared" si="9"/>
        <v>170783.08756567095</v>
      </c>
      <c r="Q59" s="19">
        <f t="shared" si="10"/>
        <v>46332.352539402564</v>
      </c>
      <c r="R59" s="19">
        <f t="shared" si="7"/>
        <v>308753.9694730083</v>
      </c>
    </row>
    <row r="60" spans="1:18" x14ac:dyDescent="0.15">
      <c r="E60" s="19">
        <v>55</v>
      </c>
      <c r="F60" s="19">
        <v>1.8918729033903219</v>
      </c>
      <c r="G60" s="19">
        <v>4.0989408615860157</v>
      </c>
      <c r="H60" s="19">
        <v>4.2676698954892345</v>
      </c>
      <c r="J60" s="19">
        <f t="shared" si="4"/>
        <v>1702.6856130512897</v>
      </c>
      <c r="K60" s="19">
        <f t="shared" si="5"/>
        <v>6763.2524216169259</v>
      </c>
      <c r="L60" s="19">
        <f t="shared" si="6"/>
        <v>1920.4514529701555</v>
      </c>
      <c r="O60" s="19">
        <f t="shared" si="8"/>
        <v>91702.68561305129</v>
      </c>
      <c r="P60" s="19">
        <f t="shared" si="9"/>
        <v>171763.25242161693</v>
      </c>
      <c r="Q60" s="19">
        <f t="shared" si="10"/>
        <v>46920.451452970156</v>
      </c>
      <c r="R60" s="19">
        <f t="shared" si="7"/>
        <v>310386.38948763837</v>
      </c>
    </row>
    <row r="61" spans="1:18" x14ac:dyDescent="0.15">
      <c r="E61" s="19">
        <v>56</v>
      </c>
      <c r="F61" s="19">
        <v>1.7095821981929475</v>
      </c>
      <c r="G61" s="19">
        <v>2.5798516516078962</v>
      </c>
      <c r="H61" s="19">
        <v>0.92567363353737164</v>
      </c>
      <c r="J61" s="19">
        <f t="shared" si="4"/>
        <v>1538.6239783736528</v>
      </c>
      <c r="K61" s="19">
        <f t="shared" si="5"/>
        <v>4256.7552251530287</v>
      </c>
      <c r="L61" s="19">
        <f t="shared" si="6"/>
        <v>416.55313509181724</v>
      </c>
      <c r="O61" s="19">
        <f t="shared" si="8"/>
        <v>91538.623978373653</v>
      </c>
      <c r="P61" s="19">
        <f t="shared" si="9"/>
        <v>169256.75522515303</v>
      </c>
      <c r="Q61" s="19">
        <f t="shared" si="10"/>
        <v>45416.553135091817</v>
      </c>
      <c r="R61" s="19">
        <f t="shared" si="7"/>
        <v>306211.9323386185</v>
      </c>
    </row>
    <row r="62" spans="1:18" x14ac:dyDescent="0.15">
      <c r="E62" s="19">
        <v>57</v>
      </c>
      <c r="F62" s="19">
        <v>1.9898592477620696</v>
      </c>
      <c r="G62" s="19">
        <v>4.9154937313505798</v>
      </c>
      <c r="H62" s="19">
        <v>6.0640862089712755</v>
      </c>
      <c r="J62" s="19">
        <f t="shared" si="4"/>
        <v>1790.8733229858626</v>
      </c>
      <c r="K62" s="19">
        <f t="shared" si="5"/>
        <v>8110.5646567284575</v>
      </c>
      <c r="L62" s="19">
        <f t="shared" si="6"/>
        <v>2728.838794037074</v>
      </c>
      <c r="O62" s="19">
        <f t="shared" si="8"/>
        <v>91790.873322985863</v>
      </c>
      <c r="P62" s="19">
        <f t="shared" si="9"/>
        <v>173110.56465672847</v>
      </c>
      <c r="Q62" s="19">
        <f t="shared" si="10"/>
        <v>47728.838794037074</v>
      </c>
      <c r="R62" s="19">
        <f t="shared" si="7"/>
        <v>312630.27677375142</v>
      </c>
    </row>
    <row r="63" spans="1:18" x14ac:dyDescent="0.15">
      <c r="E63" s="19">
        <v>58</v>
      </c>
      <c r="F63" s="19">
        <v>2.3804925654549152</v>
      </c>
      <c r="G63" s="19">
        <v>8.1707713787909597</v>
      </c>
      <c r="H63" s="19">
        <v>13.225697033340111</v>
      </c>
      <c r="J63" s="19">
        <f t="shared" si="4"/>
        <v>2142.4433089094236</v>
      </c>
      <c r="K63" s="19">
        <f t="shared" si="5"/>
        <v>13481.772775005084</v>
      </c>
      <c r="L63" s="19">
        <f t="shared" si="6"/>
        <v>5951.5636650030501</v>
      </c>
      <c r="O63" s="19">
        <f t="shared" si="8"/>
        <v>92142.443308909424</v>
      </c>
      <c r="P63" s="19">
        <f t="shared" si="9"/>
        <v>178481.77277500508</v>
      </c>
      <c r="Q63" s="19">
        <f t="shared" si="10"/>
        <v>50951.56366500305</v>
      </c>
      <c r="R63" s="19">
        <f t="shared" si="7"/>
        <v>321575.77974891756</v>
      </c>
    </row>
    <row r="64" spans="1:18" x14ac:dyDescent="0.15">
      <c r="E64" s="19">
        <v>59</v>
      </c>
      <c r="F64" s="19">
        <v>2.4007679308415391</v>
      </c>
      <c r="G64" s="19">
        <v>8.3397327570128255</v>
      </c>
      <c r="H64" s="19">
        <v>13.597412065428216</v>
      </c>
      <c r="J64" s="19">
        <f t="shared" si="4"/>
        <v>2160.6911377573851</v>
      </c>
      <c r="K64" s="19">
        <f t="shared" si="5"/>
        <v>13760.559049071162</v>
      </c>
      <c r="L64" s="19">
        <f t="shared" si="6"/>
        <v>6118.8354294426972</v>
      </c>
      <c r="O64" s="19">
        <f t="shared" si="8"/>
        <v>92160.691137757385</v>
      </c>
      <c r="P64" s="19">
        <f t="shared" si="9"/>
        <v>178760.55904907116</v>
      </c>
      <c r="Q64" s="19">
        <f t="shared" si="10"/>
        <v>51118.835429442697</v>
      </c>
      <c r="R64" s="19">
        <f t="shared" si="7"/>
        <v>322040.08561627124</v>
      </c>
    </row>
    <row r="65" spans="5:18" x14ac:dyDescent="0.15">
      <c r="E65" s="19">
        <v>60</v>
      </c>
      <c r="F65" s="19">
        <v>1.5349844539305195</v>
      </c>
      <c r="G65" s="19">
        <v>1.124870449420996</v>
      </c>
      <c r="H65" s="19">
        <v>-2.2752850112738088</v>
      </c>
      <c r="J65" s="19">
        <f t="shared" si="4"/>
        <v>1381.4860085374676</v>
      </c>
      <c r="K65" s="19">
        <f t="shared" si="5"/>
        <v>1856.0362415446434</v>
      </c>
      <c r="L65" s="19">
        <f t="shared" si="6"/>
        <v>-1023.8782550732139</v>
      </c>
      <c r="O65" s="19">
        <f t="shared" si="8"/>
        <v>91381.486008537468</v>
      </c>
      <c r="P65" s="19">
        <f t="shared" si="9"/>
        <v>166856.03624154464</v>
      </c>
      <c r="Q65" s="19">
        <f t="shared" si="10"/>
        <v>43976.121744926786</v>
      </c>
      <c r="R65" s="19">
        <f t="shared" si="7"/>
        <v>302213.6439950089</v>
      </c>
    </row>
    <row r="66" spans="5:18" x14ac:dyDescent="0.15">
      <c r="E66" s="19">
        <v>61</v>
      </c>
      <c r="F66" s="19">
        <v>2.3925592864106875</v>
      </c>
      <c r="G66" s="19">
        <v>8.2713273867557291</v>
      </c>
      <c r="H66" s="19">
        <v>13.446920250862604</v>
      </c>
      <c r="J66" s="19">
        <f t="shared" si="4"/>
        <v>2153.3033577696187</v>
      </c>
      <c r="K66" s="19">
        <f t="shared" si="5"/>
        <v>13647.690188146953</v>
      </c>
      <c r="L66" s="19">
        <f t="shared" si="6"/>
        <v>6051.1141128881718</v>
      </c>
      <c r="O66" s="19">
        <f t="shared" si="8"/>
        <v>92153.303357769619</v>
      </c>
      <c r="P66" s="19">
        <f t="shared" si="9"/>
        <v>178647.69018814695</v>
      </c>
      <c r="Q66" s="19">
        <f t="shared" si="10"/>
        <v>51051.114112888172</v>
      </c>
      <c r="R66" s="19">
        <f t="shared" si="7"/>
        <v>321852.10765880474</v>
      </c>
    </row>
    <row r="67" spans="5:18" x14ac:dyDescent="0.15">
      <c r="E67" s="19">
        <v>62</v>
      </c>
      <c r="F67" s="19">
        <v>2.0034010554372799</v>
      </c>
      <c r="G67" s="19">
        <v>5.0283421286439989</v>
      </c>
      <c r="H67" s="19">
        <v>6.3123526830167975</v>
      </c>
      <c r="J67" s="19">
        <f t="shared" si="4"/>
        <v>1803.0609498935519</v>
      </c>
      <c r="K67" s="19">
        <f t="shared" si="5"/>
        <v>8296.7645122625981</v>
      </c>
      <c r="L67" s="19">
        <f t="shared" si="6"/>
        <v>2840.5587073575589</v>
      </c>
      <c r="O67" s="19">
        <f t="shared" si="8"/>
        <v>91803.060949893552</v>
      </c>
      <c r="P67" s="19">
        <f t="shared" si="9"/>
        <v>173296.7645122626</v>
      </c>
      <c r="Q67" s="19">
        <f t="shared" si="10"/>
        <v>47840.558707357559</v>
      </c>
      <c r="R67" s="19">
        <f t="shared" si="7"/>
        <v>312940.38416951371</v>
      </c>
    </row>
    <row r="68" spans="5:18" x14ac:dyDescent="0.15">
      <c r="E68" s="19">
        <v>63</v>
      </c>
      <c r="F68" s="19">
        <v>2.0122546452985262</v>
      </c>
      <c r="G68" s="19">
        <v>5.1021220441543846</v>
      </c>
      <c r="H68" s="19">
        <v>6.4746684971396462</v>
      </c>
      <c r="J68" s="19">
        <f t="shared" si="4"/>
        <v>1811.0291807686735</v>
      </c>
      <c r="K68" s="19">
        <f t="shared" si="5"/>
        <v>8418.5013728547347</v>
      </c>
      <c r="L68" s="19">
        <f t="shared" si="6"/>
        <v>2913.6008237128408</v>
      </c>
      <c r="O68" s="19">
        <f t="shared" si="8"/>
        <v>91811.029180768674</v>
      </c>
      <c r="P68" s="19">
        <f t="shared" si="9"/>
        <v>173418.50137285475</v>
      </c>
      <c r="Q68" s="19">
        <f t="shared" si="10"/>
        <v>47913.600823712841</v>
      </c>
      <c r="R68" s="19">
        <f t="shared" si="7"/>
        <v>313143.13137733628</v>
      </c>
    </row>
    <row r="69" spans="5:18" x14ac:dyDescent="0.15">
      <c r="E69" s="19">
        <v>64</v>
      </c>
      <c r="F69" s="19">
        <v>1.8588787093467545</v>
      </c>
      <c r="G69" s="19">
        <v>3.8239892445562873</v>
      </c>
      <c r="H69" s="19">
        <v>3.6627763380238321</v>
      </c>
      <c r="J69" s="19">
        <f t="shared" si="4"/>
        <v>1672.990838412079</v>
      </c>
      <c r="K69" s="19">
        <f t="shared" si="5"/>
        <v>6309.5822535178741</v>
      </c>
      <c r="L69" s="19">
        <f t="shared" si="6"/>
        <v>1648.2493521107244</v>
      </c>
      <c r="O69" s="19">
        <f t="shared" si="8"/>
        <v>91672.990838412079</v>
      </c>
      <c r="P69" s="19">
        <f t="shared" si="9"/>
        <v>171309.58225351787</v>
      </c>
      <c r="Q69" s="19">
        <f t="shared" si="10"/>
        <v>46648.249352110724</v>
      </c>
      <c r="R69" s="19">
        <f t="shared" si="7"/>
        <v>309630.82244404068</v>
      </c>
    </row>
    <row r="70" spans="5:18" x14ac:dyDescent="0.15">
      <c r="E70" s="19">
        <v>65</v>
      </c>
      <c r="F70" s="19">
        <v>2.6646914698649198</v>
      </c>
      <c r="G70" s="19">
        <v>10.539095582207665</v>
      </c>
      <c r="H70" s="19">
        <v>18.436010280856863</v>
      </c>
      <c r="J70" s="19">
        <f t="shared" si="4"/>
        <v>2398.2223228784278</v>
      </c>
      <c r="K70" s="19">
        <f t="shared" si="5"/>
        <v>17389.507710642647</v>
      </c>
      <c r="L70" s="19">
        <f t="shared" si="6"/>
        <v>8296.2046263855882</v>
      </c>
      <c r="O70" s="19">
        <f t="shared" ref="O70:O105" si="11">J$3+J70</f>
        <v>92398.222322878428</v>
      </c>
      <c r="P70" s="19">
        <f t="shared" ref="P70:P105" si="12">K$3+K70</f>
        <v>182389.50771064265</v>
      </c>
      <c r="Q70" s="19">
        <f t="shared" ref="Q70:Q105" si="13">L$3+L70</f>
        <v>53296.204626385588</v>
      </c>
      <c r="R70" s="19">
        <f t="shared" si="7"/>
        <v>328083.93465990666</v>
      </c>
    </row>
    <row r="71" spans="5:18" x14ac:dyDescent="0.15">
      <c r="E71" s="19">
        <v>66</v>
      </c>
      <c r="F71" s="19">
        <v>1.9954703753246577</v>
      </c>
      <c r="G71" s="19">
        <v>4.9622531277054804</v>
      </c>
      <c r="H71" s="19">
        <v>6.166956880952057</v>
      </c>
      <c r="J71" s="19">
        <f t="shared" ref="J71:J105" si="14">(F71*$J$3)/100</f>
        <v>1795.9233377921919</v>
      </c>
      <c r="K71" s="19">
        <f t="shared" ref="K71:K105" si="15">(G71*$K$3)/100</f>
        <v>8187.7176607140436</v>
      </c>
      <c r="L71" s="19">
        <f t="shared" ref="L71:L105" si="16">(H71*$L$3)/100</f>
        <v>2775.1305964284256</v>
      </c>
      <c r="O71" s="19">
        <f t="shared" si="11"/>
        <v>91795.923337792192</v>
      </c>
      <c r="P71" s="19">
        <f t="shared" si="12"/>
        <v>173187.71766071406</v>
      </c>
      <c r="Q71" s="19">
        <f t="shared" si="13"/>
        <v>47775.130596428426</v>
      </c>
      <c r="R71" s="19">
        <f t="shared" ref="R71:R105" si="17">O71+P71+Q71</f>
        <v>312758.77159493463</v>
      </c>
    </row>
    <row r="72" spans="5:18" x14ac:dyDescent="0.15">
      <c r="E72" s="19">
        <v>67</v>
      </c>
      <c r="F72" s="19">
        <v>1.812645228303154</v>
      </c>
      <c r="G72" s="19">
        <v>3.4387102358596167</v>
      </c>
      <c r="H72" s="19">
        <v>2.8151625188911567</v>
      </c>
      <c r="J72" s="19">
        <f t="shared" si="14"/>
        <v>1631.3807054728386</v>
      </c>
      <c r="K72" s="19">
        <f t="shared" si="15"/>
        <v>5673.8718891683675</v>
      </c>
      <c r="L72" s="19">
        <f t="shared" si="16"/>
        <v>1266.8231335010205</v>
      </c>
      <c r="O72" s="19">
        <f t="shared" si="11"/>
        <v>91631.380705472839</v>
      </c>
      <c r="P72" s="19">
        <f t="shared" si="12"/>
        <v>170673.87188916837</v>
      </c>
      <c r="Q72" s="19">
        <f t="shared" si="13"/>
        <v>46266.82313350102</v>
      </c>
      <c r="R72" s="19">
        <f t="shared" si="17"/>
        <v>308572.07572814217</v>
      </c>
    </row>
    <row r="73" spans="5:18" x14ac:dyDescent="0.15">
      <c r="E73" s="19">
        <v>68</v>
      </c>
      <c r="F73" s="19">
        <v>1.5991229297942482</v>
      </c>
      <c r="G73" s="19">
        <v>1.6593577482854016</v>
      </c>
      <c r="H73" s="19">
        <v>-1.0994129537721165</v>
      </c>
      <c r="J73" s="19">
        <f t="shared" si="14"/>
        <v>1439.2106368148234</v>
      </c>
      <c r="K73" s="19">
        <f t="shared" si="15"/>
        <v>2737.9402846709127</v>
      </c>
      <c r="L73" s="19">
        <f t="shared" si="16"/>
        <v>-494.7358291974524</v>
      </c>
      <c r="O73" s="19">
        <f t="shared" si="11"/>
        <v>91439.210636814823</v>
      </c>
      <c r="P73" s="19">
        <f t="shared" si="12"/>
        <v>167737.94028467091</v>
      </c>
      <c r="Q73" s="19">
        <f t="shared" si="13"/>
        <v>44505.264170802548</v>
      </c>
      <c r="R73" s="19">
        <f t="shared" si="17"/>
        <v>303682.41509228828</v>
      </c>
    </row>
    <row r="74" spans="5:18" x14ac:dyDescent="0.15">
      <c r="E74" s="19">
        <v>69</v>
      </c>
      <c r="F74" s="19">
        <v>2.4870657903666142</v>
      </c>
      <c r="G74" s="19">
        <v>9.058881586388452</v>
      </c>
      <c r="H74" s="19">
        <v>15.179539490054594</v>
      </c>
      <c r="J74" s="19">
        <f t="shared" si="14"/>
        <v>2238.3592113299528</v>
      </c>
      <c r="K74" s="19">
        <f t="shared" si="15"/>
        <v>14947.154617540946</v>
      </c>
      <c r="L74" s="19">
        <f t="shared" si="16"/>
        <v>6830.7927705245675</v>
      </c>
      <c r="O74" s="19">
        <f t="shared" si="11"/>
        <v>92238.359211329953</v>
      </c>
      <c r="P74" s="19">
        <f t="shared" si="12"/>
        <v>179947.15461754095</v>
      </c>
      <c r="Q74" s="19">
        <f t="shared" si="13"/>
        <v>51830.792770524567</v>
      </c>
      <c r="R74" s="19">
        <f t="shared" si="17"/>
        <v>324016.30659939547</v>
      </c>
    </row>
    <row r="75" spans="5:18" x14ac:dyDescent="0.15">
      <c r="E75" s="19">
        <v>70</v>
      </c>
      <c r="F75" s="19">
        <v>1.5654725353233516</v>
      </c>
      <c r="G75" s="19">
        <v>1.3789377943612635</v>
      </c>
      <c r="H75" s="19">
        <v>-1.7163368524052203</v>
      </c>
      <c r="J75" s="19">
        <f t="shared" si="14"/>
        <v>1408.9252817910165</v>
      </c>
      <c r="K75" s="19">
        <f t="shared" si="15"/>
        <v>2275.2473606960848</v>
      </c>
      <c r="L75" s="19">
        <f t="shared" si="16"/>
        <v>-772.35158358234912</v>
      </c>
      <c r="O75" s="19">
        <f t="shared" si="11"/>
        <v>91408.925281791016</v>
      </c>
      <c r="P75" s="19">
        <f t="shared" si="12"/>
        <v>167275.24736069608</v>
      </c>
      <c r="Q75" s="19">
        <f t="shared" si="13"/>
        <v>44227.648416417651</v>
      </c>
      <c r="R75" s="19">
        <f t="shared" si="17"/>
        <v>302911.82105890475</v>
      </c>
    </row>
    <row r="76" spans="5:18" x14ac:dyDescent="0.15">
      <c r="E76" s="19">
        <v>71</v>
      </c>
      <c r="F76" s="19">
        <v>2.000531713340024</v>
      </c>
      <c r="G76" s="19">
        <v>5.0044309445002</v>
      </c>
      <c r="H76" s="19">
        <v>6.25974807790044</v>
      </c>
      <c r="J76" s="19">
        <f t="shared" si="14"/>
        <v>1800.4785420060216</v>
      </c>
      <c r="K76" s="19">
        <f t="shared" si="15"/>
        <v>8257.31105842533</v>
      </c>
      <c r="L76" s="19">
        <f t="shared" si="16"/>
        <v>2816.886635055198</v>
      </c>
      <c r="O76" s="19">
        <f t="shared" si="11"/>
        <v>91800.478542006022</v>
      </c>
      <c r="P76" s="19">
        <f t="shared" si="12"/>
        <v>173257.31105842534</v>
      </c>
      <c r="Q76" s="19">
        <f t="shared" si="13"/>
        <v>47816.886635055198</v>
      </c>
      <c r="R76" s="19">
        <f t="shared" si="17"/>
        <v>312874.67623548652</v>
      </c>
    </row>
    <row r="77" spans="5:18" x14ac:dyDescent="0.15">
      <c r="E77" s="19">
        <v>72</v>
      </c>
      <c r="F77" s="19">
        <v>1.9116141680133296</v>
      </c>
      <c r="G77" s="19">
        <v>4.2634514001110801</v>
      </c>
      <c r="H77" s="19">
        <v>4.6295930802443763</v>
      </c>
      <c r="J77" s="19">
        <f t="shared" si="14"/>
        <v>1720.4527512119967</v>
      </c>
      <c r="K77" s="19">
        <f t="shared" si="15"/>
        <v>7034.6948101832822</v>
      </c>
      <c r="L77" s="19">
        <f t="shared" si="16"/>
        <v>2083.3168861099693</v>
      </c>
      <c r="O77" s="19">
        <f t="shared" si="11"/>
        <v>91720.452751211997</v>
      </c>
      <c r="P77" s="19">
        <f t="shared" si="12"/>
        <v>172034.69481018328</v>
      </c>
      <c r="Q77" s="19">
        <f t="shared" si="13"/>
        <v>47083.316886109969</v>
      </c>
      <c r="R77" s="19">
        <f t="shared" si="17"/>
        <v>310838.46444750531</v>
      </c>
    </row>
    <row r="78" spans="5:18" x14ac:dyDescent="0.15">
      <c r="E78" s="19">
        <v>73</v>
      </c>
      <c r="F78" s="19">
        <v>1.8225400759110926</v>
      </c>
      <c r="G78" s="19">
        <v>3.5211672992591048</v>
      </c>
      <c r="H78" s="19">
        <v>2.9965680583700305</v>
      </c>
      <c r="J78" s="19">
        <f t="shared" si="14"/>
        <v>1640.2860683199833</v>
      </c>
      <c r="K78" s="19">
        <f t="shared" si="15"/>
        <v>5809.9260437775229</v>
      </c>
      <c r="L78" s="19">
        <f t="shared" si="16"/>
        <v>1348.4556262665137</v>
      </c>
      <c r="O78" s="19">
        <f t="shared" si="11"/>
        <v>91640.286068319983</v>
      </c>
      <c r="P78" s="19">
        <f t="shared" si="12"/>
        <v>170809.92604377752</v>
      </c>
      <c r="Q78" s="19">
        <f t="shared" si="13"/>
        <v>46348.455626266514</v>
      </c>
      <c r="R78" s="19">
        <f t="shared" si="17"/>
        <v>308798.66773836408</v>
      </c>
    </row>
    <row r="79" spans="5:18" x14ac:dyDescent="0.15">
      <c r="E79" s="19">
        <v>74</v>
      </c>
      <c r="F79" s="19">
        <v>2.4093926690984517</v>
      </c>
      <c r="G79" s="19">
        <v>8.4116055758204311</v>
      </c>
      <c r="H79" s="19">
        <v>13.755532266804948</v>
      </c>
      <c r="J79" s="19">
        <f t="shared" si="14"/>
        <v>2168.4534021886066</v>
      </c>
      <c r="K79" s="19">
        <f t="shared" si="15"/>
        <v>13879.149200103711</v>
      </c>
      <c r="L79" s="19">
        <f t="shared" si="16"/>
        <v>6189.9895200622268</v>
      </c>
      <c r="O79" s="19">
        <f t="shared" si="11"/>
        <v>92168.453402188607</v>
      </c>
      <c r="P79" s="19">
        <f t="shared" si="12"/>
        <v>178879.14920010371</v>
      </c>
      <c r="Q79" s="19">
        <f t="shared" si="13"/>
        <v>51189.989520062227</v>
      </c>
      <c r="R79" s="19">
        <f t="shared" si="17"/>
        <v>322237.59212235454</v>
      </c>
    </row>
    <row r="80" spans="5:18" x14ac:dyDescent="0.15">
      <c r="E80" s="19">
        <v>75</v>
      </c>
      <c r="F80" s="19">
        <v>2.0223906226892723</v>
      </c>
      <c r="G80" s="19">
        <v>5.1865885224106023</v>
      </c>
      <c r="H80" s="19">
        <v>6.6604947493033251</v>
      </c>
      <c r="J80" s="19">
        <f t="shared" si="14"/>
        <v>1820.151560420345</v>
      </c>
      <c r="K80" s="19">
        <f t="shared" si="15"/>
        <v>8557.8710619774938</v>
      </c>
      <c r="L80" s="19">
        <f t="shared" si="16"/>
        <v>2997.2226371864963</v>
      </c>
      <c r="O80" s="19">
        <f t="shared" si="11"/>
        <v>91820.151560420345</v>
      </c>
      <c r="P80" s="19">
        <f t="shared" si="12"/>
        <v>173557.87106197749</v>
      </c>
      <c r="Q80" s="19">
        <f t="shared" si="13"/>
        <v>47997.222637186496</v>
      </c>
      <c r="R80" s="19">
        <f t="shared" si="17"/>
        <v>313375.24525958439</v>
      </c>
    </row>
    <row r="81" spans="5:18" x14ac:dyDescent="0.15">
      <c r="E81" s="19">
        <v>76</v>
      </c>
      <c r="F81" s="19">
        <v>1.9732281139586121</v>
      </c>
      <c r="G81" s="19">
        <v>4.7769009496551007</v>
      </c>
      <c r="H81" s="19">
        <v>5.7591820892412215</v>
      </c>
      <c r="J81" s="19">
        <f t="shared" si="14"/>
        <v>1775.9053025627509</v>
      </c>
      <c r="K81" s="19">
        <f t="shared" si="15"/>
        <v>7881.8865669309162</v>
      </c>
      <c r="L81" s="19">
        <f t="shared" si="16"/>
        <v>2591.6319401585497</v>
      </c>
      <c r="O81" s="19">
        <f t="shared" si="11"/>
        <v>91775.905302562751</v>
      </c>
      <c r="P81" s="19">
        <f t="shared" si="12"/>
        <v>172881.88656693092</v>
      </c>
      <c r="Q81" s="19">
        <f t="shared" si="13"/>
        <v>47591.63194015855</v>
      </c>
      <c r="R81" s="19">
        <f t="shared" si="17"/>
        <v>312249.42380965222</v>
      </c>
    </row>
    <row r="82" spans="5:18" x14ac:dyDescent="0.15">
      <c r="E82" s="19">
        <v>77</v>
      </c>
      <c r="F82" s="19">
        <v>2.4689159140980337</v>
      </c>
      <c r="G82" s="19">
        <v>8.907632617483614</v>
      </c>
      <c r="H82" s="19">
        <v>14.846791758463951</v>
      </c>
      <c r="J82" s="19">
        <f t="shared" si="14"/>
        <v>2222.0243226882303</v>
      </c>
      <c r="K82" s="19">
        <f t="shared" si="15"/>
        <v>14697.593818847963</v>
      </c>
      <c r="L82" s="19">
        <f t="shared" si="16"/>
        <v>6681.0562913087779</v>
      </c>
      <c r="O82" s="19">
        <f t="shared" si="11"/>
        <v>92222.02432268823</v>
      </c>
      <c r="P82" s="19">
        <f t="shared" si="12"/>
        <v>179697.59381884796</v>
      </c>
      <c r="Q82" s="19">
        <f t="shared" si="13"/>
        <v>51681.056291308778</v>
      </c>
      <c r="R82" s="19">
        <f t="shared" si="17"/>
        <v>323600.67443284497</v>
      </c>
    </row>
    <row r="83" spans="5:18" x14ac:dyDescent="0.15">
      <c r="E83" s="19">
        <v>78</v>
      </c>
      <c r="F83" s="19">
        <v>1.5067882991861552</v>
      </c>
      <c r="G83" s="19">
        <v>0.88990249321796</v>
      </c>
      <c r="H83" s="19">
        <v>-2.792214514920488</v>
      </c>
      <c r="J83" s="19">
        <f t="shared" si="14"/>
        <v>1356.1094692675397</v>
      </c>
      <c r="K83" s="19">
        <f t="shared" si="15"/>
        <v>1468.339113809634</v>
      </c>
      <c r="L83" s="19">
        <f t="shared" si="16"/>
        <v>-1256.4965317142196</v>
      </c>
      <c r="O83" s="19">
        <f t="shared" si="11"/>
        <v>91356.10946926754</v>
      </c>
      <c r="P83" s="19">
        <f t="shared" si="12"/>
        <v>166468.33911380963</v>
      </c>
      <c r="Q83" s="19">
        <f t="shared" si="13"/>
        <v>43743.50346828578</v>
      </c>
      <c r="R83" s="19">
        <f t="shared" si="17"/>
        <v>301567.95205136295</v>
      </c>
    </row>
    <row r="84" spans="5:18" x14ac:dyDescent="0.15">
      <c r="E84" s="19">
        <v>79</v>
      </c>
      <c r="F84" s="19">
        <v>2.2133544967364287</v>
      </c>
      <c r="G84" s="19">
        <v>6.7779541394702392</v>
      </c>
      <c r="H84" s="19">
        <v>10.161499106834526</v>
      </c>
      <c r="J84" s="19">
        <f t="shared" si="14"/>
        <v>1992.0190470627858</v>
      </c>
      <c r="K84" s="19">
        <f t="shared" si="15"/>
        <v>11183.624330125893</v>
      </c>
      <c r="L84" s="19">
        <f t="shared" si="16"/>
        <v>4572.6745980755368</v>
      </c>
      <c r="O84" s="19">
        <f t="shared" si="11"/>
        <v>91992.019047062786</v>
      </c>
      <c r="P84" s="19">
        <f t="shared" si="12"/>
        <v>176183.62433012589</v>
      </c>
      <c r="Q84" s="19">
        <f t="shared" si="13"/>
        <v>49572.674598075537</v>
      </c>
      <c r="R84" s="19">
        <f t="shared" si="17"/>
        <v>317748.31797526428</v>
      </c>
    </row>
    <row r="85" spans="5:18" x14ac:dyDescent="0.15">
      <c r="E85" s="19">
        <v>80</v>
      </c>
      <c r="F85" s="19">
        <v>2.2218561121480889</v>
      </c>
      <c r="G85" s="19">
        <v>6.8488009345674072</v>
      </c>
      <c r="H85" s="19">
        <v>10.317362056048296</v>
      </c>
      <c r="J85" s="19">
        <f t="shared" si="14"/>
        <v>1999.67050093328</v>
      </c>
      <c r="K85" s="19">
        <f t="shared" si="15"/>
        <v>11300.521542036222</v>
      </c>
      <c r="L85" s="19">
        <f t="shared" si="16"/>
        <v>4642.8129252217332</v>
      </c>
      <c r="O85" s="19">
        <f t="shared" si="11"/>
        <v>91999.67050093328</v>
      </c>
      <c r="P85" s="19">
        <f t="shared" si="12"/>
        <v>176300.52154203621</v>
      </c>
      <c r="Q85" s="19">
        <f t="shared" si="13"/>
        <v>49642.812925221733</v>
      </c>
      <c r="R85" s="19">
        <f t="shared" si="17"/>
        <v>317943.00496819126</v>
      </c>
    </row>
    <row r="86" spans="5:18" x14ac:dyDescent="0.15">
      <c r="E86" s="19">
        <v>81</v>
      </c>
      <c r="F86" s="19">
        <v>2.2836723069776781</v>
      </c>
      <c r="G86" s="19">
        <v>7.3639358914806508</v>
      </c>
      <c r="H86" s="19">
        <v>11.450658961257432</v>
      </c>
      <c r="J86" s="19">
        <f t="shared" si="14"/>
        <v>2055.3050762799103</v>
      </c>
      <c r="K86" s="19">
        <f t="shared" si="15"/>
        <v>12150.494220943074</v>
      </c>
      <c r="L86" s="19">
        <f t="shared" si="16"/>
        <v>5152.7965325658442</v>
      </c>
      <c r="O86" s="19">
        <f t="shared" si="11"/>
        <v>92055.30507627991</v>
      </c>
      <c r="P86" s="19">
        <f t="shared" si="12"/>
        <v>177150.49422094307</v>
      </c>
      <c r="Q86" s="19">
        <f t="shared" si="13"/>
        <v>50152.796532565844</v>
      </c>
      <c r="R86" s="19">
        <f t="shared" si="17"/>
        <v>319358.59582978883</v>
      </c>
    </row>
    <row r="87" spans="5:18" x14ac:dyDescent="0.15">
      <c r="E87" s="19">
        <v>82</v>
      </c>
      <c r="F87" s="19">
        <v>1.6554272456705803</v>
      </c>
      <c r="G87" s="19">
        <v>2.1285603805881692</v>
      </c>
      <c r="H87" s="19">
        <v>-6.7167162706027739E-2</v>
      </c>
      <c r="J87" s="19">
        <f t="shared" si="14"/>
        <v>1489.8845211035223</v>
      </c>
      <c r="K87" s="19">
        <f t="shared" si="15"/>
        <v>3512.1246279704792</v>
      </c>
      <c r="L87" s="19">
        <f t="shared" si="16"/>
        <v>-30.225223217712482</v>
      </c>
      <c r="O87" s="19">
        <f t="shared" si="11"/>
        <v>91489.884521103522</v>
      </c>
      <c r="P87" s="19">
        <f t="shared" si="12"/>
        <v>168512.12462797048</v>
      </c>
      <c r="Q87" s="19">
        <f t="shared" si="13"/>
        <v>44969.774776782288</v>
      </c>
      <c r="R87" s="19">
        <f t="shared" si="17"/>
        <v>304971.78392585629</v>
      </c>
    </row>
    <row r="88" spans="5:18" x14ac:dyDescent="0.15">
      <c r="E88" s="19">
        <v>83</v>
      </c>
      <c r="F88" s="19">
        <v>1.3556821209494956</v>
      </c>
      <c r="G88" s="19">
        <v>-0.36931565875420347</v>
      </c>
      <c r="H88" s="19">
        <v>-5.5624944492592476</v>
      </c>
      <c r="J88" s="19">
        <f t="shared" si="14"/>
        <v>1220.113908854546</v>
      </c>
      <c r="K88" s="19">
        <f t="shared" si="15"/>
        <v>-609.37083694443572</v>
      </c>
      <c r="L88" s="19">
        <f t="shared" si="16"/>
        <v>-2503.1225021666614</v>
      </c>
      <c r="O88" s="19">
        <f t="shared" si="11"/>
        <v>91220.113908854546</v>
      </c>
      <c r="P88" s="19">
        <f t="shared" si="12"/>
        <v>164390.62916305556</v>
      </c>
      <c r="Q88" s="19">
        <f t="shared" si="13"/>
        <v>42496.877497833339</v>
      </c>
      <c r="R88" s="19">
        <f t="shared" si="17"/>
        <v>298107.62056974345</v>
      </c>
    </row>
    <row r="89" spans="5:18" x14ac:dyDescent="0.15">
      <c r="E89" s="19">
        <v>84</v>
      </c>
      <c r="F89" s="19">
        <v>2.1474431883252691</v>
      </c>
      <c r="G89" s="19">
        <v>6.2286932360439096</v>
      </c>
      <c r="H89" s="19">
        <v>8.953125119296601</v>
      </c>
      <c r="J89" s="19">
        <f t="shared" si="14"/>
        <v>1932.6988694927422</v>
      </c>
      <c r="K89" s="19">
        <f t="shared" si="15"/>
        <v>10277.343839472451</v>
      </c>
      <c r="L89" s="19">
        <f t="shared" si="16"/>
        <v>4028.9063036834705</v>
      </c>
      <c r="O89" s="19">
        <f t="shared" si="11"/>
        <v>91932.698869492742</v>
      </c>
      <c r="P89" s="19">
        <f t="shared" si="12"/>
        <v>175277.34383947245</v>
      </c>
      <c r="Q89" s="19">
        <f t="shared" si="13"/>
        <v>49028.90630368347</v>
      </c>
      <c r="R89" s="19">
        <f t="shared" si="17"/>
        <v>316238.94901264866</v>
      </c>
    </row>
    <row r="90" spans="5:18" x14ac:dyDescent="0.15">
      <c r="E90" s="19">
        <v>85</v>
      </c>
      <c r="F90" s="19">
        <v>2.335443246513023</v>
      </c>
      <c r="G90" s="19">
        <v>7.7953603876085253</v>
      </c>
      <c r="H90" s="19">
        <v>12.399792852738756</v>
      </c>
      <c r="J90" s="19">
        <f t="shared" si="14"/>
        <v>2101.8989218617207</v>
      </c>
      <c r="K90" s="19">
        <f t="shared" si="15"/>
        <v>12862.344639554065</v>
      </c>
      <c r="L90" s="19">
        <f t="shared" si="16"/>
        <v>5579.9067837324401</v>
      </c>
      <c r="O90" s="19">
        <f t="shared" si="11"/>
        <v>92101.898921861721</v>
      </c>
      <c r="P90" s="19">
        <f t="shared" si="12"/>
        <v>177862.34463955407</v>
      </c>
      <c r="Q90" s="19">
        <f t="shared" si="13"/>
        <v>50579.90678373244</v>
      </c>
      <c r="R90" s="19">
        <f t="shared" si="17"/>
        <v>320544.15034514829</v>
      </c>
    </row>
    <row r="91" spans="5:18" x14ac:dyDescent="0.15">
      <c r="E91" s="19">
        <v>86</v>
      </c>
      <c r="F91" s="19">
        <v>2.0991933575278381</v>
      </c>
      <c r="G91" s="19">
        <v>5.8266113127319841</v>
      </c>
      <c r="H91" s="19">
        <v>8.068544888010365</v>
      </c>
      <c r="J91" s="19">
        <f t="shared" si="14"/>
        <v>1889.2740217750543</v>
      </c>
      <c r="K91" s="19">
        <f t="shared" si="15"/>
        <v>9613.9086660077737</v>
      </c>
      <c r="L91" s="19">
        <f t="shared" si="16"/>
        <v>3630.8451996046642</v>
      </c>
      <c r="O91" s="19">
        <f t="shared" si="11"/>
        <v>91889.274021775054</v>
      </c>
      <c r="P91" s="19">
        <f t="shared" si="12"/>
        <v>174613.90866600777</v>
      </c>
      <c r="Q91" s="19">
        <f t="shared" si="13"/>
        <v>48630.845199604664</v>
      </c>
      <c r="R91" s="19">
        <f t="shared" si="17"/>
        <v>315134.02788738743</v>
      </c>
    </row>
    <row r="92" spans="5:18" x14ac:dyDescent="0.15">
      <c r="E92" s="19">
        <v>87</v>
      </c>
      <c r="F92" s="19">
        <v>2.1895245986816008</v>
      </c>
      <c r="G92" s="19">
        <v>6.5793716556800064</v>
      </c>
      <c r="H92" s="19">
        <v>9.724617642496014</v>
      </c>
      <c r="J92" s="19">
        <f t="shared" si="14"/>
        <v>1970.5721388134407</v>
      </c>
      <c r="K92" s="19">
        <f t="shared" si="15"/>
        <v>10855.963231872011</v>
      </c>
      <c r="L92" s="19">
        <f t="shared" si="16"/>
        <v>4376.0779391232063</v>
      </c>
      <c r="O92" s="19">
        <f t="shared" si="11"/>
        <v>91970.572138813441</v>
      </c>
      <c r="P92" s="19">
        <f t="shared" si="12"/>
        <v>175855.96323187201</v>
      </c>
      <c r="Q92" s="19">
        <f t="shared" si="13"/>
        <v>49376.077939123206</v>
      </c>
      <c r="R92" s="19">
        <f t="shared" si="17"/>
        <v>317202.61330980866</v>
      </c>
    </row>
    <row r="93" spans="5:18" x14ac:dyDescent="0.15">
      <c r="E93" s="19">
        <v>88</v>
      </c>
      <c r="F93" s="19">
        <v>2.1796986452973215</v>
      </c>
      <c r="G93" s="19">
        <v>6.4974887108110124</v>
      </c>
      <c r="H93" s="19">
        <v>9.5444751637842273</v>
      </c>
      <c r="J93" s="19">
        <f t="shared" si="14"/>
        <v>1961.7287807675893</v>
      </c>
      <c r="K93" s="19">
        <f t="shared" si="15"/>
        <v>10720.856372838169</v>
      </c>
      <c r="L93" s="19">
        <f t="shared" si="16"/>
        <v>4295.0138237029023</v>
      </c>
      <c r="O93" s="19">
        <f t="shared" si="11"/>
        <v>91961.728780767589</v>
      </c>
      <c r="P93" s="19">
        <f t="shared" si="12"/>
        <v>175720.85637283817</v>
      </c>
      <c r="Q93" s="19">
        <f t="shared" si="13"/>
        <v>49295.013823702902</v>
      </c>
      <c r="R93" s="19">
        <f t="shared" si="17"/>
        <v>316977.59897730872</v>
      </c>
    </row>
    <row r="94" spans="5:18" x14ac:dyDescent="0.15">
      <c r="E94" s="19">
        <v>89</v>
      </c>
      <c r="F94" s="19">
        <v>2.9803334251046181</v>
      </c>
      <c r="G94" s="19">
        <v>13.169445209205151</v>
      </c>
      <c r="H94" s="19">
        <v>24.222779460251331</v>
      </c>
      <c r="J94" s="19">
        <f t="shared" si="14"/>
        <v>2682.3000825941563</v>
      </c>
      <c r="K94" s="19">
        <f t="shared" si="15"/>
        <v>21729.584595188498</v>
      </c>
      <c r="L94" s="19">
        <f t="shared" si="16"/>
        <v>10900.250757113099</v>
      </c>
      <c r="O94" s="19">
        <f t="shared" si="11"/>
        <v>92682.300082594156</v>
      </c>
      <c r="P94" s="19">
        <f t="shared" si="12"/>
        <v>186729.5845951885</v>
      </c>
      <c r="Q94" s="19">
        <f t="shared" si="13"/>
        <v>55900.250757113099</v>
      </c>
      <c r="R94" s="19">
        <f t="shared" si="17"/>
        <v>335312.13543489575</v>
      </c>
    </row>
    <row r="95" spans="5:18" x14ac:dyDescent="0.15">
      <c r="E95" s="19">
        <v>90</v>
      </c>
      <c r="F95" s="19">
        <v>2.3656912213045871</v>
      </c>
      <c r="G95" s="19">
        <v>8.0474268442048924</v>
      </c>
      <c r="H95" s="19">
        <v>12.954339057250763</v>
      </c>
      <c r="J95" s="19">
        <f t="shared" si="14"/>
        <v>2129.1220991741284</v>
      </c>
      <c r="K95" s="19">
        <f t="shared" si="15"/>
        <v>13278.254292938071</v>
      </c>
      <c r="L95" s="19">
        <f t="shared" si="16"/>
        <v>5829.4525757628435</v>
      </c>
      <c r="O95" s="19">
        <f t="shared" si="11"/>
        <v>92129.122099174128</v>
      </c>
      <c r="P95" s="19">
        <f t="shared" si="12"/>
        <v>178278.25429293807</v>
      </c>
      <c r="Q95" s="19">
        <f t="shared" si="13"/>
        <v>50829.452575762843</v>
      </c>
      <c r="R95" s="19">
        <f t="shared" si="17"/>
        <v>321236.8289678751</v>
      </c>
    </row>
    <row r="96" spans="5:18" x14ac:dyDescent="0.15">
      <c r="E96" s="19">
        <v>91</v>
      </c>
      <c r="F96" s="19">
        <v>1.7814903736070846</v>
      </c>
      <c r="G96" s="19">
        <v>3.1790864467257052</v>
      </c>
      <c r="H96" s="19">
        <v>2.2439901827965514</v>
      </c>
      <c r="J96" s="19">
        <f t="shared" si="14"/>
        <v>1603.3413362463762</v>
      </c>
      <c r="K96" s="19">
        <f t="shared" si="15"/>
        <v>5245.4926370974144</v>
      </c>
      <c r="L96" s="19">
        <f t="shared" si="16"/>
        <v>1009.7955822584481</v>
      </c>
      <c r="O96" s="19">
        <f t="shared" si="11"/>
        <v>91603.341336246376</v>
      </c>
      <c r="P96" s="19">
        <f t="shared" si="12"/>
        <v>170245.49263709743</v>
      </c>
      <c r="Q96" s="19">
        <f t="shared" si="13"/>
        <v>46009.795582258448</v>
      </c>
      <c r="R96" s="19">
        <f t="shared" si="17"/>
        <v>307858.62955560227</v>
      </c>
    </row>
    <row r="97" spans="5:18" x14ac:dyDescent="0.15">
      <c r="E97" s="19">
        <v>92</v>
      </c>
      <c r="F97" s="19">
        <v>1.8481090415225481</v>
      </c>
      <c r="G97" s="19">
        <v>3.7342420126879006</v>
      </c>
      <c r="H97" s="19">
        <v>3.4653324279133813</v>
      </c>
      <c r="J97" s="19">
        <f t="shared" si="14"/>
        <v>1663.2981373702933</v>
      </c>
      <c r="K97" s="19">
        <f t="shared" si="15"/>
        <v>6161.4993209350368</v>
      </c>
      <c r="L97" s="19">
        <f t="shared" si="16"/>
        <v>1559.3995925610216</v>
      </c>
      <c r="O97" s="19">
        <f t="shared" si="11"/>
        <v>91663.298137370293</v>
      </c>
      <c r="P97" s="19">
        <f t="shared" si="12"/>
        <v>171161.49932093505</v>
      </c>
      <c r="Q97" s="19">
        <f t="shared" si="13"/>
        <v>46559.399592561022</v>
      </c>
      <c r="R97" s="19">
        <f t="shared" si="17"/>
        <v>309384.19705086638</v>
      </c>
    </row>
    <row r="98" spans="5:18" x14ac:dyDescent="0.15">
      <c r="E98" s="19">
        <v>93</v>
      </c>
      <c r="F98" s="19">
        <v>1.885225633988739</v>
      </c>
      <c r="G98" s="19">
        <v>4.0435469499061583</v>
      </c>
      <c r="H98" s="19">
        <v>4.1458032897935482</v>
      </c>
      <c r="J98" s="19">
        <f t="shared" si="14"/>
        <v>1696.7030705898651</v>
      </c>
      <c r="K98" s="19">
        <f t="shared" si="15"/>
        <v>6671.8524673451611</v>
      </c>
      <c r="L98" s="19">
        <f t="shared" si="16"/>
        <v>1865.6114804070967</v>
      </c>
      <c r="O98" s="19">
        <f t="shared" si="11"/>
        <v>91696.703070589865</v>
      </c>
      <c r="P98" s="19">
        <f t="shared" si="12"/>
        <v>171671.85246734516</v>
      </c>
      <c r="Q98" s="19">
        <f t="shared" si="13"/>
        <v>46865.611480407097</v>
      </c>
      <c r="R98" s="19">
        <f t="shared" si="17"/>
        <v>310234.16701834206</v>
      </c>
    </row>
    <row r="99" spans="5:18" x14ac:dyDescent="0.15">
      <c r="E99" s="19">
        <v>94</v>
      </c>
      <c r="F99" s="19">
        <v>2.0099835233413614</v>
      </c>
      <c r="G99" s="19">
        <v>5.0831960278446786</v>
      </c>
      <c r="H99" s="19">
        <v>6.4330312612582929</v>
      </c>
      <c r="J99" s="19">
        <f t="shared" si="14"/>
        <v>1808.9851710072253</v>
      </c>
      <c r="K99" s="19">
        <f t="shared" si="15"/>
        <v>8387.2734459437197</v>
      </c>
      <c r="L99" s="19">
        <f t="shared" si="16"/>
        <v>2894.8640675662318</v>
      </c>
      <c r="O99" s="19">
        <f t="shared" si="11"/>
        <v>91808.985171007225</v>
      </c>
      <c r="P99" s="19">
        <f t="shared" si="12"/>
        <v>173387.27344594372</v>
      </c>
      <c r="Q99" s="19">
        <f t="shared" si="13"/>
        <v>47894.864067566232</v>
      </c>
      <c r="R99" s="19">
        <f t="shared" si="17"/>
        <v>313091.12268451718</v>
      </c>
    </row>
    <row r="100" spans="5:18" x14ac:dyDescent="0.15">
      <c r="E100" s="19">
        <v>95</v>
      </c>
      <c r="F100" s="19">
        <v>2.0691230752636329</v>
      </c>
      <c r="G100" s="19">
        <v>5.5760256271969411</v>
      </c>
      <c r="H100" s="19">
        <v>7.5172563798332703</v>
      </c>
      <c r="J100" s="19">
        <f t="shared" si="14"/>
        <v>1862.2107677372696</v>
      </c>
      <c r="K100" s="19">
        <f t="shared" si="15"/>
        <v>9200.4422848749527</v>
      </c>
      <c r="L100" s="19">
        <f t="shared" si="16"/>
        <v>3382.7653709249716</v>
      </c>
      <c r="O100" s="19">
        <f t="shared" si="11"/>
        <v>91862.21076773727</v>
      </c>
      <c r="P100" s="19">
        <f t="shared" si="12"/>
        <v>174200.44228487497</v>
      </c>
      <c r="Q100" s="19">
        <f t="shared" si="13"/>
        <v>48382.765370924972</v>
      </c>
      <c r="R100" s="19">
        <f t="shared" si="17"/>
        <v>314445.41842353716</v>
      </c>
    </row>
    <row r="101" spans="5:18" x14ac:dyDescent="0.15">
      <c r="E101" s="19">
        <v>96</v>
      </c>
      <c r="F101" s="19">
        <v>2.3058050879189977</v>
      </c>
      <c r="G101" s="19">
        <v>7.5483757326583145</v>
      </c>
      <c r="H101" s="19">
        <v>11.856426611848292</v>
      </c>
      <c r="J101" s="19">
        <f t="shared" si="14"/>
        <v>2075.224579127098</v>
      </c>
      <c r="K101" s="19">
        <f t="shared" si="15"/>
        <v>12454.819958886221</v>
      </c>
      <c r="L101" s="19">
        <f t="shared" si="16"/>
        <v>5335.3919753317314</v>
      </c>
      <c r="O101" s="19">
        <f t="shared" si="11"/>
        <v>92075.224579127098</v>
      </c>
      <c r="P101" s="19">
        <f t="shared" si="12"/>
        <v>177454.81995888622</v>
      </c>
      <c r="Q101" s="19">
        <f t="shared" si="13"/>
        <v>50335.391975331731</v>
      </c>
      <c r="R101" s="19">
        <f t="shared" si="17"/>
        <v>319865.43651334499</v>
      </c>
    </row>
    <row r="102" spans="5:18" x14ac:dyDescent="0.15">
      <c r="E102" s="19">
        <v>97</v>
      </c>
      <c r="F102" s="19">
        <v>1.9333410869439831</v>
      </c>
      <c r="G102" s="19">
        <v>4.4445090578665258</v>
      </c>
      <c r="H102" s="19">
        <v>5.0279199273063568</v>
      </c>
      <c r="J102" s="19">
        <f t="shared" si="14"/>
        <v>1740.0069782495848</v>
      </c>
      <c r="K102" s="19">
        <f t="shared" si="15"/>
        <v>7333.4399454797676</v>
      </c>
      <c r="L102" s="19">
        <f t="shared" si="16"/>
        <v>2262.5639672878606</v>
      </c>
      <c r="O102" s="19">
        <f t="shared" si="11"/>
        <v>91740.006978249585</v>
      </c>
      <c r="P102" s="19">
        <f t="shared" si="12"/>
        <v>172333.43994547977</v>
      </c>
      <c r="Q102" s="19">
        <f t="shared" si="13"/>
        <v>47262.563967287861</v>
      </c>
      <c r="R102" s="19">
        <f t="shared" si="17"/>
        <v>311336.01089101727</v>
      </c>
    </row>
    <row r="103" spans="5:18" x14ac:dyDescent="0.15">
      <c r="E103" s="19">
        <v>98</v>
      </c>
      <c r="F103" s="19">
        <v>2.3002055564138573</v>
      </c>
      <c r="G103" s="19">
        <v>7.5017129701154772</v>
      </c>
      <c r="H103" s="19">
        <v>11.75376853425405</v>
      </c>
      <c r="J103" s="19">
        <f t="shared" si="14"/>
        <v>2070.1850007724715</v>
      </c>
      <c r="K103" s="19">
        <f t="shared" si="15"/>
        <v>12377.826400690537</v>
      </c>
      <c r="L103" s="19">
        <f t="shared" si="16"/>
        <v>5289.1958404143224</v>
      </c>
      <c r="O103" s="19">
        <f t="shared" si="11"/>
        <v>92070.185000772472</v>
      </c>
      <c r="P103" s="19">
        <f t="shared" si="12"/>
        <v>177377.82640069054</v>
      </c>
      <c r="Q103" s="19">
        <f t="shared" si="13"/>
        <v>50289.195840414322</v>
      </c>
      <c r="R103" s="19">
        <f t="shared" si="17"/>
        <v>319737.20724187733</v>
      </c>
    </row>
    <row r="104" spans="5:18" x14ac:dyDescent="0.15">
      <c r="E104" s="19">
        <v>99</v>
      </c>
      <c r="F104" s="19">
        <v>1.8155360572127393</v>
      </c>
      <c r="G104" s="19">
        <v>3.4628004767728271</v>
      </c>
      <c r="H104" s="19">
        <v>2.8681610489002196</v>
      </c>
      <c r="J104" s="19">
        <f t="shared" si="14"/>
        <v>1633.9824514914653</v>
      </c>
      <c r="K104" s="19">
        <f t="shared" si="15"/>
        <v>5713.6207866751647</v>
      </c>
      <c r="L104" s="19">
        <f t="shared" si="16"/>
        <v>1290.6724720050988</v>
      </c>
      <c r="O104" s="19">
        <f t="shared" si="11"/>
        <v>91633.982451491465</v>
      </c>
      <c r="P104" s="19">
        <f t="shared" si="12"/>
        <v>170713.62078667516</v>
      </c>
      <c r="Q104" s="19">
        <f t="shared" si="13"/>
        <v>46290.672472005099</v>
      </c>
      <c r="R104" s="19">
        <f t="shared" si="17"/>
        <v>308638.27571017179</v>
      </c>
    </row>
    <row r="105" spans="5:18" x14ac:dyDescent="0.15">
      <c r="E105" s="19">
        <v>100</v>
      </c>
      <c r="F105" s="19">
        <v>1.9358932427639957</v>
      </c>
      <c r="G105" s="19">
        <v>4.4657770230332972</v>
      </c>
      <c r="H105" s="19">
        <v>5.0747094506732537</v>
      </c>
      <c r="J105" s="19">
        <f t="shared" si="14"/>
        <v>1742.3039184875961</v>
      </c>
      <c r="K105" s="19">
        <f t="shared" si="15"/>
        <v>7368.5320880049394</v>
      </c>
      <c r="L105" s="19">
        <f t="shared" si="16"/>
        <v>2283.6192528029642</v>
      </c>
      <c r="O105" s="19">
        <f t="shared" si="11"/>
        <v>91742.303918487596</v>
      </c>
      <c r="P105" s="19">
        <f t="shared" si="12"/>
        <v>172368.53208800493</v>
      </c>
      <c r="Q105" s="19">
        <f t="shared" si="13"/>
        <v>47283.619252802964</v>
      </c>
      <c r="R105" s="19">
        <f t="shared" si="17"/>
        <v>311394.45525929547</v>
      </c>
    </row>
    <row r="106" spans="5:18" x14ac:dyDescent="0.15">
      <c r="J106" s="66" t="str">
        <f ca="1">_xlfn.FORMULATEXT(J105)</f>
        <v>=(F105*$J$3)/100</v>
      </c>
      <c r="K106" s="66" t="str">
        <f t="shared" ref="K106:L106" ca="1" si="18">_xlfn.FORMULATEXT(K105)</f>
        <v>=(G105*$K$3)/100</v>
      </c>
      <c r="L106" s="66" t="str">
        <f t="shared" ca="1" si="18"/>
        <v>=(H105*$L$3)/100</v>
      </c>
      <c r="M106" s="1"/>
      <c r="O106" s="65" t="str">
        <f ca="1">_xlfn.FORMULATEXT(O105)</f>
        <v>=J$3+J105</v>
      </c>
      <c r="P106" s="65" t="str">
        <f t="shared" ref="P106:R106" ca="1" si="19">_xlfn.FORMULATEXT(P105)</f>
        <v>=K$3+K105</v>
      </c>
      <c r="Q106" s="65" t="str">
        <f t="shared" ca="1" si="19"/>
        <v>=L$3+L105</v>
      </c>
      <c r="R106" s="65" t="str">
        <f t="shared" ca="1" si="19"/>
        <v>=O105+P105+Q105</v>
      </c>
    </row>
  </sheetData>
  <mergeCells count="5">
    <mergeCell ref="A44:A48"/>
    <mergeCell ref="A51:A55"/>
    <mergeCell ref="A1:B1"/>
    <mergeCell ref="A7:B7"/>
    <mergeCell ref="O2:Q2"/>
  </mergeCells>
  <printOptions headings="1"/>
  <pageMargins left="0.74803149606299213" right="7.874015748031496E-2" top="0.74803149606299213" bottom="7.874015748031496E-2" header="7.874015748031496E-2" footer="7.874015748031496E-2"/>
  <pageSetup paperSize="9" scale="50" fitToHeight="2"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9DC1-2861-44B7-8266-66D0C4BF186B}">
  <sheetPr>
    <pageSetUpPr fitToPage="1"/>
  </sheetPr>
  <dimension ref="A1:M119"/>
  <sheetViews>
    <sheetView zoomScaleNormal="100" workbookViewId="0">
      <selection activeCell="I13" sqref="I13"/>
    </sheetView>
  </sheetViews>
  <sheetFormatPr baseColWidth="10" defaultColWidth="8.6640625" defaultRowHeight="14" x14ac:dyDescent="0.15"/>
  <cols>
    <col min="1" max="1" width="16.1640625" customWidth="1"/>
    <col min="2" max="2" width="14.6640625" customWidth="1"/>
    <col min="3" max="3" width="15.6640625" customWidth="1"/>
    <col min="5" max="7" width="16.6640625" bestFit="1" customWidth="1"/>
    <col min="8" max="8" width="11" bestFit="1" customWidth="1"/>
    <col min="9" max="9" width="18.6640625" bestFit="1" customWidth="1"/>
    <col min="10" max="10" width="14.6640625" bestFit="1" customWidth="1"/>
  </cols>
  <sheetData>
    <row r="1" spans="1:13" x14ac:dyDescent="0.15">
      <c r="A1" s="24" t="s">
        <v>55</v>
      </c>
    </row>
    <row r="3" spans="1:13" x14ac:dyDescent="0.15">
      <c r="F3" t="s">
        <v>41</v>
      </c>
      <c r="G3" s="43">
        <v>300000</v>
      </c>
    </row>
    <row r="6" spans="1:13" x14ac:dyDescent="0.15">
      <c r="L6" s="2"/>
      <c r="M6" s="1"/>
    </row>
    <row r="7" spans="1:13" x14ac:dyDescent="0.15">
      <c r="F7" s="2" t="s">
        <v>56</v>
      </c>
      <c r="G7" s="14">
        <f>AVERAGE(I19:I118)</f>
        <v>311528.11036556994</v>
      </c>
      <c r="H7" s="75" t="str">
        <f ca="1">_xlfn.FORMULATEXT(G7)</f>
        <v>=AVERAGE(I19:I118)</v>
      </c>
      <c r="L7" s="2"/>
      <c r="M7" s="1"/>
    </row>
    <row r="8" spans="1:13" x14ac:dyDescent="0.15">
      <c r="F8" s="2" t="s">
        <v>57</v>
      </c>
      <c r="G8" s="14">
        <f>_xlfn.STDEV.S(I19:I118)</f>
        <v>6956.0596383923394</v>
      </c>
      <c r="H8" s="75" t="str">
        <f t="shared" ref="H8:H9" ca="1" si="0">_xlfn.FORMULATEXT(G8)</f>
        <v>=STDEV.S(I19:I118)</v>
      </c>
      <c r="L8" s="2"/>
      <c r="M8" s="1"/>
    </row>
    <row r="9" spans="1:13" x14ac:dyDescent="0.15">
      <c r="F9" s="2" t="s">
        <v>58</v>
      </c>
      <c r="G9" s="14">
        <f>G7-G3</f>
        <v>11528.110365569941</v>
      </c>
      <c r="H9" s="75" t="str">
        <f t="shared" ca="1" si="0"/>
        <v>=G7-G3</v>
      </c>
    </row>
    <row r="12" spans="1:13" ht="15" thickBot="1" x14ac:dyDescent="0.2"/>
    <row r="13" spans="1:13" x14ac:dyDescent="0.15">
      <c r="E13" s="36" t="s">
        <v>59</v>
      </c>
      <c r="F13" s="37"/>
      <c r="G13" s="38"/>
    </row>
    <row r="14" spans="1:13" x14ac:dyDescent="0.15">
      <c r="A14" s="10"/>
      <c r="B14" s="11"/>
      <c r="C14" s="12"/>
      <c r="E14" s="39" t="s">
        <v>60</v>
      </c>
      <c r="F14">
        <v>300000</v>
      </c>
      <c r="G14" s="40"/>
      <c r="H14" s="4"/>
    </row>
    <row r="15" spans="1:13" x14ac:dyDescent="0.15">
      <c r="A15" s="5" t="s">
        <v>61</v>
      </c>
      <c r="C15" s="6"/>
      <c r="E15" s="41" t="s">
        <v>62</v>
      </c>
      <c r="F15" s="3" t="s">
        <v>39</v>
      </c>
      <c r="G15" s="42" t="s">
        <v>63</v>
      </c>
    </row>
    <row r="16" spans="1:13" x14ac:dyDescent="0.15">
      <c r="A16" s="3" t="s">
        <v>62</v>
      </c>
      <c r="B16" s="3" t="s">
        <v>39</v>
      </c>
      <c r="C16" s="3" t="s">
        <v>63</v>
      </c>
      <c r="E16" s="39">
        <v>45</v>
      </c>
      <c r="F16">
        <v>35</v>
      </c>
      <c r="G16" s="40">
        <v>20</v>
      </c>
      <c r="J16" t="s">
        <v>64</v>
      </c>
    </row>
    <row r="17" spans="1:9" x14ac:dyDescent="0.15">
      <c r="A17" s="5" t="s">
        <v>65</v>
      </c>
      <c r="B17" t="s">
        <v>66</v>
      </c>
      <c r="C17" s="6" t="s">
        <v>67</v>
      </c>
      <c r="E17" s="39">
        <f>E16/100*$F$14</f>
        <v>135000</v>
      </c>
      <c r="F17">
        <f>F16/100*$F$14</f>
        <v>105000</v>
      </c>
      <c r="G17" s="40">
        <f>G16/100*$F$14</f>
        <v>60000</v>
      </c>
      <c r="I17" s="19" t="s">
        <v>43</v>
      </c>
    </row>
    <row r="18" spans="1:9" x14ac:dyDescent="0.15">
      <c r="A18" s="7"/>
      <c r="B18" s="8"/>
      <c r="C18" s="9"/>
      <c r="E18" s="72" t="str">
        <f ca="1">_xlfn.FORMULATEXT(E17)</f>
        <v>=E16/100*$F$14</v>
      </c>
      <c r="F18" s="73" t="str">
        <f t="shared" ref="F18:G18" ca="1" si="1">_xlfn.FORMULATEXT(F17)</f>
        <v>=F16/100*$F$14</v>
      </c>
      <c r="G18" s="74" t="str">
        <f t="shared" ca="1" si="1"/>
        <v>=G16/100*$F$14</v>
      </c>
      <c r="I18" s="34" t="str">
        <f ca="1">_xlfn.FORMULATEXT(I19)</f>
        <v>=F$14+SUM(E19:G19)</v>
      </c>
    </row>
    <row r="19" spans="1:9" x14ac:dyDescent="0.15">
      <c r="A19" s="19">
        <v>1.0930955391377211</v>
      </c>
      <c r="B19" s="19">
        <v>-2.5575371738523245</v>
      </c>
      <c r="C19" s="19">
        <v>-10.376581782475114</v>
      </c>
      <c r="D19">
        <v>0.70359897613525391</v>
      </c>
      <c r="E19" s="19">
        <f t="shared" ref="E19:E50" si="2">A19*E$17/100</f>
        <v>1475.6789778359234</v>
      </c>
      <c r="F19" s="19">
        <f t="shared" ref="F19:F50" si="3">B19*F$17/100</f>
        <v>-2685.4140325449407</v>
      </c>
      <c r="G19" s="19">
        <f t="shared" ref="G19:G50" si="4">C19*G$17/100</f>
        <v>-6225.9490694850683</v>
      </c>
      <c r="I19" s="19">
        <f t="shared" ref="I19:I50" si="5">F$14+SUM(E19:G19)</f>
        <v>292564.31587580591</v>
      </c>
    </row>
    <row r="20" spans="1:9" x14ac:dyDescent="0.15">
      <c r="A20" s="19">
        <v>2.0480196149510448</v>
      </c>
      <c r="B20" s="19">
        <v>5.4001634579253732</v>
      </c>
      <c r="C20" s="19">
        <v>7.1303596074358211</v>
      </c>
      <c r="E20" s="19">
        <f t="shared" si="2"/>
        <v>2764.8264801839105</v>
      </c>
      <c r="F20" s="19">
        <f t="shared" si="3"/>
        <v>5670.1716308216428</v>
      </c>
      <c r="G20" s="19">
        <f t="shared" si="4"/>
        <v>4278.2157644614927</v>
      </c>
      <c r="I20" s="19">
        <f t="shared" si="5"/>
        <v>312713.21387546707</v>
      </c>
    </row>
    <row r="21" spans="1:9" x14ac:dyDescent="0.15">
      <c r="A21" s="19">
        <v>1.7402646840782836</v>
      </c>
      <c r="B21" s="19">
        <v>2.8355390339856967</v>
      </c>
      <c r="C21" s="19">
        <v>1.4881858747685328</v>
      </c>
      <c r="E21" s="19">
        <f t="shared" si="2"/>
        <v>2349.3573235056829</v>
      </c>
      <c r="F21" s="19">
        <f t="shared" si="3"/>
        <v>2977.3159856849816</v>
      </c>
      <c r="G21" s="19">
        <f t="shared" si="4"/>
        <v>892.91152486111969</v>
      </c>
      <c r="I21" s="19">
        <f t="shared" si="5"/>
        <v>306219.58483405178</v>
      </c>
    </row>
    <row r="22" spans="1:9" x14ac:dyDescent="0.15">
      <c r="A22" s="19">
        <v>2.2619794940983411</v>
      </c>
      <c r="B22" s="19">
        <v>7.1831624508195091</v>
      </c>
      <c r="C22" s="19">
        <v>11.05295739180292</v>
      </c>
      <c r="E22" s="19">
        <f t="shared" si="2"/>
        <v>3053.6723170327605</v>
      </c>
      <c r="F22" s="19">
        <f t="shared" si="3"/>
        <v>7542.3205733604846</v>
      </c>
      <c r="G22" s="19">
        <f t="shared" si="4"/>
        <v>6631.774435081752</v>
      </c>
      <c r="I22" s="19">
        <f t="shared" si="5"/>
        <v>317227.767325475</v>
      </c>
    </row>
    <row r="23" spans="1:9" x14ac:dyDescent="0.15">
      <c r="A23" s="19">
        <v>2.0644174633634975</v>
      </c>
      <c r="B23" s="19">
        <v>5.5368121946958127</v>
      </c>
      <c r="C23" s="19">
        <v>7.4309868283307878</v>
      </c>
      <c r="E23" s="19">
        <f t="shared" si="2"/>
        <v>2786.9635755407216</v>
      </c>
      <c r="F23" s="19">
        <f t="shared" si="3"/>
        <v>5813.6528044306033</v>
      </c>
      <c r="G23" s="19">
        <f t="shared" si="4"/>
        <v>4458.5920969984727</v>
      </c>
      <c r="I23" s="19">
        <f t="shared" si="5"/>
        <v>313059.2084769698</v>
      </c>
    </row>
    <row r="24" spans="1:9" x14ac:dyDescent="0.15">
      <c r="A24" s="19">
        <v>1.9848582774575334</v>
      </c>
      <c r="B24" s="19">
        <v>4.8738189788127784</v>
      </c>
      <c r="C24" s="19">
        <v>5.9724017533881124</v>
      </c>
      <c r="E24" s="19">
        <f t="shared" si="2"/>
        <v>2679.5586745676701</v>
      </c>
      <c r="F24" s="19">
        <f t="shared" si="3"/>
        <v>5117.5099277534173</v>
      </c>
      <c r="G24" s="19">
        <f t="shared" si="4"/>
        <v>3583.4410520328674</v>
      </c>
      <c r="I24" s="19">
        <f t="shared" si="5"/>
        <v>311380.50965435395</v>
      </c>
    </row>
    <row r="25" spans="1:9" x14ac:dyDescent="0.15">
      <c r="A25" s="19">
        <v>1.8846396920271218</v>
      </c>
      <c r="B25" s="19">
        <v>4.0386641002260149</v>
      </c>
      <c r="C25" s="19">
        <v>4.1350610204972327</v>
      </c>
      <c r="E25" s="19">
        <f t="shared" si="2"/>
        <v>2544.2635842366144</v>
      </c>
      <c r="F25" s="19">
        <f t="shared" si="3"/>
        <v>4240.5973052373156</v>
      </c>
      <c r="G25" s="19">
        <f t="shared" si="4"/>
        <v>2481.0366122983396</v>
      </c>
      <c r="I25" s="19">
        <f t="shared" si="5"/>
        <v>309265.89750177227</v>
      </c>
    </row>
    <row r="26" spans="1:9" x14ac:dyDescent="0.15">
      <c r="A26" s="19">
        <v>2.3776631274376996</v>
      </c>
      <c r="B26" s="19">
        <v>8.1471927286474966</v>
      </c>
      <c r="C26" s="19">
        <v>13.173824003024492</v>
      </c>
      <c r="E26" s="19">
        <f t="shared" si="2"/>
        <v>3209.8452220408944</v>
      </c>
      <c r="F26" s="19">
        <f t="shared" si="3"/>
        <v>8554.5523650798714</v>
      </c>
      <c r="G26" s="19">
        <f t="shared" si="4"/>
        <v>7904.2944018146954</v>
      </c>
      <c r="I26" s="19">
        <f t="shared" si="5"/>
        <v>319668.69198893546</v>
      </c>
    </row>
    <row r="27" spans="1:9" x14ac:dyDescent="0.15">
      <c r="A27" s="19">
        <v>2.277872914011823</v>
      </c>
      <c r="B27" s="19">
        <v>7.3156076167651918</v>
      </c>
      <c r="C27" s="19">
        <v>11.344336756883422</v>
      </c>
      <c r="E27" s="19">
        <f t="shared" si="2"/>
        <v>3075.1284339159611</v>
      </c>
      <c r="F27" s="19">
        <f t="shared" si="3"/>
        <v>7681.3879976034514</v>
      </c>
      <c r="G27" s="19">
        <f t="shared" si="4"/>
        <v>6806.6020541300531</v>
      </c>
      <c r="I27" s="19">
        <f t="shared" si="5"/>
        <v>317563.11848564947</v>
      </c>
    </row>
    <row r="28" spans="1:9" x14ac:dyDescent="0.15">
      <c r="A28" s="19">
        <v>2.1991530780287576</v>
      </c>
      <c r="B28" s="19">
        <v>6.6596089835729799</v>
      </c>
      <c r="C28" s="19">
        <v>9.9011397638605558</v>
      </c>
      <c r="E28" s="19">
        <f t="shared" si="2"/>
        <v>2968.8566553388227</v>
      </c>
      <c r="F28" s="19">
        <f t="shared" si="3"/>
        <v>6992.5894327516298</v>
      </c>
      <c r="G28" s="19">
        <f t="shared" si="4"/>
        <v>5940.6838583163335</v>
      </c>
      <c r="I28" s="19">
        <f t="shared" si="5"/>
        <v>315902.12994640681</v>
      </c>
    </row>
    <row r="29" spans="1:9" x14ac:dyDescent="0.15">
      <c r="A29" s="19">
        <v>1.7185834672563942</v>
      </c>
      <c r="B29" s="19">
        <v>2.6548622271366185</v>
      </c>
      <c r="C29" s="19">
        <v>1.0906968997005606</v>
      </c>
      <c r="E29" s="19">
        <f t="shared" si="2"/>
        <v>2320.0876807961322</v>
      </c>
      <c r="F29" s="19">
        <f t="shared" si="3"/>
        <v>2787.6053384934494</v>
      </c>
      <c r="G29" s="19">
        <f t="shared" si="4"/>
        <v>654.41813982033636</v>
      </c>
      <c r="I29" s="19">
        <f t="shared" si="5"/>
        <v>305762.11115910992</v>
      </c>
    </row>
    <row r="30" spans="1:9" x14ac:dyDescent="0.15">
      <c r="A30" s="19">
        <v>2.3226753051421838</v>
      </c>
      <c r="B30" s="19">
        <v>7.6889608761848649</v>
      </c>
      <c r="C30" s="19">
        <v>12.165713927606703</v>
      </c>
      <c r="E30" s="19">
        <f t="shared" si="2"/>
        <v>3135.6116619419481</v>
      </c>
      <c r="F30" s="19">
        <f t="shared" si="3"/>
        <v>8073.4089199941081</v>
      </c>
      <c r="G30" s="19">
        <f t="shared" si="4"/>
        <v>7299.4283565640217</v>
      </c>
      <c r="I30" s="19">
        <f t="shared" si="5"/>
        <v>318508.44893850008</v>
      </c>
    </row>
    <row r="31" spans="1:9" x14ac:dyDescent="0.15">
      <c r="A31" s="19">
        <v>2.1664552655711304</v>
      </c>
      <c r="B31" s="19">
        <v>6.3871272130927537</v>
      </c>
      <c r="C31" s="19">
        <v>9.3016798688040581</v>
      </c>
      <c r="E31" s="19">
        <f t="shared" si="2"/>
        <v>2924.7146085210261</v>
      </c>
      <c r="F31" s="19">
        <f t="shared" si="3"/>
        <v>6706.4835737473913</v>
      </c>
      <c r="G31" s="19">
        <f t="shared" si="4"/>
        <v>5581.0079212824348</v>
      </c>
      <c r="I31" s="19">
        <f t="shared" si="5"/>
        <v>315212.20610355085</v>
      </c>
    </row>
    <row r="32" spans="1:9" x14ac:dyDescent="0.15">
      <c r="A32" s="19">
        <v>2.0101799741969444</v>
      </c>
      <c r="B32" s="19">
        <v>5.0848331183078699</v>
      </c>
      <c r="C32" s="19">
        <v>6.4366328602773137</v>
      </c>
      <c r="E32" s="19">
        <f t="shared" si="2"/>
        <v>2713.7429651658749</v>
      </c>
      <c r="F32" s="19">
        <f t="shared" si="3"/>
        <v>5339.0747742232634</v>
      </c>
      <c r="G32" s="19">
        <f t="shared" si="4"/>
        <v>3861.9797161663882</v>
      </c>
      <c r="I32" s="19">
        <f t="shared" si="5"/>
        <v>311914.79745555553</v>
      </c>
    </row>
    <row r="33" spans="1:9" x14ac:dyDescent="0.15">
      <c r="A33" s="19">
        <v>1.846116566004639</v>
      </c>
      <c r="B33" s="19">
        <v>3.7176380500386585</v>
      </c>
      <c r="C33" s="19">
        <v>3.4288037100850488</v>
      </c>
      <c r="E33" s="19">
        <f t="shared" si="2"/>
        <v>2492.2573641062627</v>
      </c>
      <c r="F33" s="19">
        <f t="shared" si="3"/>
        <v>3903.5199525405915</v>
      </c>
      <c r="G33" s="19">
        <f t="shared" si="4"/>
        <v>2057.2822260510293</v>
      </c>
      <c r="I33" s="19">
        <f t="shared" si="5"/>
        <v>308453.05954269785</v>
      </c>
    </row>
    <row r="34" spans="1:9" x14ac:dyDescent="0.15">
      <c r="A34" s="19">
        <v>1.3488527252338827</v>
      </c>
      <c r="B34" s="19">
        <v>-0.42622728971764445</v>
      </c>
      <c r="C34" s="19">
        <v>-5.6877000373788178</v>
      </c>
      <c r="E34" s="19">
        <f t="shared" si="2"/>
        <v>1820.9511790657416</v>
      </c>
      <c r="F34" s="19">
        <f t="shared" si="3"/>
        <v>-447.53865420352668</v>
      </c>
      <c r="G34" s="19">
        <f t="shared" si="4"/>
        <v>-3412.6200224272907</v>
      </c>
      <c r="I34" s="19">
        <f t="shared" si="5"/>
        <v>297960.79250243492</v>
      </c>
    </row>
    <row r="35" spans="1:9" x14ac:dyDescent="0.15">
      <c r="A35" s="19">
        <v>1.6003507476416416</v>
      </c>
      <c r="B35" s="19">
        <v>1.6695895636803471</v>
      </c>
      <c r="C35" s="19">
        <v>-1.0769029599032365</v>
      </c>
      <c r="E35" s="19">
        <f t="shared" si="2"/>
        <v>2160.4735093162162</v>
      </c>
      <c r="F35" s="19">
        <f t="shared" si="3"/>
        <v>1753.0690418643644</v>
      </c>
      <c r="G35" s="19">
        <f t="shared" si="4"/>
        <v>-646.14177594194189</v>
      </c>
      <c r="I35" s="19">
        <f t="shared" si="5"/>
        <v>303267.40077523864</v>
      </c>
    </row>
    <row r="36" spans="1:9" x14ac:dyDescent="0.15">
      <c r="A36" s="19">
        <v>1.8960249740775907</v>
      </c>
      <c r="B36" s="19">
        <v>4.1335414506465895</v>
      </c>
      <c r="C36" s="19">
        <v>4.3437911914224969</v>
      </c>
      <c r="E36" s="19">
        <f t="shared" si="2"/>
        <v>2559.6337150047475</v>
      </c>
      <c r="F36" s="19">
        <f t="shared" si="3"/>
        <v>4340.218523178919</v>
      </c>
      <c r="G36" s="19">
        <f t="shared" si="4"/>
        <v>2606.2747148534982</v>
      </c>
      <c r="I36" s="19">
        <f t="shared" si="5"/>
        <v>309506.12695303716</v>
      </c>
    </row>
    <row r="37" spans="1:9" x14ac:dyDescent="0.15">
      <c r="A37" s="19">
        <v>1.6855913195759058</v>
      </c>
      <c r="B37" s="19">
        <v>2.3799276631325483</v>
      </c>
      <c r="C37" s="19">
        <v>0.48584085889160633</v>
      </c>
      <c r="E37" s="19">
        <f t="shared" si="2"/>
        <v>2275.5482814274728</v>
      </c>
      <c r="F37" s="19">
        <f t="shared" si="3"/>
        <v>2498.9240462891757</v>
      </c>
      <c r="G37" s="19">
        <f t="shared" si="4"/>
        <v>291.5045153349638</v>
      </c>
      <c r="I37" s="19">
        <f t="shared" si="5"/>
        <v>305065.97684305161</v>
      </c>
    </row>
    <row r="38" spans="1:9" x14ac:dyDescent="0.15">
      <c r="A38" s="19">
        <v>1.7088502823316958</v>
      </c>
      <c r="B38" s="19">
        <v>2.5737523527641315</v>
      </c>
      <c r="C38" s="19">
        <v>0.9122551760810893</v>
      </c>
      <c r="E38" s="19">
        <f t="shared" si="2"/>
        <v>2306.9478811477893</v>
      </c>
      <c r="F38" s="19">
        <f t="shared" si="3"/>
        <v>2702.4399704023381</v>
      </c>
      <c r="G38" s="19">
        <f t="shared" si="4"/>
        <v>547.35310564865358</v>
      </c>
      <c r="I38" s="19">
        <f t="shared" si="5"/>
        <v>305556.74095719878</v>
      </c>
    </row>
    <row r="39" spans="1:9" x14ac:dyDescent="0.15">
      <c r="A39" s="19">
        <v>2.6822792784078047</v>
      </c>
      <c r="B39" s="19">
        <v>10.685660653398372</v>
      </c>
      <c r="C39" s="19">
        <v>18.758453437476419</v>
      </c>
      <c r="E39" s="19">
        <f t="shared" si="2"/>
        <v>3621.0770258505363</v>
      </c>
      <c r="F39" s="19">
        <f t="shared" si="3"/>
        <v>11219.943686068291</v>
      </c>
      <c r="G39" s="19">
        <f t="shared" si="4"/>
        <v>11255.072062485851</v>
      </c>
      <c r="I39" s="19">
        <f t="shared" si="5"/>
        <v>326096.09277440468</v>
      </c>
    </row>
    <row r="40" spans="1:9" x14ac:dyDescent="0.15">
      <c r="A40" s="19">
        <v>1.9590345396427438</v>
      </c>
      <c r="B40" s="19">
        <v>4.6586211636895314</v>
      </c>
      <c r="C40" s="19">
        <v>5.498966560116969</v>
      </c>
      <c r="E40" s="19">
        <f t="shared" si="2"/>
        <v>2644.6966285177041</v>
      </c>
      <c r="F40" s="19">
        <f t="shared" si="3"/>
        <v>4891.552221874008</v>
      </c>
      <c r="G40" s="19">
        <f t="shared" si="4"/>
        <v>3299.3799360701814</v>
      </c>
      <c r="I40" s="19">
        <f t="shared" si="5"/>
        <v>310835.62878646189</v>
      </c>
    </row>
    <row r="41" spans="1:9" x14ac:dyDescent="0.15">
      <c r="A41" s="19">
        <v>1.6461251612345222</v>
      </c>
      <c r="B41" s="19">
        <v>2.0510430102876853</v>
      </c>
      <c r="C41" s="19">
        <v>-0.2377053773670923</v>
      </c>
      <c r="E41" s="19">
        <f t="shared" si="2"/>
        <v>2222.268967666605</v>
      </c>
      <c r="F41" s="19">
        <f t="shared" si="3"/>
        <v>2153.5951608020696</v>
      </c>
      <c r="G41" s="19">
        <f t="shared" si="4"/>
        <v>-142.62322642025538</v>
      </c>
      <c r="I41" s="19">
        <f t="shared" si="5"/>
        <v>304233.24090204842</v>
      </c>
    </row>
    <row r="42" spans="1:9" x14ac:dyDescent="0.15">
      <c r="A42" s="19">
        <v>1.2201774148270488</v>
      </c>
      <c r="B42" s="19">
        <v>-1.4985215431079268</v>
      </c>
      <c r="C42" s="19">
        <v>-8.0467473948374391</v>
      </c>
      <c r="E42" s="19">
        <f t="shared" si="2"/>
        <v>1647.2395100165159</v>
      </c>
      <c r="F42" s="19">
        <f t="shared" si="3"/>
        <v>-1573.4476202633232</v>
      </c>
      <c r="G42" s="19">
        <f t="shared" si="4"/>
        <v>-4828.0484369024634</v>
      </c>
      <c r="I42" s="19">
        <f t="shared" si="5"/>
        <v>295245.74345285073</v>
      </c>
    </row>
    <row r="43" spans="1:9" x14ac:dyDescent="0.15">
      <c r="A43" s="19">
        <v>1.2892189766280353</v>
      </c>
      <c r="B43" s="19">
        <v>-0.92317519476637244</v>
      </c>
      <c r="C43" s="19">
        <v>-6.7809854284860194</v>
      </c>
      <c r="E43" s="19">
        <f t="shared" si="2"/>
        <v>1740.4456184478477</v>
      </c>
      <c r="F43" s="19">
        <f t="shared" si="3"/>
        <v>-969.33395450469106</v>
      </c>
      <c r="G43" s="19">
        <f t="shared" si="4"/>
        <v>-4068.5912570916116</v>
      </c>
      <c r="I43" s="19">
        <f t="shared" si="5"/>
        <v>296702.52040685154</v>
      </c>
    </row>
    <row r="44" spans="1:9" x14ac:dyDescent="0.15">
      <c r="A44" s="19">
        <v>1.9066841382955317</v>
      </c>
      <c r="B44" s="19">
        <v>4.2223678191294312</v>
      </c>
      <c r="C44" s="19">
        <v>4.5392092020847485</v>
      </c>
      <c r="E44" s="19">
        <f t="shared" si="2"/>
        <v>2574.0235866989678</v>
      </c>
      <c r="F44" s="19">
        <f t="shared" si="3"/>
        <v>4433.4862100859027</v>
      </c>
      <c r="G44" s="19">
        <f t="shared" si="4"/>
        <v>2723.5255212508491</v>
      </c>
      <c r="I44" s="19">
        <f t="shared" si="5"/>
        <v>309731.03531803575</v>
      </c>
    </row>
    <row r="45" spans="1:9" x14ac:dyDescent="0.15">
      <c r="A45" s="19">
        <v>2.0238353550230386</v>
      </c>
      <c r="B45" s="19">
        <v>5.1986279585253214</v>
      </c>
      <c r="C45" s="19">
        <v>6.6869815087557072</v>
      </c>
      <c r="E45" s="19">
        <f t="shared" si="2"/>
        <v>2732.1777292811021</v>
      </c>
      <c r="F45" s="19">
        <f t="shared" si="3"/>
        <v>5458.5593564515875</v>
      </c>
      <c r="G45" s="19">
        <f t="shared" si="4"/>
        <v>4012.1889052534243</v>
      </c>
      <c r="I45" s="19">
        <f t="shared" si="5"/>
        <v>312202.92599098611</v>
      </c>
    </row>
    <row r="46" spans="1:9" x14ac:dyDescent="0.15">
      <c r="A46" s="19">
        <v>2.053817302614334</v>
      </c>
      <c r="B46" s="19">
        <v>5.448477521786117</v>
      </c>
      <c r="C46" s="19">
        <v>7.2366505479294574</v>
      </c>
      <c r="E46" s="19">
        <f t="shared" si="2"/>
        <v>2772.653358529351</v>
      </c>
      <c r="F46" s="19">
        <f t="shared" si="3"/>
        <v>5720.9013978754228</v>
      </c>
      <c r="G46" s="19">
        <f t="shared" si="4"/>
        <v>4341.9903287576744</v>
      </c>
      <c r="I46" s="19">
        <f t="shared" si="5"/>
        <v>312835.54508516245</v>
      </c>
    </row>
    <row r="47" spans="1:9" x14ac:dyDescent="0.15">
      <c r="A47" s="19">
        <v>2.0773746933191433</v>
      </c>
      <c r="B47" s="19">
        <v>5.6447891109928605</v>
      </c>
      <c r="C47" s="19">
        <v>7.6685360441842931</v>
      </c>
      <c r="E47" s="19">
        <f t="shared" si="2"/>
        <v>2804.4558359808434</v>
      </c>
      <c r="F47" s="19">
        <f t="shared" si="3"/>
        <v>5927.0285665425026</v>
      </c>
      <c r="G47" s="19">
        <f t="shared" si="4"/>
        <v>4601.1216265105759</v>
      </c>
      <c r="I47" s="19">
        <f t="shared" si="5"/>
        <v>313332.60602903389</v>
      </c>
    </row>
    <row r="48" spans="1:9" x14ac:dyDescent="0.15">
      <c r="A48" s="19">
        <v>2.0815816747490317</v>
      </c>
      <c r="B48" s="19">
        <v>5.6798472895752639</v>
      </c>
      <c r="C48" s="19">
        <v>7.7456640370655805</v>
      </c>
      <c r="E48" s="19">
        <f t="shared" si="2"/>
        <v>2810.1352609111927</v>
      </c>
      <c r="F48" s="19">
        <f t="shared" si="3"/>
        <v>5963.8396540540271</v>
      </c>
      <c r="G48" s="19">
        <f t="shared" si="4"/>
        <v>4647.3984222393483</v>
      </c>
      <c r="I48" s="19">
        <f t="shared" si="5"/>
        <v>313421.37333720457</v>
      </c>
    </row>
    <row r="49" spans="1:9" x14ac:dyDescent="0.15">
      <c r="A49" s="19">
        <v>1.709254097979283</v>
      </c>
      <c r="B49" s="19">
        <v>2.5771174831606913</v>
      </c>
      <c r="C49" s="19">
        <v>0.91965846295352094</v>
      </c>
      <c r="E49" s="19">
        <f t="shared" si="2"/>
        <v>2307.493032272032</v>
      </c>
      <c r="F49" s="19">
        <f t="shared" si="3"/>
        <v>2705.9733573187259</v>
      </c>
      <c r="G49" s="19">
        <f t="shared" si="4"/>
        <v>551.79507777211256</v>
      </c>
      <c r="I49" s="19">
        <f t="shared" si="5"/>
        <v>305565.26146736287</v>
      </c>
    </row>
    <row r="50" spans="1:9" x14ac:dyDescent="0.15">
      <c r="A50" s="19">
        <v>2.1262367277377052</v>
      </c>
      <c r="B50" s="19">
        <v>6.0519727311475435</v>
      </c>
      <c r="C50" s="19">
        <v>8.5643400085245958</v>
      </c>
      <c r="E50" s="19">
        <f t="shared" si="2"/>
        <v>2870.4195824459021</v>
      </c>
      <c r="F50" s="19">
        <f t="shared" si="3"/>
        <v>6354.5713677049207</v>
      </c>
      <c r="G50" s="19">
        <f t="shared" si="4"/>
        <v>5138.6040051147575</v>
      </c>
      <c r="I50" s="19">
        <f t="shared" si="5"/>
        <v>314363.59495526558</v>
      </c>
    </row>
    <row r="51" spans="1:9" x14ac:dyDescent="0.15">
      <c r="A51" s="19">
        <v>1.9628994373779278</v>
      </c>
      <c r="B51" s="19">
        <v>4.6908286448160652</v>
      </c>
      <c r="C51" s="19">
        <v>5.5698230185953435</v>
      </c>
      <c r="E51" s="19">
        <f t="shared" ref="E51:E82" si="6">A51*E$17/100</f>
        <v>2649.9142404602026</v>
      </c>
      <c r="F51" s="19">
        <f t="shared" ref="F51:F82" si="7">B51*F$17/100</f>
        <v>4925.3700770568685</v>
      </c>
      <c r="G51" s="19">
        <f t="shared" ref="G51:G82" si="8">C51*G$17/100</f>
        <v>3341.8938111572061</v>
      </c>
      <c r="I51" s="19">
        <f t="shared" ref="I51:I82" si="9">F$14+SUM(E51:G51)</f>
        <v>310917.17812867428</v>
      </c>
    </row>
    <row r="52" spans="1:9" x14ac:dyDescent="0.15">
      <c r="A52" s="19">
        <v>1.8861212588963099</v>
      </c>
      <c r="B52" s="19">
        <v>4.0510104908025824</v>
      </c>
      <c r="C52" s="19">
        <v>4.1622230797656812</v>
      </c>
      <c r="E52" s="19">
        <f t="shared" si="6"/>
        <v>2546.2636995100183</v>
      </c>
      <c r="F52" s="19">
        <f t="shared" si="7"/>
        <v>4253.5610153427115</v>
      </c>
      <c r="G52" s="19">
        <f t="shared" si="8"/>
        <v>2497.3338478594087</v>
      </c>
      <c r="I52" s="19">
        <f t="shared" si="9"/>
        <v>309297.15856271214</v>
      </c>
    </row>
    <row r="53" spans="1:9" x14ac:dyDescent="0.15">
      <c r="A53" s="19">
        <v>1.525962721236283</v>
      </c>
      <c r="B53" s="19">
        <v>1.0496893436356913</v>
      </c>
      <c r="C53" s="19">
        <v>-2.4406834440014791</v>
      </c>
      <c r="E53" s="19">
        <f t="shared" si="6"/>
        <v>2060.049673668982</v>
      </c>
      <c r="F53" s="19">
        <f t="shared" si="7"/>
        <v>1102.1738108174759</v>
      </c>
      <c r="G53" s="19">
        <f t="shared" si="8"/>
        <v>-1464.4100664008874</v>
      </c>
      <c r="I53" s="19">
        <f t="shared" si="9"/>
        <v>301697.81341808557</v>
      </c>
    </row>
    <row r="54" spans="1:9" x14ac:dyDescent="0.15">
      <c r="A54" s="19">
        <v>2.0819868546386715</v>
      </c>
      <c r="B54" s="19">
        <v>5.6832237886555959</v>
      </c>
      <c r="C54" s="19">
        <v>7.7530923350423109</v>
      </c>
      <c r="E54" s="19">
        <f t="shared" si="6"/>
        <v>2810.6822537622065</v>
      </c>
      <c r="F54" s="19">
        <f t="shared" si="7"/>
        <v>5967.3849780883756</v>
      </c>
      <c r="G54" s="19">
        <f t="shared" si="8"/>
        <v>4651.8554010253865</v>
      </c>
      <c r="I54" s="19">
        <f t="shared" si="9"/>
        <v>313429.92263287597</v>
      </c>
    </row>
    <row r="55" spans="1:9" x14ac:dyDescent="0.15">
      <c r="A55" s="19">
        <v>2.2350350314372918</v>
      </c>
      <c r="B55" s="19">
        <v>6.9586252619774314</v>
      </c>
      <c r="C55" s="19">
        <v>10.558975576350349</v>
      </c>
      <c r="E55" s="19">
        <f t="shared" si="6"/>
        <v>3017.2972924403439</v>
      </c>
      <c r="F55" s="19">
        <f t="shared" si="7"/>
        <v>7306.5565250763029</v>
      </c>
      <c r="G55" s="19">
        <f t="shared" si="8"/>
        <v>6335.3853458102094</v>
      </c>
      <c r="I55" s="19">
        <f t="shared" si="9"/>
        <v>316659.23916332686</v>
      </c>
    </row>
    <row r="56" spans="1:9" x14ac:dyDescent="0.15">
      <c r="A56" s="19">
        <v>2.2552899331931258</v>
      </c>
      <c r="B56" s="19">
        <v>7.1274161099427147</v>
      </c>
      <c r="C56" s="19">
        <v>10.930315441873972</v>
      </c>
      <c r="E56" s="19">
        <f t="shared" si="6"/>
        <v>3044.6414098107198</v>
      </c>
      <c r="F56" s="19">
        <f t="shared" si="7"/>
        <v>7483.7869154398504</v>
      </c>
      <c r="G56" s="19">
        <f t="shared" si="8"/>
        <v>6558.1892651243834</v>
      </c>
      <c r="I56" s="19">
        <f t="shared" si="9"/>
        <v>317086.61759037495</v>
      </c>
    </row>
    <row r="57" spans="1:9" x14ac:dyDescent="0.15">
      <c r="A57" s="19">
        <v>2.0149578909258707</v>
      </c>
      <c r="B57" s="19">
        <v>5.1246490910489229</v>
      </c>
      <c r="C57" s="19">
        <v>6.5242280003076303</v>
      </c>
      <c r="E57" s="19">
        <f t="shared" si="6"/>
        <v>2720.1931527499255</v>
      </c>
      <c r="F57" s="19">
        <f t="shared" si="7"/>
        <v>5380.8815456013681</v>
      </c>
      <c r="G57" s="19">
        <f t="shared" si="8"/>
        <v>3914.5368001845782</v>
      </c>
      <c r="I57" s="19">
        <f t="shared" si="9"/>
        <v>312015.61149853584</v>
      </c>
    </row>
    <row r="58" spans="1:9" x14ac:dyDescent="0.15">
      <c r="A58" s="19">
        <v>1.8443601043618401</v>
      </c>
      <c r="B58" s="19">
        <v>3.7030008696820005</v>
      </c>
      <c r="C58" s="19">
        <v>3.3966019133004011</v>
      </c>
      <c r="E58" s="19">
        <f t="shared" si="6"/>
        <v>2489.8861408884841</v>
      </c>
      <c r="F58" s="19">
        <f t="shared" si="7"/>
        <v>3888.1509131661005</v>
      </c>
      <c r="G58" s="19">
        <f t="shared" si="8"/>
        <v>2037.9611479802406</v>
      </c>
      <c r="I58" s="19">
        <f t="shared" si="9"/>
        <v>308415.99820203485</v>
      </c>
    </row>
    <row r="59" spans="1:9" x14ac:dyDescent="0.15">
      <c r="A59" s="19">
        <v>2.3465263489488279</v>
      </c>
      <c r="B59" s="19">
        <v>7.8877195745735662</v>
      </c>
      <c r="C59" s="19">
        <v>12.602983064061846</v>
      </c>
      <c r="E59" s="19">
        <f t="shared" si="6"/>
        <v>3167.8105710809177</v>
      </c>
      <c r="F59" s="19">
        <f t="shared" si="7"/>
        <v>8282.1055533022445</v>
      </c>
      <c r="G59" s="19">
        <f t="shared" si="8"/>
        <v>7561.7898384371074</v>
      </c>
      <c r="I59" s="19">
        <f t="shared" si="9"/>
        <v>319011.70596282027</v>
      </c>
    </row>
    <row r="60" spans="1:9" x14ac:dyDescent="0.15">
      <c r="A60" s="19">
        <v>2.1808371052902658</v>
      </c>
      <c r="B60" s="19">
        <v>6.5069758774188813</v>
      </c>
      <c r="C60" s="19">
        <v>9.5653469303215388</v>
      </c>
      <c r="E60" s="19">
        <f t="shared" si="6"/>
        <v>2944.1300921418588</v>
      </c>
      <c r="F60" s="19">
        <f t="shared" si="7"/>
        <v>6832.3246712898253</v>
      </c>
      <c r="G60" s="19">
        <f t="shared" si="8"/>
        <v>5739.2081581929233</v>
      </c>
      <c r="I60" s="19">
        <f t="shared" si="9"/>
        <v>315515.66292162461</v>
      </c>
    </row>
    <row r="61" spans="1:9" x14ac:dyDescent="0.15">
      <c r="A61" s="19">
        <v>2.5114925443194807</v>
      </c>
      <c r="B61" s="19">
        <v>9.2624378693290055</v>
      </c>
      <c r="C61" s="19">
        <v>15.627363312523812</v>
      </c>
      <c r="E61" s="19">
        <f t="shared" si="6"/>
        <v>3390.5149348312989</v>
      </c>
      <c r="F61" s="19">
        <f t="shared" si="7"/>
        <v>9725.5597627954558</v>
      </c>
      <c r="G61" s="19">
        <f t="shared" si="8"/>
        <v>9376.4179875142872</v>
      </c>
      <c r="I61" s="19">
        <f t="shared" si="9"/>
        <v>322492.49268514104</v>
      </c>
    </row>
    <row r="62" spans="1:9" x14ac:dyDescent="0.15">
      <c r="A62" s="19">
        <v>2.4333869583206251</v>
      </c>
      <c r="B62" s="19">
        <v>8.6115579860052094</v>
      </c>
      <c r="C62" s="19">
        <v>14.195427569211461</v>
      </c>
      <c r="E62" s="19">
        <f t="shared" si="6"/>
        <v>3285.0723937328439</v>
      </c>
      <c r="F62" s="19">
        <f t="shared" si="7"/>
        <v>9042.1358853054699</v>
      </c>
      <c r="G62" s="19">
        <f t="shared" si="8"/>
        <v>8517.2565415268764</v>
      </c>
      <c r="I62" s="19">
        <f t="shared" si="9"/>
        <v>320844.46482056519</v>
      </c>
    </row>
    <row r="63" spans="1:9" x14ac:dyDescent="0.15">
      <c r="A63" s="19">
        <v>2.0296415691991569</v>
      </c>
      <c r="B63" s="19">
        <v>5.2470130766596412</v>
      </c>
      <c r="C63" s="19">
        <v>6.7934287686512107</v>
      </c>
      <c r="E63" s="19">
        <f t="shared" si="6"/>
        <v>2740.0161184188619</v>
      </c>
      <c r="F63" s="19">
        <f t="shared" si="7"/>
        <v>5509.3637304926233</v>
      </c>
      <c r="G63" s="19">
        <f t="shared" si="8"/>
        <v>4076.0572611907264</v>
      </c>
      <c r="I63" s="19">
        <f t="shared" si="9"/>
        <v>312325.43711010221</v>
      </c>
    </row>
    <row r="64" spans="1:9" x14ac:dyDescent="0.15">
      <c r="A64" s="19">
        <v>1.6790381828759564</v>
      </c>
      <c r="B64" s="19">
        <v>2.3253181906329701</v>
      </c>
      <c r="C64" s="19">
        <v>0.36570001939253416</v>
      </c>
      <c r="E64" s="19">
        <f t="shared" si="6"/>
        <v>2266.7015468825412</v>
      </c>
      <c r="F64" s="19">
        <f t="shared" si="7"/>
        <v>2441.5841001646186</v>
      </c>
      <c r="G64" s="19">
        <f t="shared" si="8"/>
        <v>219.4200116355205</v>
      </c>
      <c r="I64" s="19">
        <f t="shared" si="9"/>
        <v>304927.70565868268</v>
      </c>
    </row>
    <row r="65" spans="1:9" x14ac:dyDescent="0.15">
      <c r="A65" s="19">
        <v>1.9714423211116809</v>
      </c>
      <c r="B65" s="19">
        <v>4.7620193425973412</v>
      </c>
      <c r="C65" s="19">
        <v>5.7264425537141506</v>
      </c>
      <c r="E65" s="19">
        <f t="shared" si="6"/>
        <v>2661.4471335007693</v>
      </c>
      <c r="F65" s="19">
        <f t="shared" si="7"/>
        <v>5000.1203097272082</v>
      </c>
      <c r="G65" s="19">
        <f t="shared" si="8"/>
        <v>3435.8655322284903</v>
      </c>
      <c r="I65" s="19">
        <f t="shared" si="9"/>
        <v>311097.43297545647</v>
      </c>
    </row>
    <row r="66" spans="1:9" x14ac:dyDescent="0.15">
      <c r="A66" s="19">
        <v>1.783576640766114</v>
      </c>
      <c r="B66" s="19">
        <v>3.1964720063842833</v>
      </c>
      <c r="C66" s="19">
        <v>2.2822384140454233</v>
      </c>
      <c r="E66" s="19">
        <f t="shared" si="6"/>
        <v>2407.8284650342539</v>
      </c>
      <c r="F66" s="19">
        <f t="shared" si="7"/>
        <v>3356.2956067034975</v>
      </c>
      <c r="G66" s="19">
        <f t="shared" si="8"/>
        <v>1369.343048427254</v>
      </c>
      <c r="I66" s="19">
        <f t="shared" si="9"/>
        <v>307133.46712016501</v>
      </c>
    </row>
    <row r="67" spans="1:9" x14ac:dyDescent="0.15">
      <c r="A67" s="19">
        <v>2.3271309196861694</v>
      </c>
      <c r="B67" s="19">
        <v>7.7260909973847447</v>
      </c>
      <c r="C67" s="19">
        <v>12.247400194246438</v>
      </c>
      <c r="E67" s="19">
        <f t="shared" si="6"/>
        <v>3141.6267415763286</v>
      </c>
      <c r="F67" s="19">
        <f t="shared" si="7"/>
        <v>8112.3955472539819</v>
      </c>
      <c r="G67" s="19">
        <f t="shared" si="8"/>
        <v>7348.440116547863</v>
      </c>
      <c r="I67" s="19">
        <f t="shared" si="9"/>
        <v>318602.46240537817</v>
      </c>
    </row>
    <row r="68" spans="1:9" x14ac:dyDescent="0.15">
      <c r="A68" s="19">
        <v>1.7576580881286645</v>
      </c>
      <c r="B68" s="19">
        <v>2.9804840677388711</v>
      </c>
      <c r="C68" s="19">
        <v>1.8070649490255164</v>
      </c>
      <c r="E68" s="19">
        <f t="shared" si="6"/>
        <v>2372.8384189736971</v>
      </c>
      <c r="F68" s="19">
        <f t="shared" si="7"/>
        <v>3129.5082711258146</v>
      </c>
      <c r="G68" s="19">
        <f t="shared" si="8"/>
        <v>1084.2389694153098</v>
      </c>
      <c r="I68" s="19">
        <f t="shared" si="9"/>
        <v>306586.58565951482</v>
      </c>
    </row>
    <row r="69" spans="1:9" x14ac:dyDescent="0.15">
      <c r="A69" s="19">
        <v>2.2313099685125053</v>
      </c>
      <c r="B69" s="19">
        <v>6.9275830709375441</v>
      </c>
      <c r="C69" s="19">
        <v>10.490682756062597</v>
      </c>
      <c r="E69" s="19">
        <f t="shared" si="6"/>
        <v>3012.2684574918821</v>
      </c>
      <c r="F69" s="19">
        <f t="shared" si="7"/>
        <v>7273.9622244844213</v>
      </c>
      <c r="G69" s="19">
        <f t="shared" si="8"/>
        <v>6294.4096536375582</v>
      </c>
      <c r="I69" s="19">
        <f t="shared" si="9"/>
        <v>316580.64033561386</v>
      </c>
    </row>
    <row r="70" spans="1:9" x14ac:dyDescent="0.15">
      <c r="A70" s="19">
        <v>2.3028767423529644</v>
      </c>
      <c r="B70" s="19">
        <v>7.5239728529413696</v>
      </c>
      <c r="C70" s="19">
        <v>11.802740276471013</v>
      </c>
      <c r="E70" s="19">
        <f t="shared" si="6"/>
        <v>3108.8836021765019</v>
      </c>
      <c r="F70" s="19">
        <f t="shared" si="7"/>
        <v>7900.1714955884381</v>
      </c>
      <c r="G70" s="19">
        <f t="shared" si="8"/>
        <v>7081.6441658826079</v>
      </c>
      <c r="I70" s="19">
        <f t="shared" si="9"/>
        <v>318090.69926364755</v>
      </c>
    </row>
    <row r="71" spans="1:9" x14ac:dyDescent="0.15">
      <c r="A71" s="19">
        <v>2.8178249117918313</v>
      </c>
      <c r="B71" s="19">
        <v>11.81520759826526</v>
      </c>
      <c r="C71" s="19">
        <v>21.243456716183573</v>
      </c>
      <c r="E71" s="19">
        <f t="shared" si="6"/>
        <v>3804.0636309189722</v>
      </c>
      <c r="F71" s="19">
        <f t="shared" si="7"/>
        <v>12405.967978178523</v>
      </c>
      <c r="G71" s="19">
        <f t="shared" si="8"/>
        <v>12746.074029710144</v>
      </c>
      <c r="I71" s="19">
        <f t="shared" si="9"/>
        <v>328956.10563880764</v>
      </c>
    </row>
    <row r="72" spans="1:9" x14ac:dyDescent="0.15">
      <c r="A72" s="19">
        <v>3.0281801223754883</v>
      </c>
      <c r="B72" s="19">
        <v>13.568167686462402</v>
      </c>
      <c r="C72" s="19">
        <v>25.099968910217285</v>
      </c>
      <c r="E72" s="19">
        <f t="shared" si="6"/>
        <v>4088.0431652069092</v>
      </c>
      <c r="F72" s="19">
        <f t="shared" si="7"/>
        <v>14246.576070785522</v>
      </c>
      <c r="G72" s="19">
        <f t="shared" si="8"/>
        <v>15059.981346130371</v>
      </c>
      <c r="I72" s="19">
        <f t="shared" si="9"/>
        <v>333394.6005821228</v>
      </c>
    </row>
    <row r="73" spans="1:9" x14ac:dyDescent="0.15">
      <c r="A73" s="19">
        <v>2.0849687467052718</v>
      </c>
      <c r="B73" s="19">
        <v>5.7080728892105981</v>
      </c>
      <c r="C73" s="19">
        <v>7.8077603562633158</v>
      </c>
      <c r="E73" s="19">
        <f t="shared" si="6"/>
        <v>2814.7078080521169</v>
      </c>
      <c r="F73" s="19">
        <f t="shared" si="7"/>
        <v>5993.4765336711289</v>
      </c>
      <c r="G73" s="19">
        <f t="shared" si="8"/>
        <v>4684.6562137579895</v>
      </c>
      <c r="I73" s="19">
        <f t="shared" si="9"/>
        <v>313492.84055548126</v>
      </c>
    </row>
    <row r="74" spans="1:9" x14ac:dyDescent="0.15">
      <c r="A74" s="19">
        <v>1.9181086423050147</v>
      </c>
      <c r="B74" s="19">
        <v>4.3175720192084555</v>
      </c>
      <c r="C74" s="19">
        <v>4.748658442258602</v>
      </c>
      <c r="E74" s="19">
        <f t="shared" si="6"/>
        <v>2589.4466671117698</v>
      </c>
      <c r="F74" s="19">
        <f t="shared" si="7"/>
        <v>4533.4506201688782</v>
      </c>
      <c r="G74" s="19">
        <f t="shared" si="8"/>
        <v>2849.1950653551612</v>
      </c>
      <c r="I74" s="19">
        <f t="shared" si="9"/>
        <v>309972.09235263581</v>
      </c>
    </row>
    <row r="75" spans="1:9" x14ac:dyDescent="0.15">
      <c r="A75" s="19">
        <v>1.8127079834375763</v>
      </c>
      <c r="B75" s="19">
        <v>3.4392331953131361</v>
      </c>
      <c r="C75" s="19">
        <v>2.8163130296888994</v>
      </c>
      <c r="E75" s="19">
        <f t="shared" si="6"/>
        <v>2447.155777640728</v>
      </c>
      <c r="F75" s="19">
        <f t="shared" si="7"/>
        <v>3611.1948550787929</v>
      </c>
      <c r="G75" s="19">
        <f t="shared" si="8"/>
        <v>1689.7878178133396</v>
      </c>
      <c r="I75" s="19">
        <f t="shared" si="9"/>
        <v>307748.13845053286</v>
      </c>
    </row>
    <row r="76" spans="1:9" x14ac:dyDescent="0.15">
      <c r="A76" s="19">
        <v>1.8403287690962316</v>
      </c>
      <c r="B76" s="19">
        <v>3.6694064091352629</v>
      </c>
      <c r="C76" s="19">
        <v>3.3226941000975785</v>
      </c>
      <c r="E76" s="19">
        <f t="shared" si="6"/>
        <v>2484.4438382799126</v>
      </c>
      <c r="F76" s="19">
        <f t="shared" si="7"/>
        <v>3852.8767295920261</v>
      </c>
      <c r="G76" s="19">
        <f t="shared" si="8"/>
        <v>1993.6164600585471</v>
      </c>
      <c r="I76" s="19">
        <f t="shared" si="9"/>
        <v>308330.93702793051</v>
      </c>
    </row>
    <row r="77" spans="1:9" x14ac:dyDescent="0.15">
      <c r="A77" s="19">
        <v>2.2985152605106123</v>
      </c>
      <c r="B77" s="19">
        <v>7.487627170921769</v>
      </c>
      <c r="C77" s="19">
        <v>11.722779776027892</v>
      </c>
      <c r="E77" s="19">
        <f t="shared" si="6"/>
        <v>3102.9956016893266</v>
      </c>
      <c r="F77" s="19">
        <f t="shared" si="7"/>
        <v>7862.0085294678574</v>
      </c>
      <c r="G77" s="19">
        <f t="shared" si="8"/>
        <v>7033.6678656167351</v>
      </c>
      <c r="I77" s="19">
        <f t="shared" si="9"/>
        <v>317998.67199677392</v>
      </c>
    </row>
    <row r="78" spans="1:9" x14ac:dyDescent="0.15">
      <c r="A78" s="19">
        <v>1.4054196577053517</v>
      </c>
      <c r="B78" s="19">
        <v>4.5163814211264253E-2</v>
      </c>
      <c r="C78" s="19">
        <v>-4.6506396087352186</v>
      </c>
      <c r="E78" s="19">
        <f t="shared" si="6"/>
        <v>1897.3165379022248</v>
      </c>
      <c r="F78" s="19">
        <f t="shared" si="7"/>
        <v>47.422004921827465</v>
      </c>
      <c r="G78" s="19">
        <f t="shared" si="8"/>
        <v>-2790.3837652411312</v>
      </c>
      <c r="I78" s="19">
        <f t="shared" si="9"/>
        <v>299154.35477758292</v>
      </c>
    </row>
    <row r="79" spans="1:9" x14ac:dyDescent="0.15">
      <c r="A79" s="19">
        <v>1.9050930910016177</v>
      </c>
      <c r="B79" s="19">
        <v>4.2091090916801477</v>
      </c>
      <c r="C79" s="19">
        <v>4.5100400016963249</v>
      </c>
      <c r="E79" s="19">
        <f t="shared" si="6"/>
        <v>2571.8756728521839</v>
      </c>
      <c r="F79" s="19">
        <f t="shared" si="7"/>
        <v>4419.5645462641551</v>
      </c>
      <c r="G79" s="19">
        <f t="shared" si="8"/>
        <v>2706.0240010177949</v>
      </c>
      <c r="I79" s="19">
        <f t="shared" si="9"/>
        <v>309697.46422013413</v>
      </c>
    </row>
    <row r="80" spans="1:9" x14ac:dyDescent="0.15">
      <c r="A80" s="19">
        <v>1.6025690052192658</v>
      </c>
      <c r="B80" s="19">
        <v>1.6880750434938818</v>
      </c>
      <c r="C80" s="19">
        <v>-1.03623490431346</v>
      </c>
      <c r="E80" s="19">
        <f t="shared" si="6"/>
        <v>2163.4681570460089</v>
      </c>
      <c r="F80" s="19">
        <f t="shared" si="7"/>
        <v>1772.4787956685759</v>
      </c>
      <c r="G80" s="19">
        <f t="shared" si="8"/>
        <v>-621.740942588076</v>
      </c>
      <c r="I80" s="19">
        <f t="shared" si="9"/>
        <v>303314.20601012651</v>
      </c>
    </row>
    <row r="81" spans="1:9" x14ac:dyDescent="0.15">
      <c r="A81" s="19">
        <v>2.1379698915116023</v>
      </c>
      <c r="B81" s="19">
        <v>6.1497490959300194</v>
      </c>
      <c r="C81" s="19">
        <v>8.7794480110460427</v>
      </c>
      <c r="E81" s="19">
        <f t="shared" si="6"/>
        <v>2886.2593535406631</v>
      </c>
      <c r="F81" s="19">
        <f t="shared" si="7"/>
        <v>6457.2365507265204</v>
      </c>
      <c r="G81" s="19">
        <f t="shared" si="8"/>
        <v>5267.6688066276256</v>
      </c>
      <c r="I81" s="19">
        <f t="shared" si="9"/>
        <v>314611.16471089481</v>
      </c>
    </row>
    <row r="82" spans="1:9" x14ac:dyDescent="0.15">
      <c r="A82" s="19">
        <v>1.5237908478884492</v>
      </c>
      <c r="B82" s="19">
        <v>1.0315903990704101</v>
      </c>
      <c r="C82" s="19">
        <v>-2.4805011220450979</v>
      </c>
      <c r="E82" s="19">
        <f t="shared" si="6"/>
        <v>2057.1176446494064</v>
      </c>
      <c r="F82" s="19">
        <f t="shared" si="7"/>
        <v>1083.1699190239306</v>
      </c>
      <c r="G82" s="19">
        <f t="shared" si="8"/>
        <v>-1488.3006732270587</v>
      </c>
      <c r="I82" s="19">
        <f t="shared" si="9"/>
        <v>301651.98689044628</v>
      </c>
    </row>
    <row r="83" spans="1:9" x14ac:dyDescent="0.15">
      <c r="A83" s="19">
        <v>1.2876910255290568</v>
      </c>
      <c r="B83" s="19">
        <v>-0.93590812059119344</v>
      </c>
      <c r="C83" s="19">
        <v>-6.8089978653006256</v>
      </c>
      <c r="E83" s="19">
        <f t="shared" ref="E83:E118" si="10">A83*E$17/100</f>
        <v>1738.3828844642267</v>
      </c>
      <c r="F83" s="19">
        <f t="shared" ref="F83:F118" si="11">B83*F$17/100</f>
        <v>-982.70352662075311</v>
      </c>
      <c r="G83" s="19">
        <f t="shared" ref="G83:G118" si="12">C83*G$17/100</f>
        <v>-4085.3987191803753</v>
      </c>
      <c r="I83" s="19">
        <f t="shared" ref="I83:I118" si="13">F$14+SUM(E83:G83)</f>
        <v>296670.2806386631</v>
      </c>
    </row>
    <row r="84" spans="1:9" x14ac:dyDescent="0.15">
      <c r="A84" s="19">
        <v>2.4190937943349127</v>
      </c>
      <c r="B84" s="19">
        <v>8.4924482861242723</v>
      </c>
      <c r="C84" s="19">
        <v>13.933386229473399</v>
      </c>
      <c r="E84" s="19">
        <f t="shared" si="10"/>
        <v>3265.7766223521321</v>
      </c>
      <c r="F84" s="19">
        <f t="shared" si="11"/>
        <v>8917.0707004304859</v>
      </c>
      <c r="G84" s="19">
        <f t="shared" si="12"/>
        <v>8360.0317376840394</v>
      </c>
      <c r="I84" s="19">
        <f t="shared" si="13"/>
        <v>320542.87906046666</v>
      </c>
    </row>
    <row r="85" spans="1:9" x14ac:dyDescent="0.15">
      <c r="A85" s="19">
        <v>1.8214691458997549</v>
      </c>
      <c r="B85" s="19">
        <v>3.5122428824979579</v>
      </c>
      <c r="C85" s="19">
        <v>2.9769343414955074</v>
      </c>
      <c r="E85" s="19">
        <f t="shared" si="10"/>
        <v>2458.9833469646692</v>
      </c>
      <c r="F85" s="19">
        <f t="shared" si="11"/>
        <v>3687.8550266228558</v>
      </c>
      <c r="G85" s="19">
        <f t="shared" si="12"/>
        <v>1786.1606048973044</v>
      </c>
      <c r="I85" s="19">
        <f t="shared" si="13"/>
        <v>307932.99897848483</v>
      </c>
    </row>
    <row r="86" spans="1:9" x14ac:dyDescent="0.15">
      <c r="A86" s="19">
        <v>1.8187771552693448</v>
      </c>
      <c r="B86" s="19">
        <v>3.48980962724454</v>
      </c>
      <c r="C86" s="19">
        <v>2.9275811799379881</v>
      </c>
      <c r="E86" s="19">
        <f t="shared" si="10"/>
        <v>2455.3491596136155</v>
      </c>
      <c r="F86" s="19">
        <f t="shared" si="11"/>
        <v>3664.300108606767</v>
      </c>
      <c r="G86" s="19">
        <f t="shared" si="12"/>
        <v>1756.5487079627928</v>
      </c>
      <c r="I86" s="19">
        <f t="shared" si="13"/>
        <v>307876.19797618315</v>
      </c>
    </row>
    <row r="87" spans="1:9" x14ac:dyDescent="0.15">
      <c r="A87" s="19">
        <v>2.0666507276037009</v>
      </c>
      <c r="B87" s="19">
        <v>5.5554227300308412</v>
      </c>
      <c r="C87" s="19">
        <v>7.4719300060678506</v>
      </c>
      <c r="E87" s="19">
        <f t="shared" si="10"/>
        <v>2789.9784822649963</v>
      </c>
      <c r="F87" s="19">
        <f t="shared" si="11"/>
        <v>5833.1938665323833</v>
      </c>
      <c r="G87" s="19">
        <f t="shared" si="12"/>
        <v>4483.1580036407104</v>
      </c>
      <c r="I87" s="19">
        <f t="shared" si="13"/>
        <v>313106.33035243809</v>
      </c>
    </row>
    <row r="88" spans="1:9" x14ac:dyDescent="0.15">
      <c r="A88" s="19">
        <v>2.1497620587542769</v>
      </c>
      <c r="B88" s="19">
        <v>6.2480171562856412</v>
      </c>
      <c r="C88" s="19">
        <v>8.9956377438284107</v>
      </c>
      <c r="E88" s="19">
        <f t="shared" si="10"/>
        <v>2902.1787793182739</v>
      </c>
      <c r="F88" s="19">
        <f t="shared" si="11"/>
        <v>6560.4180140999242</v>
      </c>
      <c r="G88" s="19">
        <f t="shared" si="12"/>
        <v>5397.3826462970464</v>
      </c>
      <c r="I88" s="19">
        <f t="shared" si="13"/>
        <v>314859.97943971527</v>
      </c>
    </row>
    <row r="89" spans="1:9" x14ac:dyDescent="0.15">
      <c r="A89" s="19">
        <v>2.2954061528726015</v>
      </c>
      <c r="B89" s="19">
        <v>7.4617179406050127</v>
      </c>
      <c r="C89" s="19">
        <v>11.665779469331028</v>
      </c>
      <c r="E89" s="19">
        <f t="shared" si="10"/>
        <v>3098.7983063780121</v>
      </c>
      <c r="F89" s="19">
        <f t="shared" si="11"/>
        <v>7834.8038376352633</v>
      </c>
      <c r="G89" s="19">
        <f t="shared" si="12"/>
        <v>6999.4676815986168</v>
      </c>
      <c r="I89" s="19">
        <f t="shared" si="13"/>
        <v>317933.06982561189</v>
      </c>
    </row>
    <row r="90" spans="1:9" x14ac:dyDescent="0.15">
      <c r="A90" s="19">
        <v>2.180672032001894</v>
      </c>
      <c r="B90" s="19">
        <v>6.5056002666824497</v>
      </c>
      <c r="C90" s="19">
        <v>9.5623205867013894</v>
      </c>
      <c r="E90" s="19">
        <f t="shared" si="10"/>
        <v>2943.9072432025569</v>
      </c>
      <c r="F90" s="19">
        <f t="shared" si="11"/>
        <v>6830.8802800165722</v>
      </c>
      <c r="G90" s="19">
        <f t="shared" si="12"/>
        <v>5737.3923520208336</v>
      </c>
      <c r="I90" s="19">
        <f t="shared" si="13"/>
        <v>315512.17987523996</v>
      </c>
    </row>
    <row r="91" spans="1:9" x14ac:dyDescent="0.15">
      <c r="A91" s="19">
        <v>1.9886716750552296</v>
      </c>
      <c r="B91" s="19">
        <v>4.9055972921269131</v>
      </c>
      <c r="C91" s="19">
        <v>6.0423140426792088</v>
      </c>
      <c r="E91" s="19">
        <f t="shared" si="10"/>
        <v>2684.7067613245599</v>
      </c>
      <c r="F91" s="19">
        <f t="shared" si="11"/>
        <v>5150.8771567332587</v>
      </c>
      <c r="G91" s="19">
        <f t="shared" si="12"/>
        <v>3625.3884256075253</v>
      </c>
      <c r="I91" s="19">
        <f t="shared" si="13"/>
        <v>311460.97234366531</v>
      </c>
    </row>
    <row r="92" spans="1:9" x14ac:dyDescent="0.15">
      <c r="A92" s="19">
        <v>1.7532106590369949</v>
      </c>
      <c r="B92" s="19">
        <v>2.9434221586416243</v>
      </c>
      <c r="C92" s="19">
        <v>1.7255287490115734</v>
      </c>
      <c r="E92" s="19">
        <f t="shared" si="10"/>
        <v>2366.8343896999431</v>
      </c>
      <c r="F92" s="19">
        <f t="shared" si="11"/>
        <v>3090.5932665737055</v>
      </c>
      <c r="G92" s="19">
        <f t="shared" si="12"/>
        <v>1035.317249406944</v>
      </c>
      <c r="I92" s="19">
        <f t="shared" si="13"/>
        <v>306492.74490568059</v>
      </c>
    </row>
    <row r="93" spans="1:9" x14ac:dyDescent="0.15">
      <c r="A93" s="19">
        <v>2.1964720013347687</v>
      </c>
      <c r="B93" s="19">
        <v>6.6372666777897393</v>
      </c>
      <c r="C93" s="19">
        <v>9.8519866911374265</v>
      </c>
      <c r="E93" s="19">
        <f t="shared" si="10"/>
        <v>2965.2372018019378</v>
      </c>
      <c r="F93" s="19">
        <f t="shared" si="11"/>
        <v>6969.1300116792263</v>
      </c>
      <c r="G93" s="19">
        <f t="shared" si="12"/>
        <v>5911.1920146824559</v>
      </c>
      <c r="I93" s="19">
        <f t="shared" si="13"/>
        <v>315845.55922816362</v>
      </c>
    </row>
    <row r="94" spans="1:9" x14ac:dyDescent="0.15">
      <c r="A94" s="19">
        <v>1.9762567313155159</v>
      </c>
      <c r="B94" s="19">
        <v>4.8021394276292995</v>
      </c>
      <c r="C94" s="19">
        <v>5.8147067407844588</v>
      </c>
      <c r="E94" s="19">
        <f t="shared" si="10"/>
        <v>2667.9465872759465</v>
      </c>
      <c r="F94" s="19">
        <f t="shared" si="11"/>
        <v>5042.2463990107644</v>
      </c>
      <c r="G94" s="19">
        <f t="shared" si="12"/>
        <v>3488.8240444706753</v>
      </c>
      <c r="I94" s="19">
        <f t="shared" si="13"/>
        <v>311199.01703075739</v>
      </c>
    </row>
    <row r="95" spans="1:9" x14ac:dyDescent="0.15">
      <c r="A95" s="19">
        <v>1.9683284386264859</v>
      </c>
      <c r="B95" s="19">
        <v>4.7360703218873823</v>
      </c>
      <c r="C95" s="19">
        <v>5.6693547081522411</v>
      </c>
      <c r="E95" s="19">
        <f t="shared" si="10"/>
        <v>2657.2433921457559</v>
      </c>
      <c r="F95" s="19">
        <f t="shared" si="11"/>
        <v>4972.8738379817514</v>
      </c>
      <c r="G95" s="19">
        <f t="shared" si="12"/>
        <v>3401.6128248913446</v>
      </c>
      <c r="I95" s="19">
        <f t="shared" si="13"/>
        <v>311031.73005501885</v>
      </c>
    </row>
    <row r="96" spans="1:9" x14ac:dyDescent="0.15">
      <c r="A96" s="19">
        <v>2.4910179995931685</v>
      </c>
      <c r="B96" s="19">
        <v>9.0918166632764041</v>
      </c>
      <c r="C96" s="19">
        <v>15.251996659208089</v>
      </c>
      <c r="E96" s="19">
        <f t="shared" si="10"/>
        <v>3362.8742994507775</v>
      </c>
      <c r="F96" s="19">
        <f t="shared" si="11"/>
        <v>9546.4074964402243</v>
      </c>
      <c r="G96" s="19">
        <f t="shared" si="12"/>
        <v>9151.1979955248535</v>
      </c>
      <c r="I96" s="19">
        <f t="shared" si="13"/>
        <v>322060.47979141586</v>
      </c>
    </row>
    <row r="97" spans="1:9" x14ac:dyDescent="0.15">
      <c r="A97" s="19">
        <v>2.1971264964595321</v>
      </c>
      <c r="B97" s="19">
        <v>6.6427208038294339</v>
      </c>
      <c r="C97" s="19">
        <v>9.8639857684247545</v>
      </c>
      <c r="E97" s="19">
        <f t="shared" si="10"/>
        <v>2966.1207702203683</v>
      </c>
      <c r="F97" s="19">
        <f t="shared" si="11"/>
        <v>6974.8568440209046</v>
      </c>
      <c r="G97" s="19">
        <f t="shared" si="12"/>
        <v>5918.3914610548527</v>
      </c>
      <c r="I97" s="19">
        <f t="shared" si="13"/>
        <v>315859.3690752961</v>
      </c>
    </row>
    <row r="98" spans="1:9" x14ac:dyDescent="0.15">
      <c r="A98" s="19">
        <v>1.6292808646103367</v>
      </c>
      <c r="B98" s="19">
        <v>1.910673871752806</v>
      </c>
      <c r="C98" s="19">
        <v>-0.54651748214382678</v>
      </c>
      <c r="E98" s="19">
        <f t="shared" si="10"/>
        <v>2199.5291672239546</v>
      </c>
      <c r="F98" s="19">
        <f t="shared" si="11"/>
        <v>2006.2075653404463</v>
      </c>
      <c r="G98" s="19">
        <f t="shared" si="12"/>
        <v>-327.91048928629607</v>
      </c>
      <c r="I98" s="19">
        <f t="shared" si="13"/>
        <v>303877.8262432781</v>
      </c>
    </row>
    <row r="99" spans="1:9" x14ac:dyDescent="0.15">
      <c r="A99" s="19">
        <v>2.0752652340452187</v>
      </c>
      <c r="B99" s="19">
        <v>5.6272102837101556</v>
      </c>
      <c r="C99" s="19">
        <v>7.6298626241623424</v>
      </c>
      <c r="E99" s="19">
        <f t="shared" si="10"/>
        <v>2801.6080659610452</v>
      </c>
      <c r="F99" s="19">
        <f t="shared" si="11"/>
        <v>5908.5707978956634</v>
      </c>
      <c r="G99" s="19">
        <f t="shared" si="12"/>
        <v>4577.9175744974054</v>
      </c>
      <c r="I99" s="19">
        <f t="shared" si="13"/>
        <v>313288.09643835411</v>
      </c>
    </row>
    <row r="100" spans="1:9" x14ac:dyDescent="0.15">
      <c r="A100" s="19">
        <v>1.9124719352039392</v>
      </c>
      <c r="B100" s="19">
        <v>4.2705994600328268</v>
      </c>
      <c r="C100" s="19">
        <v>4.6453188120722189</v>
      </c>
      <c r="E100" s="19">
        <f t="shared" si="10"/>
        <v>2581.8371125253179</v>
      </c>
      <c r="F100" s="19">
        <f t="shared" si="11"/>
        <v>4484.1294330344681</v>
      </c>
      <c r="G100" s="19">
        <f t="shared" si="12"/>
        <v>2787.1912872433313</v>
      </c>
      <c r="I100" s="19">
        <f t="shared" si="13"/>
        <v>309853.15783280309</v>
      </c>
    </row>
    <row r="101" spans="1:9" x14ac:dyDescent="0.15">
      <c r="A101" s="19">
        <v>2.1884086486825254</v>
      </c>
      <c r="B101" s="19">
        <v>6.5700720723543782</v>
      </c>
      <c r="C101" s="19">
        <v>9.704158559179632</v>
      </c>
      <c r="E101" s="19">
        <f t="shared" si="10"/>
        <v>2954.3516757214093</v>
      </c>
      <c r="F101" s="19">
        <f t="shared" si="11"/>
        <v>6898.5756759720971</v>
      </c>
      <c r="G101" s="19">
        <f t="shared" si="12"/>
        <v>5822.4951355077792</v>
      </c>
      <c r="I101" s="19">
        <f t="shared" si="13"/>
        <v>315675.42248720129</v>
      </c>
    </row>
    <row r="102" spans="1:9" x14ac:dyDescent="0.15">
      <c r="A102" s="19">
        <v>2.0829878672448103</v>
      </c>
      <c r="B102" s="19">
        <v>5.6915655603734194</v>
      </c>
      <c r="C102" s="19">
        <v>7.7714442328215227</v>
      </c>
      <c r="E102" s="19">
        <f t="shared" si="10"/>
        <v>2812.0336207804939</v>
      </c>
      <c r="F102" s="19">
        <f t="shared" si="11"/>
        <v>5976.1438383920913</v>
      </c>
      <c r="G102" s="19">
        <f t="shared" si="12"/>
        <v>4662.8665396929136</v>
      </c>
      <c r="I102" s="19">
        <f t="shared" si="13"/>
        <v>313451.04399886553</v>
      </c>
    </row>
    <row r="103" spans="1:9" x14ac:dyDescent="0.15">
      <c r="A103" s="19">
        <v>2.0547504441783531</v>
      </c>
      <c r="B103" s="19">
        <v>5.4562537014862755</v>
      </c>
      <c r="C103" s="19">
        <v>7.2537581432698062</v>
      </c>
      <c r="E103" s="19">
        <f t="shared" si="10"/>
        <v>2773.9130996407766</v>
      </c>
      <c r="F103" s="19">
        <f t="shared" si="11"/>
        <v>5729.0663865605893</v>
      </c>
      <c r="G103" s="19">
        <f t="shared" si="12"/>
        <v>4352.2548859618837</v>
      </c>
      <c r="I103" s="19">
        <f t="shared" si="13"/>
        <v>312855.23437216325</v>
      </c>
    </row>
    <row r="104" spans="1:9" x14ac:dyDescent="0.15">
      <c r="A104" s="19">
        <v>1.8935355733920005</v>
      </c>
      <c r="B104" s="19">
        <v>4.1127964449333376</v>
      </c>
      <c r="C104" s="19">
        <v>4.2981521788533428</v>
      </c>
      <c r="E104" s="19">
        <f t="shared" si="10"/>
        <v>2556.2730240792007</v>
      </c>
      <c r="F104" s="19">
        <f t="shared" si="11"/>
        <v>4318.4362671800045</v>
      </c>
      <c r="G104" s="19">
        <f t="shared" si="12"/>
        <v>2578.8913073120057</v>
      </c>
      <c r="I104" s="19">
        <f t="shared" si="13"/>
        <v>309453.60059857124</v>
      </c>
    </row>
    <row r="105" spans="1:9" x14ac:dyDescent="0.15">
      <c r="A105" s="19">
        <v>1.691063976570149</v>
      </c>
      <c r="B105" s="19">
        <v>2.4255331380845746</v>
      </c>
      <c r="C105" s="19">
        <v>0.58617290378606413</v>
      </c>
      <c r="E105" s="19">
        <f t="shared" si="10"/>
        <v>2282.9363683697011</v>
      </c>
      <c r="F105" s="19">
        <f t="shared" si="11"/>
        <v>2546.8097949888033</v>
      </c>
      <c r="G105" s="19">
        <f t="shared" si="12"/>
        <v>351.70374227163848</v>
      </c>
      <c r="I105" s="19">
        <f t="shared" si="13"/>
        <v>305181.44990563014</v>
      </c>
    </row>
    <row r="106" spans="1:9" x14ac:dyDescent="0.15">
      <c r="A106" s="19">
        <v>1.7734798853343818</v>
      </c>
      <c r="B106" s="19">
        <v>3.1123323777865153</v>
      </c>
      <c r="C106" s="19">
        <v>2.0971312311303336</v>
      </c>
      <c r="E106" s="19">
        <f t="shared" si="10"/>
        <v>2394.1978452014155</v>
      </c>
      <c r="F106" s="19">
        <f t="shared" si="11"/>
        <v>3267.948996675841</v>
      </c>
      <c r="G106" s="19">
        <f t="shared" si="12"/>
        <v>1258.2787386782002</v>
      </c>
      <c r="I106" s="19">
        <f t="shared" si="13"/>
        <v>306920.42558055546</v>
      </c>
    </row>
    <row r="107" spans="1:9" x14ac:dyDescent="0.15">
      <c r="A107" s="19">
        <v>1.9433819084515562</v>
      </c>
      <c r="B107" s="19">
        <v>4.5281825704296352</v>
      </c>
      <c r="C107" s="19">
        <v>5.2120016549451975</v>
      </c>
      <c r="E107" s="19">
        <f t="shared" si="10"/>
        <v>2623.5655764096009</v>
      </c>
      <c r="F107" s="19">
        <f t="shared" si="11"/>
        <v>4754.591698951117</v>
      </c>
      <c r="G107" s="19">
        <f t="shared" si="12"/>
        <v>3127.2009929671185</v>
      </c>
      <c r="I107" s="19">
        <f t="shared" si="13"/>
        <v>310505.35826832784</v>
      </c>
    </row>
    <row r="108" spans="1:9" x14ac:dyDescent="0.15">
      <c r="A108" s="19">
        <v>2.2555866558395792</v>
      </c>
      <c r="B108" s="19">
        <v>7.1298887986631598</v>
      </c>
      <c r="C108" s="19">
        <v>10.935755357058952</v>
      </c>
      <c r="E108" s="19">
        <f t="shared" si="10"/>
        <v>3045.0419853834319</v>
      </c>
      <c r="F108" s="19">
        <f t="shared" si="11"/>
        <v>7486.3832385963178</v>
      </c>
      <c r="G108" s="19">
        <f t="shared" si="12"/>
        <v>6561.453214235371</v>
      </c>
      <c r="I108" s="19">
        <f t="shared" si="13"/>
        <v>317092.87843821512</v>
      </c>
    </row>
    <row r="109" spans="1:9" x14ac:dyDescent="0.15">
      <c r="A109" s="19">
        <v>2.0128671899801702</v>
      </c>
      <c r="B109" s="19">
        <v>5.1072265831680852</v>
      </c>
      <c r="C109" s="19">
        <v>6.4858984829697874</v>
      </c>
      <c r="E109" s="19">
        <f t="shared" si="10"/>
        <v>2717.3707064732298</v>
      </c>
      <c r="F109" s="19">
        <f t="shared" si="11"/>
        <v>5362.5879123264904</v>
      </c>
      <c r="G109" s="19">
        <f t="shared" si="12"/>
        <v>3891.5390897818725</v>
      </c>
      <c r="I109" s="19">
        <f t="shared" si="13"/>
        <v>311971.49770858162</v>
      </c>
    </row>
    <row r="110" spans="1:9" x14ac:dyDescent="0.15">
      <c r="A110" s="19">
        <v>2.6977934390306473</v>
      </c>
      <c r="B110" s="19">
        <v>10.814945325255394</v>
      </c>
      <c r="C110" s="19">
        <v>19.042879715561867</v>
      </c>
      <c r="E110" s="19">
        <f t="shared" si="10"/>
        <v>3642.0211426913738</v>
      </c>
      <c r="F110" s="19">
        <f t="shared" si="11"/>
        <v>11355.692591518164</v>
      </c>
      <c r="G110" s="19">
        <f t="shared" si="12"/>
        <v>11425.72782933712</v>
      </c>
      <c r="I110" s="19">
        <f t="shared" si="13"/>
        <v>326423.44156354666</v>
      </c>
    </row>
    <row r="111" spans="1:9" x14ac:dyDescent="0.15">
      <c r="A111" s="19">
        <v>2.2038116235780763</v>
      </c>
      <c r="B111" s="19">
        <v>6.6984301964839688</v>
      </c>
      <c r="C111" s="19">
        <v>9.9865464322647313</v>
      </c>
      <c r="E111" s="19">
        <f t="shared" si="10"/>
        <v>2975.1456918304029</v>
      </c>
      <c r="F111" s="19">
        <f t="shared" si="11"/>
        <v>7033.3517063081672</v>
      </c>
      <c r="G111" s="19">
        <f t="shared" si="12"/>
        <v>5991.9278593588388</v>
      </c>
      <c r="I111" s="19">
        <f t="shared" si="13"/>
        <v>316000.42525749741</v>
      </c>
    </row>
    <row r="112" spans="1:9" x14ac:dyDescent="0.15">
      <c r="A112" s="19">
        <v>1.8808000327699119</v>
      </c>
      <c r="B112" s="19">
        <v>4.006666939749266</v>
      </c>
      <c r="C112" s="19">
        <v>4.0646672674483852</v>
      </c>
      <c r="E112" s="19">
        <f t="shared" si="10"/>
        <v>2539.0800442393811</v>
      </c>
      <c r="F112" s="19">
        <f t="shared" si="11"/>
        <v>4207.0002867367293</v>
      </c>
      <c r="G112" s="19">
        <f t="shared" si="12"/>
        <v>2438.8003604690311</v>
      </c>
      <c r="I112" s="19">
        <f t="shared" si="13"/>
        <v>309184.88069144514</v>
      </c>
    </row>
    <row r="113" spans="1:9" x14ac:dyDescent="0.15">
      <c r="A113" s="19">
        <v>1.7125398749631131</v>
      </c>
      <c r="B113" s="19">
        <v>2.6044989580259426</v>
      </c>
      <c r="C113" s="19">
        <v>0.97989770765707362</v>
      </c>
      <c r="E113" s="19">
        <f t="shared" si="10"/>
        <v>2311.9288312002027</v>
      </c>
      <c r="F113" s="19">
        <f t="shared" si="11"/>
        <v>2734.7239059272397</v>
      </c>
      <c r="G113" s="19">
        <f t="shared" si="12"/>
        <v>587.93862459424417</v>
      </c>
      <c r="I113" s="19">
        <f t="shared" si="13"/>
        <v>305634.59136172169</v>
      </c>
    </row>
    <row r="114" spans="1:9" x14ac:dyDescent="0.15">
      <c r="A114" s="19">
        <v>2.1215379370478331</v>
      </c>
      <c r="B114" s="19">
        <v>6.0128161420652759</v>
      </c>
      <c r="C114" s="19">
        <v>8.478195512543607</v>
      </c>
      <c r="E114" s="19">
        <f t="shared" si="10"/>
        <v>2864.0762150145747</v>
      </c>
      <c r="F114" s="19">
        <f t="shared" si="11"/>
        <v>6313.4569491685388</v>
      </c>
      <c r="G114" s="19">
        <f t="shared" si="12"/>
        <v>5086.9173075261642</v>
      </c>
      <c r="I114" s="19">
        <f t="shared" si="13"/>
        <v>314264.45047170925</v>
      </c>
    </row>
    <row r="115" spans="1:9" x14ac:dyDescent="0.15">
      <c r="A115" s="19">
        <v>1.9939066128717968</v>
      </c>
      <c r="B115" s="19">
        <v>4.9492217739316402</v>
      </c>
      <c r="C115" s="19">
        <v>6.1382879026496084</v>
      </c>
      <c r="E115" s="19">
        <f t="shared" si="10"/>
        <v>2691.7739273769257</v>
      </c>
      <c r="F115" s="19">
        <f t="shared" si="11"/>
        <v>5196.6828626282222</v>
      </c>
      <c r="G115" s="19">
        <f t="shared" si="12"/>
        <v>3682.9727415897651</v>
      </c>
      <c r="I115" s="19">
        <f t="shared" si="13"/>
        <v>311571.42953159491</v>
      </c>
    </row>
    <row r="116" spans="1:9" x14ac:dyDescent="0.15">
      <c r="A116" s="19">
        <v>1.5422831489122473</v>
      </c>
      <c r="B116" s="19">
        <v>1.1856929076020606</v>
      </c>
      <c r="C116" s="19">
        <v>-2.1414756032754667</v>
      </c>
      <c r="E116" s="19">
        <f t="shared" si="10"/>
        <v>2082.0822510315338</v>
      </c>
      <c r="F116" s="19">
        <f t="shared" si="11"/>
        <v>1244.9775529821636</v>
      </c>
      <c r="G116" s="19">
        <f t="shared" si="12"/>
        <v>-1284.88536196528</v>
      </c>
      <c r="I116" s="19">
        <f t="shared" si="13"/>
        <v>302042.17444204842</v>
      </c>
    </row>
    <row r="117" spans="1:9" x14ac:dyDescent="0.15">
      <c r="A117" s="19">
        <v>2.1571122538734926</v>
      </c>
      <c r="B117" s="19">
        <v>6.3092687822791049</v>
      </c>
      <c r="C117" s="19">
        <v>9.1303913210140308</v>
      </c>
      <c r="E117" s="19">
        <f t="shared" si="10"/>
        <v>2912.101542729215</v>
      </c>
      <c r="F117" s="19">
        <f t="shared" si="11"/>
        <v>6624.7322213930602</v>
      </c>
      <c r="G117" s="19">
        <f t="shared" si="12"/>
        <v>5478.2347926084185</v>
      </c>
      <c r="I117" s="19">
        <f t="shared" si="13"/>
        <v>315015.06855673069</v>
      </c>
    </row>
    <row r="118" spans="1:9" x14ac:dyDescent="0.15">
      <c r="A118" s="19">
        <v>2.0036145593185211</v>
      </c>
      <c r="B118" s="19">
        <v>5.0301213276543422</v>
      </c>
      <c r="C118" s="19">
        <v>6.3162669208395528</v>
      </c>
      <c r="E118" s="19">
        <f t="shared" si="10"/>
        <v>2704.8796550800034</v>
      </c>
      <c r="F118" s="19">
        <f t="shared" si="11"/>
        <v>5281.6273940370593</v>
      </c>
      <c r="G118" s="19">
        <f t="shared" si="12"/>
        <v>3789.7601525037317</v>
      </c>
      <c r="I118" s="19">
        <f t="shared" si="13"/>
        <v>311776.26720162079</v>
      </c>
    </row>
    <row r="119" spans="1:9" x14ac:dyDescent="0.15">
      <c r="E119" s="66" t="str">
        <f ca="1">_xlfn.FORMULATEXT(E118)</f>
        <v>=A118*E$17/100</v>
      </c>
      <c r="F119" s="66" t="str">
        <f t="shared" ref="F119:G119" ca="1" si="14">_xlfn.FORMULATEXT(F118)</f>
        <v>=B118*F$17/100</v>
      </c>
      <c r="G119" s="66" t="str">
        <f t="shared" ca="1" si="14"/>
        <v>=C118*G$17/100</v>
      </c>
      <c r="I119" s="66" t="str">
        <f ca="1">_xlfn.FORMULATEXT(I118)</f>
        <v>=F$14+SUM(E118:G118)</v>
      </c>
    </row>
  </sheetData>
  <printOptions headings="1"/>
  <pageMargins left="0.70866141732283472" right="7.874015748031496E-2" top="0.74803149606299213" bottom="7.874015748031496E-2" header="7.874015748031496E-2" footer="7.874015748031496E-2"/>
  <pageSetup paperSize="9" scale="58" fitToHeight="10" orientation="portrait" horizontalDpi="0" verticalDpi="0" r:id="rId1"/>
  <headerFooter scaleWithDoc="0" alignWithMargins="0"/>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8F6B-64D2-5F46-8077-61CEE4B46BCD}">
  <sheetPr>
    <pageSetUpPr fitToPage="1"/>
  </sheetPr>
  <dimension ref="A1:AA502"/>
  <sheetViews>
    <sheetView showGridLines="0" tabSelected="1" topLeftCell="A56" zoomScale="138" zoomScaleNormal="144" workbookViewId="0">
      <selection activeCell="D73" sqref="D73"/>
    </sheetView>
  </sheetViews>
  <sheetFormatPr baseColWidth="10" defaultColWidth="11.1640625" defaultRowHeight="14" x14ac:dyDescent="0.15"/>
  <cols>
    <col min="2" max="2" width="20.6640625" bestFit="1" customWidth="1"/>
    <col min="3" max="3" width="39.1640625" bestFit="1" customWidth="1"/>
    <col min="4" max="4" width="20.1640625" bestFit="1" customWidth="1"/>
    <col min="5" max="5" width="39.5" bestFit="1" customWidth="1"/>
    <col min="6" max="6" width="9" bestFit="1" customWidth="1"/>
    <col min="7" max="7" width="11.33203125" bestFit="1" customWidth="1"/>
    <col min="8" max="8" width="6" bestFit="1" customWidth="1"/>
    <col min="9" max="9" width="11.33203125" bestFit="1" customWidth="1"/>
    <col min="11" max="11" width="5.83203125" bestFit="1" customWidth="1"/>
    <col min="12" max="12" width="17.33203125" bestFit="1" customWidth="1"/>
    <col min="13" max="13" width="17.1640625" customWidth="1"/>
    <col min="14" max="14" width="11.33203125" bestFit="1" customWidth="1"/>
    <col min="15" max="15" width="20.6640625" customWidth="1"/>
    <col min="16" max="16" width="26.1640625" style="4" bestFit="1" customWidth="1"/>
    <col min="17" max="17" width="20.6640625" customWidth="1"/>
    <col min="18" max="18" width="23.33203125" bestFit="1" customWidth="1"/>
    <col min="19" max="19" width="7.5" customWidth="1"/>
    <col min="20" max="20" width="6.1640625" bestFit="1" customWidth="1"/>
    <col min="21" max="21" width="16.5" customWidth="1"/>
    <col min="22" max="22" width="35.6640625" bestFit="1" customWidth="1"/>
    <col min="23" max="23" width="20.6640625" customWidth="1"/>
    <col min="24" max="24" width="34.1640625" customWidth="1"/>
    <col min="25" max="25" width="20.6640625" customWidth="1"/>
    <col min="26" max="26" width="31.1640625" bestFit="1" customWidth="1"/>
    <col min="27" max="27" width="20.6640625" customWidth="1"/>
  </cols>
  <sheetData>
    <row r="1" spans="1:27" s="17" customFormat="1" ht="49" customHeight="1" x14ac:dyDescent="0.15">
      <c r="A1" s="24" t="s">
        <v>68</v>
      </c>
      <c r="B1" s="23" t="s">
        <v>8</v>
      </c>
      <c r="C1" s="23" t="s">
        <v>30</v>
      </c>
      <c r="E1" s="23" t="s">
        <v>69</v>
      </c>
      <c r="F1" s="23"/>
      <c r="G1" s="44" t="s">
        <v>70</v>
      </c>
      <c r="H1" s="44"/>
      <c r="I1" s="44" t="s">
        <v>71</v>
      </c>
      <c r="J1" s="45"/>
      <c r="K1" s="44" t="s">
        <v>72</v>
      </c>
      <c r="L1" s="46" t="s">
        <v>73</v>
      </c>
      <c r="N1" s="23" t="s">
        <v>31</v>
      </c>
      <c r="O1" s="44" t="s">
        <v>74</v>
      </c>
      <c r="P1" s="44" t="s">
        <v>75</v>
      </c>
      <c r="Q1" s="44" t="s">
        <v>76</v>
      </c>
      <c r="R1" s="44" t="s">
        <v>77</v>
      </c>
      <c r="AA1" s="18"/>
    </row>
    <row r="2" spans="1:27" x14ac:dyDescent="0.15">
      <c r="B2" s="19">
        <v>100</v>
      </c>
      <c r="C2" s="32">
        <v>3</v>
      </c>
      <c r="E2" s="19">
        <f>C2/$C$7</f>
        <v>0.06</v>
      </c>
      <c r="F2" s="63" t="str">
        <f ca="1">_xlfn.FORMULATEXT(E2)</f>
        <v>=C2/$C$7</v>
      </c>
      <c r="G2" s="23">
        <v>0</v>
      </c>
      <c r="H2" s="23" t="e">
        <f ca="1">_xlfn.FORMULATEXT(G2)</f>
        <v>#N/A</v>
      </c>
      <c r="I2" s="23">
        <f>E2</f>
        <v>0.06</v>
      </c>
      <c r="J2" s="76" t="str">
        <f ca="1">_xlfn.FORMULATEXT(I2)</f>
        <v>=E2</v>
      </c>
      <c r="K2" s="19">
        <v>1</v>
      </c>
      <c r="L2" s="19">
        <v>100</v>
      </c>
      <c r="N2" s="19">
        <v>7.8263692594256109E-6</v>
      </c>
      <c r="O2" s="19">
        <f>IF(N2&lt;(200-170)/(400-170),
    170 + SQRT(N2*(400-170)*(200-170)),
    400 - SQRT((1-N2)*(400-170)*(400-200))
  )</f>
        <v>170.23238319192669</v>
      </c>
      <c r="P2" s="32" cm="1">
        <f t="array" aca="1" ref="P2" ca="1">INDEX($L$2:$L$51, RANDBETWEEN(1,50))</f>
        <v>150</v>
      </c>
      <c r="Q2" s="19" t="b">
        <f ca="1">O2 &gt; P2</f>
        <v>1</v>
      </c>
      <c r="R2" s="19" t="b">
        <f ca="1">P2 &gt; O2</f>
        <v>0</v>
      </c>
    </row>
    <row r="3" spans="1:27" x14ac:dyDescent="0.15">
      <c r="B3" s="19">
        <v>150</v>
      </c>
      <c r="C3" s="32">
        <v>8</v>
      </c>
      <c r="E3" s="19">
        <f>C3/$C$7</f>
        <v>0.16</v>
      </c>
      <c r="F3" s="63" t="str">
        <f t="shared" ref="F3:F6" ca="1" si="0">_xlfn.FORMULATEXT(E3)</f>
        <v>=C3/$C$7</v>
      </c>
      <c r="G3" s="23">
        <f>I2</f>
        <v>0.06</v>
      </c>
      <c r="H3" s="23" t="str">
        <f t="shared" ref="H3:H6" ca="1" si="1">_xlfn.FORMULATEXT(G3)</f>
        <v>=I2</v>
      </c>
      <c r="I3" s="23">
        <f>E3+G3</f>
        <v>0.22</v>
      </c>
      <c r="J3" s="76" t="str">
        <f t="shared" ref="J3:J6" ca="1" si="2">_xlfn.FORMULATEXT(I3)</f>
        <v>=E3+G3</v>
      </c>
      <c r="K3" s="19">
        <v>2</v>
      </c>
      <c r="L3" s="19">
        <v>100</v>
      </c>
      <c r="N3" s="19">
        <v>0.13153778814316625</v>
      </c>
      <c r="O3" s="19">
        <f t="shared" ref="O3:O66" si="3">IF(N3&lt;(200-170)/(400-170),
    170 + SQRT(N3*(400-170)*(200-170)),
    400 - SQRT((1-N3)*(400-170)*(400-200))
  )</f>
        <v>200.12688588653464</v>
      </c>
      <c r="P3" s="32" cm="1">
        <f t="array" aca="1" ref="P3" ca="1">INDEX($L$2:$L$51, RANDBETWEEN(1,50))</f>
        <v>250</v>
      </c>
      <c r="Q3" s="19" t="b">
        <f ca="1">O3 &gt; P3</f>
        <v>0</v>
      </c>
      <c r="R3" s="19" t="b">
        <f ca="1">P3 &gt; O3</f>
        <v>1</v>
      </c>
    </row>
    <row r="4" spans="1:27" x14ac:dyDescent="0.15">
      <c r="B4" s="19">
        <v>200</v>
      </c>
      <c r="C4" s="32">
        <v>10</v>
      </c>
      <c r="E4" s="19">
        <f>C4/$C$7</f>
        <v>0.2</v>
      </c>
      <c r="F4" s="63" t="str">
        <f t="shared" ca="1" si="0"/>
        <v>=C4/$C$7</v>
      </c>
      <c r="G4" s="23">
        <f t="shared" ref="G4:G6" si="4">I3</f>
        <v>0.22</v>
      </c>
      <c r="H4" s="23" t="str">
        <f t="shared" ca="1" si="1"/>
        <v>=I3</v>
      </c>
      <c r="I4" s="23">
        <f t="shared" ref="I4:I6" si="5">E4+G4</f>
        <v>0.42000000000000004</v>
      </c>
      <c r="J4" s="76" t="str">
        <f t="shared" ca="1" si="2"/>
        <v>=E4+G4</v>
      </c>
      <c r="K4" s="19">
        <v>3</v>
      </c>
      <c r="L4" s="19">
        <v>100</v>
      </c>
      <c r="N4" s="19">
        <v>0.75560532219503318</v>
      </c>
      <c r="O4" s="19">
        <f t="shared" si="3"/>
        <v>293.97097011182046</v>
      </c>
      <c r="P4" s="32" cm="1">
        <f t="array" aca="1" ref="P4" ca="1">INDEX($L$2:$L$51, RANDBETWEEN(1,50))</f>
        <v>250</v>
      </c>
      <c r="Q4" s="19" t="b">
        <f ca="1">O4 &gt; P4</f>
        <v>1</v>
      </c>
      <c r="R4" s="19" t="b">
        <f ca="1">P4 &gt; O4</f>
        <v>0</v>
      </c>
    </row>
    <row r="5" spans="1:27" x14ac:dyDescent="0.15">
      <c r="B5" s="19">
        <v>250</v>
      </c>
      <c r="C5" s="32">
        <v>17</v>
      </c>
      <c r="E5" s="19">
        <f>C5/$C$7</f>
        <v>0.34</v>
      </c>
      <c r="F5" s="63" t="str">
        <f t="shared" ca="1" si="0"/>
        <v>=C5/$C$7</v>
      </c>
      <c r="G5" s="23">
        <f t="shared" si="4"/>
        <v>0.42000000000000004</v>
      </c>
      <c r="H5" s="23" t="str">
        <f t="shared" ca="1" si="1"/>
        <v>=I4</v>
      </c>
      <c r="I5" s="23">
        <f t="shared" si="5"/>
        <v>0.76</v>
      </c>
      <c r="J5" s="76" t="str">
        <f t="shared" ca="1" si="2"/>
        <v>=E5+G5</v>
      </c>
      <c r="K5" s="19">
        <v>4</v>
      </c>
      <c r="L5" s="19">
        <v>150</v>
      </c>
      <c r="N5" s="19">
        <v>0.45865013192344928</v>
      </c>
      <c r="O5" s="19">
        <f t="shared" si="3"/>
        <v>242.19602688296681</v>
      </c>
      <c r="P5" s="32" cm="1">
        <f t="array" aca="1" ref="P5" ca="1">INDEX($L$2:$L$51, RANDBETWEEN(1,50))</f>
        <v>300</v>
      </c>
      <c r="Q5" s="19" t="b">
        <f ca="1">O5 &gt; P5</f>
        <v>0</v>
      </c>
      <c r="R5" s="19" t="b">
        <f ca="1">P5 &gt; O5</f>
        <v>1</v>
      </c>
    </row>
    <row r="6" spans="1:27" x14ac:dyDescent="0.15">
      <c r="B6" s="19">
        <v>300</v>
      </c>
      <c r="C6" s="32">
        <v>12</v>
      </c>
      <c r="E6" s="19">
        <f>C6/$C$7</f>
        <v>0.24</v>
      </c>
      <c r="F6" s="63" t="str">
        <f t="shared" ca="1" si="0"/>
        <v>=C6/$C$7</v>
      </c>
      <c r="G6" s="23">
        <f t="shared" si="4"/>
        <v>0.76</v>
      </c>
      <c r="H6" s="23" t="str">
        <f t="shared" ca="1" si="1"/>
        <v>=I5</v>
      </c>
      <c r="I6" s="23">
        <f t="shared" si="5"/>
        <v>1</v>
      </c>
      <c r="J6" s="76" t="str">
        <f t="shared" ca="1" si="2"/>
        <v>=E6+G6</v>
      </c>
      <c r="K6" s="19">
        <v>5</v>
      </c>
      <c r="L6" s="19">
        <v>150</v>
      </c>
      <c r="N6" s="19">
        <v>0.53276723741216925</v>
      </c>
      <c r="O6" s="19">
        <f t="shared" si="3"/>
        <v>253.39608777716668</v>
      </c>
      <c r="P6" s="32" cm="1">
        <f t="array" aca="1" ref="P6" ca="1">INDEX($L$2:$L$51, RANDBETWEEN(1,50))</f>
        <v>250</v>
      </c>
      <c r="Q6" s="19" t="b">
        <f ca="1">O6 &gt; P6</f>
        <v>1</v>
      </c>
      <c r="R6" s="19" t="b">
        <f ca="1">P6 &gt; O6</f>
        <v>0</v>
      </c>
    </row>
    <row r="7" spans="1:27" x14ac:dyDescent="0.15">
      <c r="C7" s="4">
        <f>SUM(C2:C6)</f>
        <v>50</v>
      </c>
      <c r="K7" s="19">
        <v>6</v>
      </c>
      <c r="L7" s="19">
        <v>150</v>
      </c>
      <c r="N7" s="19">
        <v>0.21895918632809036</v>
      </c>
      <c r="O7" s="19">
        <f t="shared" si="3"/>
        <v>210.45349533977725</v>
      </c>
      <c r="P7" s="32" cm="1">
        <f t="array" aca="1" ref="P7" ca="1">INDEX($L$2:$L$51, RANDBETWEEN(1,50))</f>
        <v>150</v>
      </c>
      <c r="Q7" s="19" t="b">
        <f ca="1">O7 &gt; P7</f>
        <v>1</v>
      </c>
      <c r="R7" s="19" t="b">
        <f ca="1">P7 &gt; O7</f>
        <v>0</v>
      </c>
    </row>
    <row r="8" spans="1:27" x14ac:dyDescent="0.15">
      <c r="K8" s="19">
        <v>7</v>
      </c>
      <c r="L8" s="19">
        <v>150</v>
      </c>
      <c r="N8" s="19">
        <v>4.7044616214486128E-2</v>
      </c>
      <c r="O8" s="19">
        <f t="shared" si="3"/>
        <v>188.0168768625407</v>
      </c>
      <c r="P8" s="32" cm="1">
        <f t="array" aca="1" ref="P8" ca="1">INDEX($L$2:$L$51, RANDBETWEEN(1,50))</f>
        <v>300</v>
      </c>
      <c r="Q8" s="19" t="b">
        <f ca="1">O8 &gt; P8</f>
        <v>0</v>
      </c>
      <c r="R8" s="19" t="b">
        <f ca="1">P8 &gt; O8</f>
        <v>1</v>
      </c>
    </row>
    <row r="9" spans="1:27" x14ac:dyDescent="0.15">
      <c r="K9" s="19">
        <v>8</v>
      </c>
      <c r="L9" s="19">
        <v>150</v>
      </c>
      <c r="N9" s="19">
        <v>0.67886471686831895</v>
      </c>
      <c r="O9" s="19">
        <f t="shared" si="3"/>
        <v>278.45896567801753</v>
      </c>
      <c r="P9" s="32" cm="1">
        <f t="array" aca="1" ref="P9" ca="1">INDEX($L$2:$L$51, RANDBETWEEN(1,50))</f>
        <v>250</v>
      </c>
      <c r="Q9" s="19" t="b">
        <f ca="1">O9 &gt; P9</f>
        <v>1</v>
      </c>
      <c r="R9" s="19" t="b">
        <f ca="1">P9 &gt; O9</f>
        <v>0</v>
      </c>
    </row>
    <row r="10" spans="1:27" x14ac:dyDescent="0.15">
      <c r="K10" s="19">
        <v>9</v>
      </c>
      <c r="L10" s="19">
        <v>150</v>
      </c>
      <c r="N10" s="19">
        <v>0.67929640583661222</v>
      </c>
      <c r="O10" s="19">
        <f t="shared" si="3"/>
        <v>278.54068445970955</v>
      </c>
      <c r="P10" s="32" cm="1">
        <f t="array" aca="1" ref="P10" ca="1">INDEX($L$2:$L$51, RANDBETWEEN(1,50))</f>
        <v>200</v>
      </c>
      <c r="Q10" s="19" t="b">
        <f ca="1">O10 &gt; P10</f>
        <v>1</v>
      </c>
      <c r="R10" s="19" t="b">
        <f ca="1">P10 &gt; O10</f>
        <v>0</v>
      </c>
    </row>
    <row r="11" spans="1:27" x14ac:dyDescent="0.15">
      <c r="K11" s="19">
        <v>10</v>
      </c>
      <c r="L11" s="19">
        <v>150</v>
      </c>
      <c r="N11" s="19">
        <v>0.93469289594082761</v>
      </c>
      <c r="O11" s="19">
        <f t="shared" si="3"/>
        <v>345.19008495972713</v>
      </c>
      <c r="P11" s="32" cm="1">
        <f t="array" aca="1" ref="P11" ca="1">INDEX($L$2:$L$51, RANDBETWEEN(1,50))</f>
        <v>250</v>
      </c>
      <c r="Q11" s="19" t="b">
        <f ca="1">O11 &gt; P11</f>
        <v>1</v>
      </c>
      <c r="R11" s="19" t="b">
        <f ca="1">P11 &gt; O11</f>
        <v>0</v>
      </c>
    </row>
    <row r="12" spans="1:27" x14ac:dyDescent="0.15">
      <c r="K12" s="19">
        <v>11</v>
      </c>
      <c r="L12" s="19">
        <v>150</v>
      </c>
      <c r="N12" s="19">
        <v>0.38350207748985948</v>
      </c>
      <c r="O12" s="19">
        <f t="shared" si="3"/>
        <v>231.59897733248033</v>
      </c>
      <c r="P12" s="32" cm="1">
        <f t="array" aca="1" ref="P12" ca="1">INDEX($L$2:$L$51, RANDBETWEEN(1,50))</f>
        <v>150</v>
      </c>
      <c r="Q12" s="19" t="b">
        <f ca="1">O12 &gt; P12</f>
        <v>1</v>
      </c>
      <c r="R12" s="19" t="b">
        <f ca="1">P12 &gt; O12</f>
        <v>0</v>
      </c>
    </row>
    <row r="13" spans="1:27" x14ac:dyDescent="0.15">
      <c r="K13" s="19">
        <v>12</v>
      </c>
      <c r="L13" s="19">
        <v>200</v>
      </c>
      <c r="N13" s="19">
        <v>0.51941637206795455</v>
      </c>
      <c r="O13" s="19">
        <f t="shared" si="3"/>
        <v>251.31628574428842</v>
      </c>
      <c r="P13" s="32" cm="1">
        <f t="array" aca="1" ref="P13" ca="1">INDEX($L$2:$L$51, RANDBETWEEN(1,50))</f>
        <v>300</v>
      </c>
      <c r="Q13" s="19" t="b">
        <f ca="1">O13 &gt; P13</f>
        <v>0</v>
      </c>
      <c r="R13" s="19" t="b">
        <f ca="1">P13 &gt; O13</f>
        <v>1</v>
      </c>
    </row>
    <row r="14" spans="1:27" x14ac:dyDescent="0.15">
      <c r="K14" s="19">
        <v>13</v>
      </c>
      <c r="L14" s="19">
        <v>200</v>
      </c>
      <c r="N14" s="19">
        <v>0.8309653461123655</v>
      </c>
      <c r="O14" s="19">
        <f t="shared" si="3"/>
        <v>311.82067090961061</v>
      </c>
      <c r="P14" s="32" cm="1">
        <f t="array" aca="1" ref="P14" ca="1">INDEX($L$2:$L$51, RANDBETWEEN(1,50))</f>
        <v>100</v>
      </c>
      <c r="Q14" s="19" t="b">
        <f ca="1">O14 &gt; P14</f>
        <v>1</v>
      </c>
      <c r="R14" s="19" t="b">
        <f ca="1">P14 &gt; O14</f>
        <v>0</v>
      </c>
    </row>
    <row r="15" spans="1:27" x14ac:dyDescent="0.15">
      <c r="K15" s="19">
        <v>14</v>
      </c>
      <c r="L15" s="19">
        <v>200</v>
      </c>
      <c r="N15" s="19">
        <v>3.4572110527461446E-2</v>
      </c>
      <c r="O15" s="19">
        <f t="shared" si="3"/>
        <v>185.44498503202524</v>
      </c>
      <c r="P15" s="32" cm="1">
        <f t="array" aca="1" ref="P15" ca="1">INDEX($L$2:$L$51, RANDBETWEEN(1,50))</f>
        <v>300</v>
      </c>
      <c r="Q15" s="19" t="b">
        <f ca="1">O15 &gt; P15</f>
        <v>0</v>
      </c>
      <c r="R15" s="19" t="b">
        <f ca="1">P15 &gt; O15</f>
        <v>1</v>
      </c>
    </row>
    <row r="16" spans="1:27" x14ac:dyDescent="0.15">
      <c r="K16" s="19">
        <v>15</v>
      </c>
      <c r="L16" s="19">
        <v>200</v>
      </c>
      <c r="N16" s="19">
        <v>5.346163504452521E-2</v>
      </c>
      <c r="O16" s="19">
        <f t="shared" si="3"/>
        <v>189.20638648489674</v>
      </c>
      <c r="P16" s="32" cm="1">
        <f t="array" aca="1" ref="P16" ca="1">INDEX($L$2:$L$51, RANDBETWEEN(1,50))</f>
        <v>100</v>
      </c>
      <c r="Q16" s="19" t="b">
        <f ca="1">O16 &gt; P16</f>
        <v>1</v>
      </c>
      <c r="R16" s="19" t="b">
        <f ca="1">P16 &gt; O16</f>
        <v>0</v>
      </c>
    </row>
    <row r="17" spans="11:21" x14ac:dyDescent="0.15">
      <c r="K17" s="19">
        <v>16</v>
      </c>
      <c r="L17" s="19">
        <v>200</v>
      </c>
      <c r="N17" s="19">
        <v>0.52970019333516261</v>
      </c>
      <c r="O17" s="19">
        <f t="shared" si="3"/>
        <v>252.91570067956769</v>
      </c>
      <c r="P17" s="32" cm="1">
        <f t="array" aca="1" ref="P17" ca="1">INDEX($L$2:$L$51, RANDBETWEEN(1,50))</f>
        <v>250</v>
      </c>
      <c r="Q17" s="19" t="b">
        <f ca="1">O17 &gt; P17</f>
        <v>1</v>
      </c>
      <c r="R17" s="19" t="b">
        <f ca="1">P17 &gt; O17</f>
        <v>0</v>
      </c>
    </row>
    <row r="18" spans="11:21" x14ac:dyDescent="0.15">
      <c r="K18" s="19">
        <v>17</v>
      </c>
      <c r="L18" s="19">
        <v>200</v>
      </c>
      <c r="N18" s="19">
        <v>0.67114938407724234</v>
      </c>
      <c r="O18" s="19">
        <f t="shared" si="3"/>
        <v>277.00760864001847</v>
      </c>
      <c r="P18" s="32" cm="1">
        <f t="array" aca="1" ref="P18" ca="1">INDEX($L$2:$L$51, RANDBETWEEN(1,50))</f>
        <v>200</v>
      </c>
      <c r="Q18" s="19" t="b">
        <f ca="1">O18 &gt; P18</f>
        <v>1</v>
      </c>
      <c r="R18" s="19" t="b">
        <f ca="1">P18 &gt; O18</f>
        <v>0</v>
      </c>
    </row>
    <row r="19" spans="11:21" x14ac:dyDescent="0.15">
      <c r="K19" s="19">
        <v>18</v>
      </c>
      <c r="L19" s="19">
        <v>200</v>
      </c>
      <c r="N19" s="19">
        <v>7.6981862111474321E-3</v>
      </c>
      <c r="O19" s="19">
        <f t="shared" si="3"/>
        <v>177.28817431576093</v>
      </c>
      <c r="P19" s="32" cm="1">
        <f t="array" aca="1" ref="P19" ca="1">INDEX($L$2:$L$51, RANDBETWEEN(1,50))</f>
        <v>250</v>
      </c>
      <c r="Q19" s="19" t="b">
        <f ca="1">O19 &gt; P19</f>
        <v>0</v>
      </c>
      <c r="R19" s="19" t="b">
        <f ca="1">P19 &gt; O19</f>
        <v>1</v>
      </c>
      <c r="U19" s="16"/>
    </row>
    <row r="20" spans="11:21" x14ac:dyDescent="0.15">
      <c r="K20" s="19">
        <v>19</v>
      </c>
      <c r="L20" s="19">
        <v>200</v>
      </c>
      <c r="N20" s="19">
        <v>0.38341565075489492</v>
      </c>
      <c r="O20" s="19">
        <f t="shared" si="3"/>
        <v>231.58717369132827</v>
      </c>
      <c r="P20" s="32" cm="1">
        <f t="array" aca="1" ref="P20" ca="1">INDEX($L$2:$L$51, RANDBETWEEN(1,50))</f>
        <v>300</v>
      </c>
      <c r="Q20" s="19" t="b">
        <f ca="1">O20 &gt; P20</f>
        <v>0</v>
      </c>
      <c r="R20" s="19" t="b">
        <f ca="1">P20 &gt; O20</f>
        <v>1</v>
      </c>
    </row>
    <row r="21" spans="11:21" x14ac:dyDescent="0.15">
      <c r="K21" s="19">
        <v>20</v>
      </c>
      <c r="L21" s="19">
        <v>200</v>
      </c>
      <c r="N21" s="19">
        <v>6.6842237518561179E-2</v>
      </c>
      <c r="O21" s="19">
        <f t="shared" si="3"/>
        <v>191.47583383429085</v>
      </c>
      <c r="P21" s="32" cm="1">
        <f t="array" aca="1" ref="P21" ca="1">INDEX($L$2:$L$51, RANDBETWEEN(1,50))</f>
        <v>250</v>
      </c>
      <c r="Q21" s="19" t="b">
        <f ca="1">O21 &gt; P21</f>
        <v>0</v>
      </c>
      <c r="R21" s="19" t="b">
        <f ca="1">P21 &gt; O21</f>
        <v>1</v>
      </c>
    </row>
    <row r="22" spans="11:21" x14ac:dyDescent="0.15">
      <c r="K22" s="19">
        <v>21</v>
      </c>
      <c r="L22" s="19">
        <v>200</v>
      </c>
      <c r="N22" s="19">
        <v>0.41748597445780689</v>
      </c>
      <c r="O22" s="19">
        <f t="shared" si="3"/>
        <v>236.30624576685622</v>
      </c>
      <c r="P22" s="32" cm="1">
        <f t="array" aca="1" ref="P22" ca="1">INDEX($L$2:$L$51, RANDBETWEEN(1,50))</f>
        <v>300</v>
      </c>
      <c r="Q22" s="19" t="b">
        <f ca="1">O22 &gt; P22</f>
        <v>0</v>
      </c>
      <c r="R22" s="19" t="b">
        <f ca="1">P22 &gt; O22</f>
        <v>1</v>
      </c>
    </row>
    <row r="23" spans="11:21" x14ac:dyDescent="0.15">
      <c r="K23" s="19">
        <v>22</v>
      </c>
      <c r="L23" s="19">
        <v>250</v>
      </c>
      <c r="N23" s="19">
        <v>0.68677271236049608</v>
      </c>
      <c r="O23" s="19">
        <f t="shared" si="3"/>
        <v>279.96477503908625</v>
      </c>
      <c r="P23" s="32" cm="1">
        <f t="array" aca="1" ref="P23" ca="1">INDEX($L$2:$L$51, RANDBETWEEN(1,50))</f>
        <v>250</v>
      </c>
      <c r="Q23" s="19" t="b">
        <f ca="1">O23 &gt; P23</f>
        <v>1</v>
      </c>
      <c r="R23" s="19" t="b">
        <f ca="1">P23 &gt; O23</f>
        <v>0</v>
      </c>
    </row>
    <row r="24" spans="11:21" x14ac:dyDescent="0.15">
      <c r="K24" s="19">
        <v>23</v>
      </c>
      <c r="L24" s="19">
        <v>250</v>
      </c>
      <c r="N24" s="19">
        <v>0.58897664285682916</v>
      </c>
      <c r="O24" s="19">
        <f t="shared" si="3"/>
        <v>262.49700211055085</v>
      </c>
      <c r="P24" s="32" cm="1">
        <f t="array" aca="1" ref="P24" ca="1">INDEX($L$2:$L$51, RANDBETWEEN(1,50))</f>
        <v>150</v>
      </c>
      <c r="Q24" s="19" t="b">
        <f ca="1">O24 &gt; P24</f>
        <v>1</v>
      </c>
      <c r="R24" s="19" t="b">
        <f ca="1">P24 &gt; O24</f>
        <v>0</v>
      </c>
    </row>
    <row r="25" spans="11:21" x14ac:dyDescent="0.15">
      <c r="K25" s="19">
        <v>24</v>
      </c>
      <c r="L25" s="19">
        <v>250</v>
      </c>
      <c r="N25" s="19">
        <v>0.93043649472782231</v>
      </c>
      <c r="O25" s="19">
        <f t="shared" si="3"/>
        <v>343.43215363371013</v>
      </c>
      <c r="P25" s="32" cm="1">
        <f t="array" aca="1" ref="P25" ca="1">INDEX($L$2:$L$51, RANDBETWEEN(1,50))</f>
        <v>250</v>
      </c>
      <c r="Q25" s="19" t="b">
        <f ca="1">O25 &gt; P25</f>
        <v>1</v>
      </c>
      <c r="R25" s="19" t="b">
        <f ca="1">P25 &gt; O25</f>
        <v>0</v>
      </c>
    </row>
    <row r="26" spans="11:21" x14ac:dyDescent="0.15">
      <c r="K26" s="19">
        <v>25</v>
      </c>
      <c r="L26" s="19">
        <v>250</v>
      </c>
      <c r="N26" s="19">
        <v>0.84616689050857297</v>
      </c>
      <c r="O26" s="19">
        <f t="shared" si="3"/>
        <v>315.87911652505284</v>
      </c>
      <c r="P26" s="32" cm="1">
        <f t="array" aca="1" ref="P26" ca="1">INDEX($L$2:$L$51, RANDBETWEEN(1,50))</f>
        <v>150</v>
      </c>
      <c r="Q26" s="19" t="b">
        <f ca="1">O26 &gt; P26</f>
        <v>1</v>
      </c>
      <c r="R26" s="19" t="b">
        <f ca="1">P26 &gt; O26</f>
        <v>0</v>
      </c>
    </row>
    <row r="27" spans="11:21" x14ac:dyDescent="0.15">
      <c r="K27" s="19">
        <v>26</v>
      </c>
      <c r="L27" s="19">
        <v>250</v>
      </c>
      <c r="N27" s="19">
        <v>0.52692877758616985</v>
      </c>
      <c r="O27" s="19">
        <f t="shared" si="3"/>
        <v>252.48296291263105</v>
      </c>
      <c r="P27" s="32" cm="1">
        <f t="array" aca="1" ref="P27" ca="1">INDEX($L$2:$L$51, RANDBETWEEN(1,50))</f>
        <v>200</v>
      </c>
      <c r="Q27" s="19" t="b">
        <f ca="1">O27 &gt; P27</f>
        <v>1</v>
      </c>
      <c r="R27" s="19" t="b">
        <f ca="1">P27 &gt; O27</f>
        <v>0</v>
      </c>
    </row>
    <row r="28" spans="11:21" x14ac:dyDescent="0.15">
      <c r="K28" s="19">
        <v>27</v>
      </c>
      <c r="L28" s="19">
        <v>250</v>
      </c>
      <c r="N28" s="19">
        <v>9.1964890757559287E-2</v>
      </c>
      <c r="O28" s="19">
        <f t="shared" si="3"/>
        <v>195.19042965546953</v>
      </c>
      <c r="P28" s="32" cm="1">
        <f t="array" aca="1" ref="P28" ca="1">INDEX($L$2:$L$51, RANDBETWEEN(1,50))</f>
        <v>200</v>
      </c>
      <c r="Q28" s="19" t="b">
        <f ca="1">O28 &gt; P28</f>
        <v>0</v>
      </c>
      <c r="R28" s="19" t="b">
        <f ca="1">P28 &gt; O28</f>
        <v>1</v>
      </c>
    </row>
    <row r="29" spans="11:21" x14ac:dyDescent="0.15">
      <c r="K29" s="19">
        <v>28</v>
      </c>
      <c r="L29" s="19">
        <v>250</v>
      </c>
      <c r="N29" s="19">
        <v>0.65391896229885471</v>
      </c>
      <c r="O29" s="19">
        <f t="shared" si="3"/>
        <v>273.82659656546991</v>
      </c>
      <c r="P29" s="32" cm="1">
        <f t="array" aca="1" ref="P29" ca="1">INDEX($L$2:$L$51, RANDBETWEEN(1,50))</f>
        <v>300</v>
      </c>
      <c r="Q29" s="19" t="b">
        <f ca="1">O29 &gt; P29</f>
        <v>0</v>
      </c>
      <c r="R29" s="19" t="b">
        <f ca="1">P29 &gt; O29</f>
        <v>1</v>
      </c>
    </row>
    <row r="30" spans="11:21" x14ac:dyDescent="0.15">
      <c r="K30" s="19">
        <v>29</v>
      </c>
      <c r="L30" s="19">
        <v>250</v>
      </c>
      <c r="N30" s="19">
        <v>0.41599935685098144</v>
      </c>
      <c r="O30" s="19">
        <f t="shared" si="3"/>
        <v>236.09749976020851</v>
      </c>
      <c r="P30" s="32" cm="1">
        <f t="array" aca="1" ref="P30" ca="1">INDEX($L$2:$L$51, RANDBETWEEN(1,50))</f>
        <v>300</v>
      </c>
      <c r="Q30" s="19" t="b">
        <f ca="1">O30 &gt; P30</f>
        <v>0</v>
      </c>
      <c r="R30" s="19" t="b">
        <f ca="1">P30 &gt; O30</f>
        <v>1</v>
      </c>
    </row>
    <row r="31" spans="11:21" x14ac:dyDescent="0.15">
      <c r="K31" s="19">
        <v>30</v>
      </c>
      <c r="L31" s="19">
        <v>250</v>
      </c>
      <c r="N31" s="19">
        <v>0.70119059444460585</v>
      </c>
      <c r="O31" s="19">
        <f t="shared" si="3"/>
        <v>282.75993579177754</v>
      </c>
      <c r="P31" s="32" cm="1">
        <f t="array" aca="1" ref="P31" ca="1">INDEX($L$2:$L$51, RANDBETWEEN(1,50))</f>
        <v>150</v>
      </c>
      <c r="Q31" s="19" t="b">
        <f ca="1">O31 &gt; P31</f>
        <v>1</v>
      </c>
      <c r="R31" s="19" t="b">
        <f ca="1">P31 &gt; O31</f>
        <v>0</v>
      </c>
    </row>
    <row r="32" spans="11:21" x14ac:dyDescent="0.15">
      <c r="K32" s="19">
        <v>31</v>
      </c>
      <c r="L32" s="19">
        <v>250</v>
      </c>
      <c r="N32" s="19">
        <v>0.91032083048965817</v>
      </c>
      <c r="O32" s="19">
        <f t="shared" si="3"/>
        <v>335.77195474346331</v>
      </c>
      <c r="P32" s="32" cm="1">
        <f t="array" aca="1" ref="P32" ca="1">INDEX($L$2:$L$51, RANDBETWEEN(1,50))</f>
        <v>250</v>
      </c>
      <c r="Q32" s="19" t="b">
        <f ca="1">O32 &gt; P32</f>
        <v>1</v>
      </c>
      <c r="R32" s="19" t="b">
        <f ca="1">P32 &gt; O32</f>
        <v>0</v>
      </c>
    </row>
    <row r="33" spans="11:18" x14ac:dyDescent="0.15">
      <c r="K33" s="19">
        <v>32</v>
      </c>
      <c r="L33" s="19">
        <v>250</v>
      </c>
      <c r="N33" s="19">
        <v>0.76219803968546818</v>
      </c>
      <c r="O33" s="19">
        <f t="shared" si="3"/>
        <v>295.41085058922954</v>
      </c>
      <c r="P33" s="32" cm="1">
        <f t="array" aca="1" ref="P33" ca="1">INDEX($L$2:$L$51, RANDBETWEEN(1,50))</f>
        <v>250</v>
      </c>
      <c r="Q33" s="19" t="b">
        <f ca="1">O33 &gt; P33</f>
        <v>1</v>
      </c>
      <c r="R33" s="19" t="b">
        <f ca="1">P33 &gt; O33</f>
        <v>0</v>
      </c>
    </row>
    <row r="34" spans="11:18" x14ac:dyDescent="0.15">
      <c r="K34" s="19">
        <v>33</v>
      </c>
      <c r="L34" s="19">
        <v>250</v>
      </c>
      <c r="N34" s="19">
        <v>0.26245299366417013</v>
      </c>
      <c r="O34" s="19">
        <f t="shared" si="3"/>
        <v>215.80672571603444</v>
      </c>
      <c r="P34" s="32" cm="1">
        <f t="array" aca="1" ref="P34" ca="1">INDEX($L$2:$L$51, RANDBETWEEN(1,50))</f>
        <v>300</v>
      </c>
      <c r="Q34" s="19" t="b">
        <f ca="1">O34 &gt; P34</f>
        <v>0</v>
      </c>
      <c r="R34" s="19" t="b">
        <f ca="1">P34 &gt; O34</f>
        <v>1</v>
      </c>
    </row>
    <row r="35" spans="11:18" x14ac:dyDescent="0.15">
      <c r="K35" s="19">
        <v>34</v>
      </c>
      <c r="L35" s="19">
        <v>250</v>
      </c>
      <c r="N35" s="19">
        <v>4.7464513707656655E-2</v>
      </c>
      <c r="O35" s="19">
        <f t="shared" si="3"/>
        <v>188.09710320970819</v>
      </c>
      <c r="P35" s="32" cm="1">
        <f t="array" aca="1" ref="P35" ca="1">INDEX($L$2:$L$51, RANDBETWEEN(1,50))</f>
        <v>250</v>
      </c>
      <c r="Q35" s="19" t="b">
        <f ca="1">O35 &gt; P35</f>
        <v>0</v>
      </c>
      <c r="R35" s="19" t="b">
        <f ca="1">P35 &gt; O35</f>
        <v>1</v>
      </c>
    </row>
    <row r="36" spans="11:18" x14ac:dyDescent="0.15">
      <c r="K36" s="19">
        <v>35</v>
      </c>
      <c r="L36" s="19">
        <v>250</v>
      </c>
      <c r="N36" s="19">
        <v>0.73608188458535906</v>
      </c>
      <c r="O36" s="19">
        <f t="shared" si="3"/>
        <v>289.81727309113518</v>
      </c>
      <c r="P36" s="32" cm="1">
        <f t="array" aca="1" ref="P36" ca="1">INDEX($L$2:$L$51, RANDBETWEEN(1,50))</f>
        <v>300</v>
      </c>
      <c r="Q36" s="19" t="b">
        <f ca="1">O36 &gt; P36</f>
        <v>0</v>
      </c>
      <c r="R36" s="19" t="b">
        <f ca="1">P36 &gt; O36</f>
        <v>1</v>
      </c>
    </row>
    <row r="37" spans="11:18" x14ac:dyDescent="0.15">
      <c r="K37" s="19">
        <v>36</v>
      </c>
      <c r="L37" s="19">
        <v>250</v>
      </c>
      <c r="N37" s="19">
        <v>0.32823422613005815</v>
      </c>
      <c r="O37" s="19">
        <f t="shared" si="3"/>
        <v>224.21255563033711</v>
      </c>
      <c r="P37" s="32" cm="1">
        <f t="array" aca="1" ref="P37" ca="1">INDEX($L$2:$L$51, RANDBETWEEN(1,50))</f>
        <v>200</v>
      </c>
      <c r="Q37" s="19" t="b">
        <f ca="1">O37 &gt; P37</f>
        <v>1</v>
      </c>
      <c r="R37" s="19" t="b">
        <f ca="1">P37 &gt; O37</f>
        <v>0</v>
      </c>
    </row>
    <row r="38" spans="11:18" x14ac:dyDescent="0.15">
      <c r="K38" s="19">
        <v>37</v>
      </c>
      <c r="L38" s="19">
        <v>250</v>
      </c>
      <c r="N38" s="19">
        <v>0.63263856788754391</v>
      </c>
      <c r="O38" s="19">
        <f t="shared" si="3"/>
        <v>270.00528519523198</v>
      </c>
      <c r="P38" s="32" cm="1">
        <f t="array" aca="1" ref="P38" ca="1">INDEX($L$2:$L$51, RANDBETWEEN(1,50))</f>
        <v>250</v>
      </c>
      <c r="Q38" s="19" t="b">
        <f ca="1">O38 &gt; P38</f>
        <v>1</v>
      </c>
      <c r="R38" s="19" t="b">
        <f ca="1">P38 &gt; O38</f>
        <v>0</v>
      </c>
    </row>
    <row r="39" spans="11:18" x14ac:dyDescent="0.15">
      <c r="K39" s="19">
        <v>38</v>
      </c>
      <c r="L39" s="19">
        <v>250</v>
      </c>
      <c r="N39" s="19">
        <v>0.75641048595142113</v>
      </c>
      <c r="O39" s="19">
        <f t="shared" si="3"/>
        <v>294.14577171300795</v>
      </c>
      <c r="P39" s="32" cm="1">
        <f t="array" aca="1" ref="P39" ca="1">INDEX($L$2:$L$51, RANDBETWEEN(1,50))</f>
        <v>300</v>
      </c>
      <c r="Q39" s="19" t="b">
        <f ca="1">O39 &gt; P39</f>
        <v>0</v>
      </c>
      <c r="R39" s="19" t="b">
        <f ca="1">P39 &gt; O39</f>
        <v>1</v>
      </c>
    </row>
    <row r="40" spans="11:18" x14ac:dyDescent="0.15">
      <c r="K40" s="19">
        <v>39</v>
      </c>
      <c r="L40" s="19">
        <v>300</v>
      </c>
      <c r="N40" s="19">
        <v>0.99103738553404686</v>
      </c>
      <c r="O40" s="19">
        <f t="shared" si="3"/>
        <v>379.69531420007087</v>
      </c>
      <c r="P40" s="32" cm="1">
        <f t="array" aca="1" ref="P40" ca="1">INDEX($L$2:$L$51, RANDBETWEEN(1,50))</f>
        <v>250</v>
      </c>
      <c r="Q40" s="19" t="b">
        <f ca="1">O40 &gt; P40</f>
        <v>1</v>
      </c>
      <c r="R40" s="19" t="b">
        <f ca="1">P40 &gt; O40</f>
        <v>0</v>
      </c>
    </row>
    <row r="41" spans="11:18" x14ac:dyDescent="0.15">
      <c r="K41" s="19">
        <v>40</v>
      </c>
      <c r="L41" s="19">
        <v>300</v>
      </c>
      <c r="N41" s="19">
        <v>0.36533867072562626</v>
      </c>
      <c r="O41" s="19">
        <f t="shared" si="3"/>
        <v>229.13624975840784</v>
      </c>
      <c r="P41" s="32" cm="1">
        <f t="array" aca="1" ref="P41" ca="1">INDEX($L$2:$L$51, RANDBETWEEN(1,50))</f>
        <v>300</v>
      </c>
      <c r="Q41" s="19" t="b">
        <f ca="1">O41 &gt; P41</f>
        <v>0</v>
      </c>
      <c r="R41" s="19" t="b">
        <f ca="1">P41 &gt; O41</f>
        <v>1</v>
      </c>
    </row>
    <row r="42" spans="11:18" x14ac:dyDescent="0.15">
      <c r="K42" s="19">
        <v>41</v>
      </c>
      <c r="L42" s="19">
        <v>300</v>
      </c>
      <c r="N42" s="19">
        <v>0.24703888560041734</v>
      </c>
      <c r="O42" s="19">
        <f t="shared" si="3"/>
        <v>213.89193660031597</v>
      </c>
      <c r="P42" s="32" cm="1">
        <f t="array" aca="1" ref="P42" ca="1">INDEX($L$2:$L$51, RANDBETWEEN(1,50))</f>
        <v>100</v>
      </c>
      <c r="Q42" s="19" t="b">
        <f ca="1">O42 &gt; P42</f>
        <v>1</v>
      </c>
      <c r="R42" s="19" t="b">
        <f ca="1">P42 &gt; O42</f>
        <v>0</v>
      </c>
    </row>
    <row r="43" spans="11:18" x14ac:dyDescent="0.15">
      <c r="K43" s="19">
        <v>42</v>
      </c>
      <c r="L43" s="19">
        <v>300</v>
      </c>
      <c r="N43" s="19">
        <v>0.98255028621412366</v>
      </c>
      <c r="O43" s="19">
        <f t="shared" si="3"/>
        <v>371.66827159966567</v>
      </c>
      <c r="P43" s="32" cm="1">
        <f t="array" aca="1" ref="P43" ca="1">INDEX($L$2:$L$51, RANDBETWEEN(1,50))</f>
        <v>100</v>
      </c>
      <c r="Q43" s="19" t="b">
        <f ca="1">O43 &gt; P43</f>
        <v>1</v>
      </c>
      <c r="R43" s="19" t="b">
        <f ca="1">P43 &gt; O43</f>
        <v>0</v>
      </c>
    </row>
    <row r="44" spans="11:18" x14ac:dyDescent="0.15">
      <c r="K44" s="19">
        <v>43</v>
      </c>
      <c r="L44" s="19">
        <v>300</v>
      </c>
      <c r="N44" s="19">
        <v>0.7226604007755687</v>
      </c>
      <c r="O44" s="19">
        <f t="shared" si="3"/>
        <v>287.05035828156053</v>
      </c>
      <c r="P44" s="32" cm="1">
        <f t="array" aca="1" ref="P44" ca="1">INDEX($L$2:$L$51, RANDBETWEEN(1,50))</f>
        <v>250</v>
      </c>
      <c r="Q44" s="19" t="b">
        <f ca="1">O44 &gt; P44</f>
        <v>1</v>
      </c>
      <c r="R44" s="19" t="b">
        <f ca="1">P44 &gt; O44</f>
        <v>0</v>
      </c>
    </row>
    <row r="45" spans="11:18" x14ac:dyDescent="0.15">
      <c r="K45" s="19">
        <v>44</v>
      </c>
      <c r="L45" s="19">
        <v>300</v>
      </c>
      <c r="N45" s="19">
        <v>0.75335583498392056</v>
      </c>
      <c r="O45" s="19">
        <f t="shared" si="3"/>
        <v>293.48412517028436</v>
      </c>
      <c r="P45" s="32" cm="1">
        <f t="array" aca="1" ref="P45" ca="1">INDEX($L$2:$L$51, RANDBETWEEN(1,50))</f>
        <v>300</v>
      </c>
      <c r="Q45" s="19" t="b">
        <f ca="1">O45 &gt; P45</f>
        <v>0</v>
      </c>
      <c r="R45" s="19" t="b">
        <f ca="1">P45 &gt; O45</f>
        <v>1</v>
      </c>
    </row>
    <row r="46" spans="11:18" x14ac:dyDescent="0.15">
      <c r="K46" s="19">
        <v>45</v>
      </c>
      <c r="L46" s="19">
        <v>300</v>
      </c>
      <c r="N46" s="19">
        <v>0.65151857475355202</v>
      </c>
      <c r="O46" s="19">
        <f t="shared" si="3"/>
        <v>273.38978887413305</v>
      </c>
      <c r="P46" s="32" cm="1">
        <f t="array" aca="1" ref="P46" ca="1">INDEX($L$2:$L$51, RANDBETWEEN(1,50))</f>
        <v>300</v>
      </c>
      <c r="Q46" s="19" t="b">
        <f ca="1">O46 &gt; P46</f>
        <v>0</v>
      </c>
      <c r="R46" s="19" t="b">
        <f ca="1">P46 &gt; O46</f>
        <v>1</v>
      </c>
    </row>
    <row r="47" spans="11:18" x14ac:dyDescent="0.15">
      <c r="K47" s="19">
        <v>46</v>
      </c>
      <c r="L47" s="19">
        <v>300</v>
      </c>
      <c r="N47" s="19">
        <v>7.2685882948658381E-2</v>
      </c>
      <c r="O47" s="19">
        <f t="shared" si="3"/>
        <v>192.39492336101517</v>
      </c>
      <c r="P47" s="32" cm="1">
        <f t="array" aca="1" ref="P47" ca="1">INDEX($L$2:$L$51, RANDBETWEEN(1,50))</f>
        <v>150</v>
      </c>
      <c r="Q47" s="19" t="b">
        <f ca="1">O47 &gt; P47</f>
        <v>1</v>
      </c>
      <c r="R47" s="19" t="b">
        <f ca="1">P47 &gt; O47</f>
        <v>0</v>
      </c>
    </row>
    <row r="48" spans="11:18" x14ac:dyDescent="0.15">
      <c r="K48" s="19">
        <v>47</v>
      </c>
      <c r="L48" s="19">
        <v>300</v>
      </c>
      <c r="N48" s="19">
        <v>0.63163471810130156</v>
      </c>
      <c r="O48" s="19">
        <f t="shared" si="3"/>
        <v>269.82779495091847</v>
      </c>
      <c r="P48" s="32" cm="1">
        <f t="array" aca="1" ref="P48" ca="1">INDEX($L$2:$L$51, RANDBETWEEN(1,50))</f>
        <v>200</v>
      </c>
      <c r="Q48" s="19" t="b">
        <f ca="1">O48 &gt; P48</f>
        <v>1</v>
      </c>
      <c r="R48" s="19" t="b">
        <f ca="1">P48 &gt; O48</f>
        <v>0</v>
      </c>
    </row>
    <row r="49" spans="1:18" x14ac:dyDescent="0.15">
      <c r="K49" s="19">
        <v>48</v>
      </c>
      <c r="L49" s="19">
        <v>300</v>
      </c>
      <c r="N49" s="19">
        <v>0.88470712857540101</v>
      </c>
      <c r="O49" s="19">
        <f t="shared" si="3"/>
        <v>327.175058630085</v>
      </c>
      <c r="P49" s="32" cm="1">
        <f t="array" aca="1" ref="P49" ca="1">INDEX($L$2:$L$51, RANDBETWEEN(1,50))</f>
        <v>300</v>
      </c>
      <c r="Q49" s="19" t="b">
        <f ca="1">O49 &gt; P49</f>
        <v>1</v>
      </c>
      <c r="R49" s="19" t="b">
        <f ca="1">P49 &gt; O49</f>
        <v>0</v>
      </c>
    </row>
    <row r="50" spans="1:18" x14ac:dyDescent="0.15">
      <c r="K50" s="19">
        <v>49</v>
      </c>
      <c r="L50" s="19">
        <v>300</v>
      </c>
      <c r="N50" s="19">
        <v>0.27270996676418463</v>
      </c>
      <c r="O50" s="19">
        <f t="shared" si="3"/>
        <v>217.09198615465885</v>
      </c>
      <c r="P50" s="32" cm="1">
        <f t="array" aca="1" ref="P50" ca="1">INDEX($L$2:$L$51, RANDBETWEEN(1,50))</f>
        <v>150</v>
      </c>
      <c r="Q50" s="19" t="b">
        <f ca="1">O50 &gt; P50</f>
        <v>1</v>
      </c>
      <c r="R50" s="19" t="b">
        <f ca="1">P50 &gt; O50</f>
        <v>0</v>
      </c>
    </row>
    <row r="51" spans="1:18" x14ac:dyDescent="0.15">
      <c r="K51" s="19">
        <v>50</v>
      </c>
      <c r="L51" s="19">
        <v>300</v>
      </c>
      <c r="N51" s="19">
        <v>0.43641140565109038</v>
      </c>
      <c r="O51" s="19">
        <f t="shared" si="3"/>
        <v>238.9873441618646</v>
      </c>
      <c r="P51" s="32" cm="1">
        <f t="array" aca="1" ref="P51" ca="1">INDEX($L$2:$L$51, RANDBETWEEN(1,50))</f>
        <v>250</v>
      </c>
      <c r="Q51" s="19" t="b">
        <f ca="1">O51 &gt; P51</f>
        <v>0</v>
      </c>
      <c r="R51" s="19" t="b">
        <f ca="1">P51 &gt; O51</f>
        <v>1</v>
      </c>
    </row>
    <row r="52" spans="1:18" x14ac:dyDescent="0.15">
      <c r="N52" s="19">
        <v>0.76649477787618281</v>
      </c>
      <c r="O52" s="19">
        <f t="shared" si="3"/>
        <v>296.36004526392537</v>
      </c>
      <c r="P52" s="32" cm="1">
        <f t="array" aca="1" ref="P52" ca="1">INDEX($L$2:$L$51, RANDBETWEEN(1,50))</f>
        <v>250</v>
      </c>
      <c r="Q52" s="19" t="b">
        <f ca="1">O52 &gt; P52</f>
        <v>1</v>
      </c>
      <c r="R52" s="19" t="b">
        <f ca="1">P52 &gt; O52</f>
        <v>0</v>
      </c>
    </row>
    <row r="53" spans="1:18" x14ac:dyDescent="0.15">
      <c r="N53" s="19">
        <v>0.47773176500468134</v>
      </c>
      <c r="O53" s="19">
        <f t="shared" si="3"/>
        <v>245.00213288633722</v>
      </c>
      <c r="P53" s="32" cm="1">
        <f t="array" aca="1" ref="P53" ca="1">INDEX($L$2:$L$51, RANDBETWEEN(1,50))</f>
        <v>300</v>
      </c>
      <c r="Q53" s="19" t="b">
        <f ca="1">O53 &gt; P53</f>
        <v>0</v>
      </c>
      <c r="R53" s="19" t="b">
        <f ca="1">P53 &gt; O53</f>
        <v>1</v>
      </c>
    </row>
    <row r="54" spans="1:18" x14ac:dyDescent="0.15">
      <c r="N54" s="19">
        <v>0.23777443367884235</v>
      </c>
      <c r="O54" s="19">
        <f t="shared" si="3"/>
        <v>212.75049786241553</v>
      </c>
      <c r="P54" s="32" cm="1">
        <f t="array" aca="1" ref="P54" ca="1">INDEX($L$2:$L$51, RANDBETWEEN(1,50))</f>
        <v>200</v>
      </c>
      <c r="Q54" s="19" t="b">
        <f ca="1">O54 &gt; P54</f>
        <v>1</v>
      </c>
      <c r="R54" s="19" t="b">
        <f ca="1">P54 &gt; O54</f>
        <v>0</v>
      </c>
    </row>
    <row r="55" spans="1:18" x14ac:dyDescent="0.15">
      <c r="N55" s="19">
        <v>0.27490684030340373</v>
      </c>
      <c r="O55" s="19">
        <f t="shared" si="3"/>
        <v>217.36844372879196</v>
      </c>
      <c r="P55" s="32" cm="1">
        <f t="array" aca="1" ref="P55" ca="1">INDEX($L$2:$L$51, RANDBETWEEN(1,50))</f>
        <v>150</v>
      </c>
      <c r="Q55" s="19" t="b">
        <f ca="1">O55 &gt; P55</f>
        <v>1</v>
      </c>
      <c r="R55" s="19" t="b">
        <f ca="1">P55 &gt; O55</f>
        <v>0</v>
      </c>
    </row>
    <row r="56" spans="1:18" x14ac:dyDescent="0.15">
      <c r="N56" s="19">
        <v>0.35926497930626616</v>
      </c>
      <c r="O56" s="19">
        <f t="shared" si="3"/>
        <v>228.32061582149197</v>
      </c>
      <c r="P56" s="32" cm="1">
        <f t="array" aca="1" ref="P56" ca="1">INDEX($L$2:$L$51, RANDBETWEEN(1,50))</f>
        <v>150</v>
      </c>
      <c r="Q56" s="19" t="b">
        <f ca="1">O56 &gt; P56</f>
        <v>1</v>
      </c>
      <c r="R56" s="19" t="b">
        <f ca="1">P56 &gt; O56</f>
        <v>0</v>
      </c>
    </row>
    <row r="57" spans="1:18" x14ac:dyDescent="0.15">
      <c r="N57" s="19">
        <v>0.16650720041548236</v>
      </c>
      <c r="O57" s="19">
        <f t="shared" si="3"/>
        <v>204.19226577867818</v>
      </c>
      <c r="P57" s="32" cm="1">
        <f t="array" aca="1" ref="P57" ca="1">INDEX($L$2:$L$51, RANDBETWEEN(1,50))</f>
        <v>250</v>
      </c>
      <c r="Q57" s="19" t="b">
        <f ca="1">O57 &gt; P57</f>
        <v>0</v>
      </c>
      <c r="R57" s="19" t="b">
        <f ca="1">P57 &gt; O57</f>
        <v>1</v>
      </c>
    </row>
    <row r="58" spans="1:18" x14ac:dyDescent="0.15">
      <c r="N58" s="19">
        <v>0.48651738301223024</v>
      </c>
      <c r="O58" s="19">
        <f t="shared" si="3"/>
        <v>246.31135246402417</v>
      </c>
      <c r="P58" s="32" cm="1">
        <f t="array" aca="1" ref="P58" ca="1">INDEX($L$2:$L$51, RANDBETWEEN(1,50))</f>
        <v>200</v>
      </c>
      <c r="Q58" s="19" t="b">
        <f ca="1">O58 &gt; P58</f>
        <v>1</v>
      </c>
      <c r="R58" s="19" t="b">
        <f ca="1">P58 &gt; O58</f>
        <v>0</v>
      </c>
    </row>
    <row r="59" spans="1:18" x14ac:dyDescent="0.15">
      <c r="N59" s="19">
        <v>0.89765628655331964</v>
      </c>
      <c r="O59" s="19">
        <f t="shared" si="3"/>
        <v>331.38651139500848</v>
      </c>
      <c r="P59" s="32" cm="1">
        <f t="array" aca="1" ref="P59" ca="1">INDEX($L$2:$L$51, RANDBETWEEN(1,50))</f>
        <v>150</v>
      </c>
      <c r="Q59" s="19" t="b">
        <f ca="1">O59 &gt; P59</f>
        <v>1</v>
      </c>
      <c r="R59" s="19" t="b">
        <f ca="1">P59 &gt; O59</f>
        <v>0</v>
      </c>
    </row>
    <row r="60" spans="1:18" x14ac:dyDescent="0.15">
      <c r="N60" s="19">
        <v>0.90920810164381194</v>
      </c>
      <c r="O60" s="19">
        <f t="shared" si="3"/>
        <v>335.37471605954329</v>
      </c>
      <c r="P60" s="32" cm="1">
        <f t="array" aca="1" ref="P60" ca="1">INDEX($L$2:$L$51, RANDBETWEEN(1,50))</f>
        <v>250</v>
      </c>
      <c r="Q60" s="19" t="b">
        <f ca="1">O60 &gt; P60</f>
        <v>1</v>
      </c>
      <c r="R60" s="19" t="b">
        <f ca="1">P60 &gt; O60</f>
        <v>0</v>
      </c>
    </row>
    <row r="61" spans="1:18" ht="18" x14ac:dyDescent="0.2">
      <c r="C61" s="82"/>
      <c r="N61" s="19">
        <v>6.0564327547589468E-2</v>
      </c>
      <c r="O61" s="19">
        <f t="shared" si="3"/>
        <v>190.44245239882846</v>
      </c>
      <c r="P61" s="32" cm="1">
        <f t="array" aca="1" ref="P61" ca="1">INDEX($L$2:$L$51, RANDBETWEEN(1,50))</f>
        <v>200</v>
      </c>
      <c r="Q61" s="19" t="b">
        <f ca="1">O61 &gt; P61</f>
        <v>0</v>
      </c>
      <c r="R61" s="19" t="b">
        <f ca="1">P61 &gt; O61</f>
        <v>1</v>
      </c>
    </row>
    <row r="62" spans="1:18" ht="18" x14ac:dyDescent="0.15">
      <c r="A62" s="86" t="s">
        <v>78</v>
      </c>
      <c r="B62" s="86"/>
      <c r="C62" s="83"/>
      <c r="D62" s="17"/>
      <c r="E62" s="17"/>
      <c r="N62" s="19">
        <v>0.90465309233621372</v>
      </c>
      <c r="O62" s="19">
        <f t="shared" si="3"/>
        <v>333.77343620167079</v>
      </c>
      <c r="P62" s="32" cm="1">
        <f t="array" aca="1" ref="P62" ca="1">INDEX($L$2:$L$51, RANDBETWEEN(1,50))</f>
        <v>200</v>
      </c>
      <c r="Q62" s="19" t="b">
        <f ca="1">O62 &gt; P62</f>
        <v>1</v>
      </c>
      <c r="R62" s="19" t="b">
        <f ca="1">P62 &gt; O62</f>
        <v>0</v>
      </c>
    </row>
    <row r="63" spans="1:18" ht="18" x14ac:dyDescent="0.2">
      <c r="A63" s="19" t="b">
        <v>1</v>
      </c>
      <c r="B63" s="19">
        <f ca="1">COUNTIF($Q$2:$Q$501,A63)</f>
        <v>299</v>
      </c>
      <c r="C63" s="82" t="str">
        <f ca="1">_xlfn.FORMULATEXT(B63)</f>
        <v>=COUNTIF($Q$2:$Q$501,A63)</v>
      </c>
      <c r="N63" s="19">
        <v>0.50452289474407341</v>
      </c>
      <c r="O63" s="19">
        <f t="shared" si="3"/>
        <v>249.02998032134784</v>
      </c>
      <c r="P63" s="32" cm="1">
        <f t="array" aca="1" ref="P63" ca="1">INDEX($L$2:$L$51, RANDBETWEEN(1,50))</f>
        <v>250</v>
      </c>
      <c r="Q63" s="19" t="b">
        <f ca="1">O63 &gt; P63</f>
        <v>0</v>
      </c>
      <c r="R63" s="19" t="b">
        <f ca="1">P63 &gt; O63</f>
        <v>1</v>
      </c>
    </row>
    <row r="64" spans="1:18" ht="18" x14ac:dyDescent="0.2">
      <c r="A64" s="19" t="b">
        <v>0</v>
      </c>
      <c r="B64" s="19">
        <f ca="1">COUNTIF($Q$2:$Q$501,A64)</f>
        <v>201</v>
      </c>
      <c r="C64" s="82" t="str">
        <f t="shared" ref="C64:C68" ca="1" si="6">_xlfn.FORMULATEXT(B64)</f>
        <v>=COUNTIF($Q$2:$Q$501,A64)</v>
      </c>
      <c r="N64" s="19">
        <v>0.51629196364259899</v>
      </c>
      <c r="O64" s="19">
        <f t="shared" si="3"/>
        <v>250.83375156410065</v>
      </c>
      <c r="P64" s="32" cm="1">
        <f t="array" aca="1" ref="P64" ca="1">INDEX($L$2:$L$51, RANDBETWEEN(1,50))</f>
        <v>200</v>
      </c>
      <c r="Q64" s="19" t="b">
        <f ca="1">O64 &gt; P64</f>
        <v>1</v>
      </c>
      <c r="R64" s="19" t="b">
        <f ca="1">P64 &gt; O64</f>
        <v>0</v>
      </c>
    </row>
    <row r="65" spans="1:18" ht="18" x14ac:dyDescent="0.2">
      <c r="C65" s="82"/>
      <c r="N65" s="19">
        <v>0.31903294116213587</v>
      </c>
      <c r="O65" s="19">
        <f t="shared" si="3"/>
        <v>223.01275552588049</v>
      </c>
      <c r="P65" s="32" cm="1">
        <f t="array" aca="1" ref="P65" ca="1">INDEX($L$2:$L$51, RANDBETWEEN(1,50))</f>
        <v>200</v>
      </c>
      <c r="Q65" s="19" t="b">
        <f ca="1">O65 &gt; P65</f>
        <v>1</v>
      </c>
      <c r="R65" s="19" t="b">
        <f ca="1">P65 &gt; O65</f>
        <v>0</v>
      </c>
    </row>
    <row r="66" spans="1:18" ht="18" x14ac:dyDescent="0.2">
      <c r="A66" s="89" t="s">
        <v>79</v>
      </c>
      <c r="B66" s="84"/>
      <c r="C66" s="82"/>
      <c r="N66" s="19">
        <v>0.98664211201790819</v>
      </c>
      <c r="O66" s="19">
        <f t="shared" si="3"/>
        <v>375.21163887675863</v>
      </c>
      <c r="P66" s="32" cm="1">
        <f t="array" aca="1" ref="P66" ca="1">INDEX($L$2:$L$51, RANDBETWEEN(1,50))</f>
        <v>200</v>
      </c>
      <c r="Q66" s="19" t="b">
        <f ca="1">O66 &gt; P66</f>
        <v>1</v>
      </c>
      <c r="R66" s="19" t="b">
        <f ca="1">P66 &gt; O66</f>
        <v>0</v>
      </c>
    </row>
    <row r="67" spans="1:18" ht="18" x14ac:dyDescent="0.2">
      <c r="A67" s="19" t="b">
        <v>1</v>
      </c>
      <c r="B67" s="19">
        <f ca="1">COUNTIF($R$2:$R$501,A67)</f>
        <v>201</v>
      </c>
      <c r="C67" s="82" t="str">
        <f t="shared" ca="1" si="6"/>
        <v>=COUNTIF($R$2:$R$501,A67)</v>
      </c>
      <c r="N67" s="19">
        <v>0.49397668498287756</v>
      </c>
      <c r="O67" s="19">
        <f t="shared" ref="O67:O130" si="7">IF(N67&lt;(200-170)/(400-170),
    170 + SQRT(N67*(400-170)*(200-170)),
    400 - SQRT((1-N67)*(400-170)*(400-200))
  )</f>
        <v>247.43174481305871</v>
      </c>
      <c r="P67" s="32" cm="1">
        <f t="array" aca="1" ref="P67" ca="1">INDEX($L$2:$L$51, RANDBETWEEN(1,50))</f>
        <v>150</v>
      </c>
      <c r="Q67" s="19" t="b">
        <f ca="1">O67 &gt; P67</f>
        <v>1</v>
      </c>
      <c r="R67" s="19" t="b">
        <f ca="1">P67 &gt; O67</f>
        <v>0</v>
      </c>
    </row>
    <row r="68" spans="1:18" ht="18" x14ac:dyDescent="0.2">
      <c r="A68" s="19" t="b">
        <v>0</v>
      </c>
      <c r="B68" s="19">
        <f ca="1">COUNTIF($R$2:$R$501,A68)</f>
        <v>299</v>
      </c>
      <c r="C68" s="82" t="str">
        <f t="shared" ca="1" si="6"/>
        <v>=COUNTIF($R$2:$R$501,A68)</v>
      </c>
      <c r="N68" s="19">
        <v>0.26614450722287619</v>
      </c>
      <c r="O68" s="19">
        <f t="shared" si="7"/>
        <v>216.26825895412711</v>
      </c>
      <c r="P68" s="32" cm="1">
        <f t="array" aca="1" ref="P68" ca="1">INDEX($L$2:$L$51, RANDBETWEEN(1,50))</f>
        <v>250</v>
      </c>
      <c r="Q68" s="19" t="b">
        <f ca="1">O68 &gt; P68</f>
        <v>0</v>
      </c>
      <c r="R68" s="19" t="b">
        <f ca="1">P68 &gt; O68</f>
        <v>1</v>
      </c>
    </row>
    <row r="69" spans="1:18" x14ac:dyDescent="0.15">
      <c r="C69" s="75"/>
      <c r="N69" s="19">
        <v>9.0732894880107093E-2</v>
      </c>
      <c r="O69" s="19">
        <f t="shared" si="7"/>
        <v>195.02113056344055</v>
      </c>
      <c r="P69" s="32" cm="1">
        <f t="array" aca="1" ref="P69" ca="1">INDEX($L$2:$L$51, RANDBETWEEN(1,50))</f>
        <v>250</v>
      </c>
      <c r="Q69" s="19" t="b">
        <f ca="1">O69 &gt; P69</f>
        <v>0</v>
      </c>
      <c r="R69" s="19" t="b">
        <f ca="1">P69 &gt; O69</f>
        <v>1</v>
      </c>
    </row>
    <row r="70" spans="1:18" ht="15" x14ac:dyDescent="0.15">
      <c r="A70" s="77" t="s">
        <v>80</v>
      </c>
      <c r="N70" s="19">
        <v>0.94776424995985076</v>
      </c>
      <c r="O70" s="19">
        <f t="shared" si="7"/>
        <v>350.9811821659593</v>
      </c>
      <c r="P70" s="32" cm="1">
        <f t="array" aca="1" ref="P70" ca="1">INDEX($L$2:$L$51, RANDBETWEEN(1,50))</f>
        <v>250</v>
      </c>
      <c r="Q70" s="19" t="b">
        <f ca="1">O70 &gt; P70</f>
        <v>1</v>
      </c>
      <c r="R70" s="19" t="b">
        <f ca="1">P70 &gt; O70</f>
        <v>0</v>
      </c>
    </row>
    <row r="71" spans="1:18" ht="15" x14ac:dyDescent="0.15">
      <c r="A71" s="78"/>
      <c r="B71" s="79" t="s">
        <v>81</v>
      </c>
      <c r="C71" s="79" t="s">
        <v>82</v>
      </c>
      <c r="D71" s="79" t="s">
        <v>83</v>
      </c>
      <c r="E71" s="79" t="s">
        <v>84</v>
      </c>
      <c r="F71" s="75"/>
      <c r="G71" s="75"/>
      <c r="H71" s="26"/>
      <c r="I71" s="26"/>
      <c r="N71" s="19">
        <v>7.374907521239904E-2</v>
      </c>
      <c r="O71" s="19">
        <f t="shared" si="7"/>
        <v>192.55811647646038</v>
      </c>
      <c r="P71" s="32" cm="1">
        <f t="array" aca="1" ref="P71" ca="1">INDEX($L$2:$L$51, RANDBETWEEN(1,50))</f>
        <v>300</v>
      </c>
      <c r="Q71" s="19" t="b">
        <f ca="1">O71 &gt; P71</f>
        <v>0</v>
      </c>
      <c r="R71" s="19" t="b">
        <f ca="1">P71 &gt; O71</f>
        <v>1</v>
      </c>
    </row>
    <row r="72" spans="1:18" ht="15" x14ac:dyDescent="0.15">
      <c r="A72" s="78"/>
      <c r="B72" s="79">
        <f>AVERAGE(O2:O501)</f>
        <v>255.55064742636961</v>
      </c>
      <c r="C72" s="79">
        <f ca="1">AVERAGE(P2:P501)</f>
        <v>229.1</v>
      </c>
      <c r="D72" s="79">
        <f>_xlfn.STDEV.P(O2:O501)</f>
        <v>49.809190969308275</v>
      </c>
      <c r="E72" s="79">
        <f ca="1">_xlfn.STDEV.P(P2:P501)</f>
        <v>59.566685319900081</v>
      </c>
      <c r="F72" s="75"/>
      <c r="G72" s="75"/>
      <c r="N72" s="19">
        <v>0.50070709479074327</v>
      </c>
      <c r="O72" s="19">
        <f t="shared" si="7"/>
        <v>248.44976529339914</v>
      </c>
      <c r="P72" s="32" cm="1">
        <f t="array" aca="1" ref="P72" ca="1">INDEX($L$2:$L$51, RANDBETWEEN(1,50))</f>
        <v>250</v>
      </c>
      <c r="Q72" s="19" t="b">
        <f ca="1">O72 &gt; P72</f>
        <v>0</v>
      </c>
      <c r="R72" s="19" t="b">
        <f ca="1">P72 &gt; O72</f>
        <v>1</v>
      </c>
    </row>
    <row r="73" spans="1:18" ht="15" x14ac:dyDescent="0.15">
      <c r="B73" s="80" t="str">
        <f ca="1">_xlfn.FORMULATEXT(B72)</f>
        <v>=AVERAGE(O2:O501)</v>
      </c>
      <c r="C73" s="80" t="str">
        <f t="shared" ref="C73:E73" ca="1" si="8">_xlfn.FORMULATEXT(C72)</f>
        <v>=AVERAGE(P2:P501)</v>
      </c>
      <c r="D73" s="80" t="str">
        <f t="shared" ca="1" si="8"/>
        <v>=STDEV.P(O2:O501)</v>
      </c>
      <c r="E73" s="80" t="str">
        <f t="shared" ca="1" si="8"/>
        <v>=STDEV.P(P2:P501)</v>
      </c>
      <c r="N73" s="19">
        <v>0.38414214802167479</v>
      </c>
      <c r="O73" s="19">
        <f t="shared" si="7"/>
        <v>231.68642006361176</v>
      </c>
      <c r="P73" s="32" cm="1">
        <f t="array" aca="1" ref="P73" ca="1">INDEX($L$2:$L$51, RANDBETWEEN(1,50))</f>
        <v>250</v>
      </c>
      <c r="Q73" s="19" t="b">
        <f ca="1">O73 &gt; P73</f>
        <v>0</v>
      </c>
      <c r="R73" s="19" t="b">
        <f ca="1">P73 &gt; O73</f>
        <v>1</v>
      </c>
    </row>
    <row r="74" spans="1:18" ht="16" x14ac:dyDescent="0.2">
      <c r="A74" s="21" t="s">
        <v>85</v>
      </c>
      <c r="N74" s="19">
        <v>0.27708180028809321</v>
      </c>
      <c r="O74" s="19">
        <f t="shared" si="7"/>
        <v>217.64255653594037</v>
      </c>
      <c r="P74" s="32" cm="1">
        <f t="array" aca="1" ref="P74" ca="1">INDEX($L$2:$L$51, RANDBETWEEN(1,50))</f>
        <v>200</v>
      </c>
      <c r="Q74" s="19" t="b">
        <f ca="1">O74 &gt; P74</f>
        <v>1</v>
      </c>
      <c r="R74" s="19" t="b">
        <f ca="1">P74 &gt; O74</f>
        <v>0</v>
      </c>
    </row>
    <row r="75" spans="1:18" ht="15" x14ac:dyDescent="0.15">
      <c r="A75" s="20"/>
      <c r="B75" s="47">
        <f ca="1">B63/500</f>
        <v>0.59799999999999998</v>
      </c>
      <c r="C75" s="81" t="str">
        <f ca="1">_xlfn.FORMULATEXT(B75)</f>
        <v>=B63/500</v>
      </c>
      <c r="N75" s="19">
        <v>0.91381744198213211</v>
      </c>
      <c r="O75" s="19">
        <f t="shared" si="7"/>
        <v>337.03653703280031</v>
      </c>
      <c r="P75" s="32" cm="1">
        <f t="array" aca="1" ref="P75" ca="1">INDEX($L$2:$L$51, RANDBETWEEN(1,50))</f>
        <v>250</v>
      </c>
      <c r="Q75" s="19" t="b">
        <f ca="1">O75 &gt; P75</f>
        <v>1</v>
      </c>
      <c r="R75" s="19" t="b">
        <f ca="1">P75 &gt; O75</f>
        <v>0</v>
      </c>
    </row>
    <row r="76" spans="1:18" x14ac:dyDescent="0.15">
      <c r="N76" s="19">
        <v>0.52974739369458868</v>
      </c>
      <c r="O76" s="19">
        <f t="shared" si="7"/>
        <v>252.92308172235548</v>
      </c>
      <c r="P76" s="32" cm="1">
        <f t="array" aca="1" ref="P76" ca="1">INDEX($L$2:$L$51, RANDBETWEEN(1,50))</f>
        <v>250</v>
      </c>
      <c r="Q76" s="19" t="b">
        <f ca="1">O76 &gt; P76</f>
        <v>1</v>
      </c>
      <c r="R76" s="19" t="b">
        <f ca="1">P76 &gt; O76</f>
        <v>0</v>
      </c>
    </row>
    <row r="77" spans="1:18" ht="16" x14ac:dyDescent="0.2">
      <c r="A77" s="22" t="s">
        <v>86</v>
      </c>
      <c r="N77" s="19">
        <v>0.46444582495114106</v>
      </c>
      <c r="O77" s="19">
        <f t="shared" si="7"/>
        <v>243.04302483722645</v>
      </c>
      <c r="P77" s="32" cm="1">
        <f t="array" aca="1" ref="P77" ca="1">INDEX($L$2:$L$51, RANDBETWEEN(1,50))</f>
        <v>200</v>
      </c>
      <c r="Q77" s="19" t="b">
        <f ca="1">O77 &gt; P77</f>
        <v>1</v>
      </c>
      <c r="R77" s="19" t="b">
        <f ca="1">P77 &gt; O77</f>
        <v>0</v>
      </c>
    </row>
    <row r="78" spans="1:18" ht="15" x14ac:dyDescent="0.15">
      <c r="B78" s="47">
        <f ca="1">B67/500</f>
        <v>0.40200000000000002</v>
      </c>
      <c r="C78" s="81" t="str">
        <f ca="1">_xlfn.FORMULATEXT(B78)</f>
        <v>=B67/500</v>
      </c>
      <c r="N78" s="19">
        <v>0.94097995382779276</v>
      </c>
      <c r="O78" s="19">
        <f t="shared" si="7"/>
        <v>347.89508541489073</v>
      </c>
      <c r="P78" s="32" cm="1">
        <f t="array" aca="1" ref="P78" ca="1">INDEX($L$2:$L$51, RANDBETWEEN(1,50))</f>
        <v>150</v>
      </c>
      <c r="Q78" s="19" t="b">
        <f ca="1">O78 &gt; P78</f>
        <v>1</v>
      </c>
      <c r="R78" s="19" t="b">
        <f ca="1">P78 &gt; O78</f>
        <v>0</v>
      </c>
    </row>
    <row r="79" spans="1:18" x14ac:dyDescent="0.15">
      <c r="N79" s="19">
        <v>5.0083983712868756E-2</v>
      </c>
      <c r="O79" s="19">
        <f t="shared" si="7"/>
        <v>188.58976835839528</v>
      </c>
      <c r="P79" s="32" cm="1">
        <f t="array" aca="1" ref="P79" ca="1">INDEX($L$2:$L$51, RANDBETWEEN(1,50))</f>
        <v>100</v>
      </c>
      <c r="Q79" s="19" t="b">
        <f ca="1">O79 &gt; P79</f>
        <v>1</v>
      </c>
      <c r="R79" s="19" t="b">
        <f ca="1">P79 &gt; O79</f>
        <v>0</v>
      </c>
    </row>
    <row r="80" spans="1:18" x14ac:dyDescent="0.15">
      <c r="N80" s="19">
        <v>0.76151426218520579</v>
      </c>
      <c r="O80" s="19">
        <f t="shared" si="7"/>
        <v>295.26059032302817</v>
      </c>
      <c r="P80" s="32" cm="1">
        <f t="array" aca="1" ref="P80" ca="1">INDEX($L$2:$L$51, RANDBETWEEN(1,50))</f>
        <v>250</v>
      </c>
      <c r="Q80" s="19" t="b">
        <f ca="1">O80 &gt; P80</f>
        <v>1</v>
      </c>
      <c r="R80" s="19" t="b">
        <f ca="1">P80 &gt; O80</f>
        <v>0</v>
      </c>
    </row>
    <row r="81" spans="14:18" x14ac:dyDescent="0.15">
      <c r="N81" s="19">
        <v>0.77020454675434369</v>
      </c>
      <c r="O81" s="19">
        <f t="shared" si="7"/>
        <v>297.18662125335931</v>
      </c>
      <c r="P81" s="32" cm="1">
        <f t="array" aca="1" ref="P81" ca="1">INDEX($L$2:$L$51, RANDBETWEEN(1,50))</f>
        <v>200</v>
      </c>
      <c r="Q81" s="19" t="b">
        <f ca="1">O81 &gt; P81</f>
        <v>1</v>
      </c>
      <c r="R81" s="19" t="b">
        <f ca="1">P81 &gt; O81</f>
        <v>0</v>
      </c>
    </row>
    <row r="82" spans="14:18" x14ac:dyDescent="0.15">
      <c r="N82" s="19">
        <v>0.82781730025439393</v>
      </c>
      <c r="O82" s="19">
        <f t="shared" si="7"/>
        <v>311.00334731970042</v>
      </c>
      <c r="P82" s="32" cm="1">
        <f t="array" aca="1" ref="P82" ca="1">INDEX($L$2:$L$51, RANDBETWEEN(1,50))</f>
        <v>300</v>
      </c>
      <c r="Q82" s="19" t="b">
        <f ca="1">O82 &gt; P82</f>
        <v>1</v>
      </c>
      <c r="R82" s="19" t="b">
        <f ca="1">P82 &gt; O82</f>
        <v>0</v>
      </c>
    </row>
    <row r="83" spans="14:18" x14ac:dyDescent="0.15">
      <c r="N83" s="19">
        <v>0.12536537559952837</v>
      </c>
      <c r="O83" s="19">
        <f t="shared" si="7"/>
        <v>199.41124090610163</v>
      </c>
      <c r="P83" s="32" cm="1">
        <f t="array" aca="1" ref="P83" ca="1">INDEX($L$2:$L$51, RANDBETWEEN(1,50))</f>
        <v>250</v>
      </c>
      <c r="Q83" s="19" t="b">
        <f ca="1">O83 &gt; P83</f>
        <v>0</v>
      </c>
      <c r="R83" s="19" t="b">
        <f ca="1">P83 &gt; O83</f>
        <v>1</v>
      </c>
    </row>
    <row r="84" spans="14:18" x14ac:dyDescent="0.15">
      <c r="N84" s="19">
        <v>1.5867701273349907E-2</v>
      </c>
      <c r="O84" s="19">
        <f t="shared" si="7"/>
        <v>180.463610217612</v>
      </c>
      <c r="P84" s="32" cm="1">
        <f t="array" aca="1" ref="P84" ca="1">INDEX($L$2:$L$51, RANDBETWEEN(1,50))</f>
        <v>300</v>
      </c>
      <c r="Q84" s="19" t="b">
        <f ca="1">O84 &gt; P84</f>
        <v>0</v>
      </c>
      <c r="R84" s="19" t="b">
        <f ca="1">P84 &gt; O84</f>
        <v>1</v>
      </c>
    </row>
    <row r="85" spans="14:18" x14ac:dyDescent="0.15">
      <c r="N85" s="19">
        <v>0.68845530119186982</v>
      </c>
      <c r="O85" s="19">
        <f t="shared" si="7"/>
        <v>280.28761072815399</v>
      </c>
      <c r="P85" s="32" cm="1">
        <f t="array" aca="1" ref="P85" ca="1">INDEX($L$2:$L$51, RANDBETWEEN(1,50))</f>
        <v>200</v>
      </c>
      <c r="Q85" s="19" t="b">
        <f ca="1">O85 &gt; P85</f>
        <v>1</v>
      </c>
      <c r="R85" s="19" t="b">
        <f ca="1">P85 &gt; O85</f>
        <v>0</v>
      </c>
    </row>
    <row r="86" spans="14:18" x14ac:dyDescent="0.15">
      <c r="N86" s="19">
        <v>0.86824713175569057</v>
      </c>
      <c r="O86" s="19">
        <f t="shared" si="7"/>
        <v>322.14993937550059</v>
      </c>
      <c r="P86" s="32" cm="1">
        <f t="array" aca="1" ref="P86" ca="1">INDEX($L$2:$L$51, RANDBETWEEN(1,50))</f>
        <v>100</v>
      </c>
      <c r="Q86" s="19" t="b">
        <f ca="1">O86 &gt; P86</f>
        <v>1</v>
      </c>
      <c r="R86" s="19" t="b">
        <f ca="1">P86 &gt; O86</f>
        <v>0</v>
      </c>
    </row>
    <row r="87" spans="14:18" x14ac:dyDescent="0.15">
      <c r="N87" s="19">
        <v>0.62954341789220614</v>
      </c>
      <c r="O87" s="19">
        <f t="shared" si="7"/>
        <v>269.45880812188625</v>
      </c>
      <c r="P87" s="32" cm="1">
        <f t="array" aca="1" ref="P87" ca="1">INDEX($L$2:$L$51, RANDBETWEEN(1,50))</f>
        <v>250</v>
      </c>
      <c r="Q87" s="19" t="b">
        <f ca="1">O87 &gt; P87</f>
        <v>1</v>
      </c>
      <c r="R87" s="19" t="b">
        <f ca="1">P87 &gt; O87</f>
        <v>0</v>
      </c>
    </row>
    <row r="88" spans="14:18" x14ac:dyDescent="0.15">
      <c r="N88" s="19">
        <v>0.73622451430942137</v>
      </c>
      <c r="O88" s="19">
        <f t="shared" si="7"/>
        <v>289.8470502357444</v>
      </c>
      <c r="P88" s="32" cm="1">
        <f t="array" aca="1" ref="P88" ca="1">INDEX($L$2:$L$51, RANDBETWEEN(1,50))</f>
        <v>250</v>
      </c>
      <c r="Q88" s="19" t="b">
        <f ca="1">O88 &gt; P88</f>
        <v>1</v>
      </c>
      <c r="R88" s="19" t="b">
        <f ca="1">P88 &gt; O88</f>
        <v>0</v>
      </c>
    </row>
    <row r="89" spans="14:18" x14ac:dyDescent="0.15">
      <c r="N89" s="19">
        <v>0.7254119984458256</v>
      </c>
      <c r="O89" s="19">
        <f t="shared" si="7"/>
        <v>287.61206438637635</v>
      </c>
      <c r="P89" s="32" cm="1">
        <f t="array" aca="1" ref="P89" ca="1">INDEX($L$2:$L$51, RANDBETWEEN(1,50))</f>
        <v>250</v>
      </c>
      <c r="Q89" s="19" t="b">
        <f ca="1">O89 &gt; P89</f>
        <v>1</v>
      </c>
      <c r="R89" s="19" t="b">
        <f ca="1">P89 &gt; O89</f>
        <v>0</v>
      </c>
    </row>
    <row r="90" spans="14:18" x14ac:dyDescent="0.15">
      <c r="N90" s="19">
        <v>0.99945787899170901</v>
      </c>
      <c r="O90" s="19">
        <f t="shared" si="7"/>
        <v>395.00624726469306</v>
      </c>
      <c r="P90" s="32" cm="1">
        <f t="array" aca="1" ref="P90" ca="1">INDEX($L$2:$L$51, RANDBETWEEN(1,50))</f>
        <v>200</v>
      </c>
      <c r="Q90" s="19" t="b">
        <f ca="1">O90 &gt; P90</f>
        <v>1</v>
      </c>
      <c r="R90" s="19" t="b">
        <f ca="1">P90 &gt; O90</f>
        <v>0</v>
      </c>
    </row>
    <row r="91" spans="14:18" x14ac:dyDescent="0.15">
      <c r="N91" s="19">
        <v>0.88857221365374151</v>
      </c>
      <c r="O91" s="19">
        <f t="shared" si="7"/>
        <v>328.40615828209877</v>
      </c>
      <c r="P91" s="32" cm="1">
        <f t="array" aca="1" ref="P91" ca="1">INDEX($L$2:$L$51, RANDBETWEEN(1,50))</f>
        <v>100</v>
      </c>
      <c r="Q91" s="19" t="b">
        <f ca="1">O91 &gt; P91</f>
        <v>1</v>
      </c>
      <c r="R91" s="19" t="b">
        <f ca="1">P91 &gt; O91</f>
        <v>0</v>
      </c>
    </row>
    <row r="92" spans="14:18" x14ac:dyDescent="0.15">
      <c r="N92" s="19">
        <v>0.23319487843345613</v>
      </c>
      <c r="O92" s="19">
        <f t="shared" si="7"/>
        <v>212.1888299592886</v>
      </c>
      <c r="P92" s="32" cm="1">
        <f t="array" aca="1" ref="P92" ca="1">INDEX($L$2:$L$51, RANDBETWEEN(1,50))</f>
        <v>150</v>
      </c>
      <c r="Q92" s="19" t="b">
        <f ca="1">O92 &gt; P92</f>
        <v>1</v>
      </c>
      <c r="R92" s="19" t="b">
        <f ca="1">P92 &gt; O92</f>
        <v>0</v>
      </c>
    </row>
    <row r="93" spans="14:18" x14ac:dyDescent="0.15">
      <c r="N93" s="19">
        <v>0.30632183109704492</v>
      </c>
      <c r="O93" s="19">
        <f t="shared" si="7"/>
        <v>221.36854764757709</v>
      </c>
      <c r="P93" s="32" cm="1">
        <f t="array" aca="1" ref="P93" ca="1">INDEX($L$2:$L$51, RANDBETWEEN(1,50))</f>
        <v>250</v>
      </c>
      <c r="Q93" s="19" t="b">
        <f ca="1">O93 &gt; P93</f>
        <v>0</v>
      </c>
      <c r="R93" s="19" t="b">
        <f ca="1">P93 &gt; O93</f>
        <v>1</v>
      </c>
    </row>
    <row r="94" spans="14:18" x14ac:dyDescent="0.15">
      <c r="N94" s="19">
        <v>0.35101524803369083</v>
      </c>
      <c r="O94" s="19">
        <f t="shared" si="7"/>
        <v>227.21892872640757</v>
      </c>
      <c r="P94" s="32" cm="1">
        <f t="array" aca="1" ref="P94" ca="1">INDEX($L$2:$L$51, RANDBETWEEN(1,50))</f>
        <v>250</v>
      </c>
      <c r="Q94" s="19" t="b">
        <f ca="1">O94 &gt; P94</f>
        <v>0</v>
      </c>
      <c r="R94" s="19" t="b">
        <f ca="1">P94 &gt; O94</f>
        <v>1</v>
      </c>
    </row>
    <row r="95" spans="14:18" x14ac:dyDescent="0.15">
      <c r="N95" s="19">
        <v>0.51327370224207347</v>
      </c>
      <c r="O95" s="19">
        <f t="shared" si="7"/>
        <v>250.36908843135177</v>
      </c>
      <c r="P95" s="32" cm="1">
        <f t="array" aca="1" ref="P95" ca="1">INDEX($L$2:$L$51, RANDBETWEEN(1,50))</f>
        <v>200</v>
      </c>
      <c r="Q95" s="19" t="b">
        <f ca="1">O95 &gt; P95</f>
        <v>1</v>
      </c>
      <c r="R95" s="19" t="b">
        <f ca="1">P95 &gt; O95</f>
        <v>0</v>
      </c>
    </row>
    <row r="96" spans="14:18" x14ac:dyDescent="0.15">
      <c r="N96" s="19">
        <v>0.59111358252871482</v>
      </c>
      <c r="O96" s="19">
        <f t="shared" si="7"/>
        <v>262.85491184997136</v>
      </c>
      <c r="P96" s="32" cm="1">
        <f t="array" aca="1" ref="P96" ca="1">INDEX($L$2:$L$51, RANDBETWEEN(1,50))</f>
        <v>300</v>
      </c>
      <c r="Q96" s="19" t="b">
        <f ca="1">O96 &gt; P96</f>
        <v>0</v>
      </c>
      <c r="R96" s="19" t="b">
        <f ca="1">P96 &gt; O96</f>
        <v>1</v>
      </c>
    </row>
    <row r="97" spans="14:18" x14ac:dyDescent="0.15">
      <c r="N97" s="19">
        <v>0.84598156011010595</v>
      </c>
      <c r="O97" s="19">
        <f t="shared" si="7"/>
        <v>315.82845947153442</v>
      </c>
      <c r="P97" s="32" cm="1">
        <f t="array" aca="1" ref="P97" ca="1">INDEX($L$2:$L$51, RANDBETWEEN(1,50))</f>
        <v>250</v>
      </c>
      <c r="Q97" s="19" t="b">
        <f ca="1">O97 &gt; P97</f>
        <v>1</v>
      </c>
      <c r="R97" s="19" t="b">
        <f ca="1">P97 &gt; O97</f>
        <v>0</v>
      </c>
    </row>
    <row r="98" spans="14:18" x14ac:dyDescent="0.15">
      <c r="N98" s="19">
        <v>0.41208077055033332</v>
      </c>
      <c r="O98" s="19">
        <f t="shared" si="7"/>
        <v>235.54853434923521</v>
      </c>
      <c r="P98" s="32" cm="1">
        <f t="array" aca="1" ref="P98" ca="1">INDEX($L$2:$L$51, RANDBETWEEN(1,50))</f>
        <v>200</v>
      </c>
      <c r="Q98" s="19" t="b">
        <f ca="1">O98 &gt; P98</f>
        <v>1</v>
      </c>
      <c r="R98" s="19" t="b">
        <f ca="1">P98 &gt; O98</f>
        <v>0</v>
      </c>
    </row>
    <row r="99" spans="14:18" x14ac:dyDescent="0.15">
      <c r="N99" s="19">
        <v>0.84151063945214755</v>
      </c>
      <c r="O99" s="19">
        <f t="shared" si="7"/>
        <v>314.6155132052595</v>
      </c>
      <c r="P99" s="32" cm="1">
        <f t="array" aca="1" ref="P99" ca="1">INDEX($L$2:$L$51, RANDBETWEEN(1,50))</f>
        <v>250</v>
      </c>
      <c r="Q99" s="19" t="b">
        <f ca="1">O99 &gt; P99</f>
        <v>1</v>
      </c>
      <c r="R99" s="19" t="b">
        <f ca="1">P99 &gt; O99</f>
        <v>0</v>
      </c>
    </row>
    <row r="100" spans="14:18" x14ac:dyDescent="0.15">
      <c r="N100" s="19">
        <v>0.2693172722446347</v>
      </c>
      <c r="O100" s="19">
        <f t="shared" si="7"/>
        <v>216.66586385305436</v>
      </c>
      <c r="P100" s="32" cm="1">
        <f t="array" aca="1" ref="P100" ca="1">INDEX($L$2:$L$51, RANDBETWEEN(1,50))</f>
        <v>250</v>
      </c>
      <c r="Q100" s="19" t="b">
        <f ca="1">O100 &gt; P100</f>
        <v>0</v>
      </c>
      <c r="R100" s="19" t="b">
        <f ca="1">P100 &gt; O100</f>
        <v>1</v>
      </c>
    </row>
    <row r="101" spans="14:18" x14ac:dyDescent="0.15">
      <c r="N101" s="19">
        <v>0.41539461557538931</v>
      </c>
      <c r="O101" s="19">
        <f t="shared" si="7"/>
        <v>236.01265999007092</v>
      </c>
      <c r="P101" s="32" cm="1">
        <f t="array" aca="1" ref="P101" ca="1">INDEX($L$2:$L$51, RANDBETWEEN(1,50))</f>
        <v>250</v>
      </c>
      <c r="Q101" s="19" t="b">
        <f ca="1">O101 &gt; P101</f>
        <v>0</v>
      </c>
      <c r="R101" s="19" t="b">
        <f ca="1">P101 &gt; O101</f>
        <v>1</v>
      </c>
    </row>
    <row r="102" spans="14:18" x14ac:dyDescent="0.15">
      <c r="N102" s="19">
        <v>0.53730397556782883</v>
      </c>
      <c r="O102" s="19">
        <f t="shared" si="7"/>
        <v>254.10957151382453</v>
      </c>
      <c r="P102" s="32" cm="1">
        <f t="array" aca="1" ref="P102" ca="1">INDEX($L$2:$L$51, RANDBETWEEN(1,50))</f>
        <v>250</v>
      </c>
      <c r="Q102" s="19" t="b">
        <f ca="1">O102 &gt; P102</f>
        <v>1</v>
      </c>
      <c r="R102" s="19" t="b">
        <f ca="1">P102 &gt; O102</f>
        <v>0</v>
      </c>
    </row>
    <row r="103" spans="14:18" x14ac:dyDescent="0.15">
      <c r="N103" s="19">
        <v>0.46791736849952364</v>
      </c>
      <c r="O103" s="19">
        <f t="shared" si="7"/>
        <v>243.5525613855506</v>
      </c>
      <c r="P103" s="32" cm="1">
        <f t="array" aca="1" ref="P103" ca="1">INDEX($L$2:$L$51, RANDBETWEEN(1,50))</f>
        <v>300</v>
      </c>
      <c r="Q103" s="19" t="b">
        <f ca="1">O103 &gt; P103</f>
        <v>0</v>
      </c>
      <c r="R103" s="19" t="b">
        <f ca="1">P103 &gt; O103</f>
        <v>1</v>
      </c>
    </row>
    <row r="104" spans="14:18" x14ac:dyDescent="0.15">
      <c r="N104" s="19">
        <v>0.28721237149425427</v>
      </c>
      <c r="O104" s="19">
        <f t="shared" si="7"/>
        <v>218.92479211315452</v>
      </c>
      <c r="P104" s="32" cm="1">
        <f t="array" aca="1" ref="P104" ca="1">INDEX($L$2:$L$51, RANDBETWEEN(1,50))</f>
        <v>250</v>
      </c>
      <c r="Q104" s="19" t="b">
        <f ca="1">O104 &gt; P104</f>
        <v>0</v>
      </c>
      <c r="R104" s="19" t="b">
        <f ca="1">P104 &gt; O104</f>
        <v>1</v>
      </c>
    </row>
    <row r="105" spans="14:18" x14ac:dyDescent="0.15">
      <c r="N105" s="19">
        <v>0.17832770393152148</v>
      </c>
      <c r="O105" s="19">
        <f t="shared" si="7"/>
        <v>205.58568566293783</v>
      </c>
      <c r="P105" s="32" cm="1">
        <f t="array" aca="1" ref="P105" ca="1">INDEX($L$2:$L$51, RANDBETWEEN(1,50))</f>
        <v>250</v>
      </c>
      <c r="Q105" s="19" t="b">
        <f ca="1">O105 &gt; P105</f>
        <v>0</v>
      </c>
      <c r="R105" s="19" t="b">
        <f ca="1">P105 &gt; O105</f>
        <v>1</v>
      </c>
    </row>
    <row r="106" spans="14:18" x14ac:dyDescent="0.15">
      <c r="N106" s="19">
        <v>0.15371997708162291</v>
      </c>
      <c r="O106" s="19">
        <f t="shared" si="7"/>
        <v>202.69596797266067</v>
      </c>
      <c r="P106" s="32" cm="1">
        <f t="array" aca="1" ref="P106" ca="1">INDEX($L$2:$L$51, RANDBETWEEN(1,50))</f>
        <v>300</v>
      </c>
      <c r="Q106" s="19" t="b">
        <f ca="1">O106 &gt; P106</f>
        <v>0</v>
      </c>
      <c r="R106" s="19" t="b">
        <f ca="1">P106 &gt; O106</f>
        <v>1</v>
      </c>
    </row>
    <row r="107" spans="14:18" x14ac:dyDescent="0.15">
      <c r="N107" s="19">
        <v>0.57165481083637792</v>
      </c>
      <c r="O107" s="19">
        <f t="shared" si="7"/>
        <v>259.62949490178994</v>
      </c>
      <c r="P107" s="32" cm="1">
        <f t="array" aca="1" ref="P107" ca="1">INDEX($L$2:$L$51, RANDBETWEEN(1,50))</f>
        <v>150</v>
      </c>
      <c r="Q107" s="19" t="b">
        <f ca="1">O107 &gt; P107</f>
        <v>1</v>
      </c>
      <c r="R107" s="19" t="b">
        <f ca="1">P107 &gt; O107</f>
        <v>0</v>
      </c>
    </row>
    <row r="108" spans="14:18" x14ac:dyDescent="0.15">
      <c r="N108" s="19">
        <v>0.80240572700389001</v>
      </c>
      <c r="O108" s="19">
        <f t="shared" si="7"/>
        <v>304.66198786516964</v>
      </c>
      <c r="P108" s="32" cm="1">
        <f t="array" aca="1" ref="P108" ca="1">INDEX($L$2:$L$51, RANDBETWEEN(1,50))</f>
        <v>150</v>
      </c>
      <c r="Q108" s="19" t="b">
        <f ca="1">O108 &gt; P108</f>
        <v>1</v>
      </c>
      <c r="R108" s="19" t="b">
        <f ca="1">P108 &gt; O108</f>
        <v>0</v>
      </c>
    </row>
    <row r="109" spans="14:18" x14ac:dyDescent="0.15">
      <c r="N109" s="19">
        <v>3.3053754378600864E-2</v>
      </c>
      <c r="O109" s="19">
        <f t="shared" si="7"/>
        <v>185.10201659422827</v>
      </c>
      <c r="P109" s="32" cm="1">
        <f t="array" aca="1" ref="P109" ca="1">INDEX($L$2:$L$51, RANDBETWEEN(1,50))</f>
        <v>150</v>
      </c>
      <c r="Q109" s="19" t="b">
        <f ca="1">O109 &gt; P109</f>
        <v>1</v>
      </c>
      <c r="R109" s="19" t="b">
        <f ca="1">P109 &gt; O109</f>
        <v>0</v>
      </c>
    </row>
    <row r="110" spans="14:18" x14ac:dyDescent="0.15">
      <c r="N110" s="19">
        <v>0.53444984114470417</v>
      </c>
      <c r="O110" s="19">
        <f t="shared" si="7"/>
        <v>253.66030166990365</v>
      </c>
      <c r="P110" s="32" cm="1">
        <f t="array" aca="1" ref="P110" ca="1">INDEX($L$2:$L$51, RANDBETWEEN(1,50))</f>
        <v>200</v>
      </c>
      <c r="Q110" s="19" t="b">
        <f ca="1">O110 &gt; P110</f>
        <v>1</v>
      </c>
      <c r="R110" s="19" t="b">
        <f ca="1">P110 &gt; O110</f>
        <v>0</v>
      </c>
    </row>
    <row r="111" spans="14:18" x14ac:dyDescent="0.15">
      <c r="N111" s="19">
        <v>0.4984801190432534</v>
      </c>
      <c r="O111" s="19">
        <f t="shared" si="7"/>
        <v>248.1121646608579</v>
      </c>
      <c r="P111" s="32" cm="1">
        <f t="array" aca="1" ref="P111" ca="1">INDEX($L$2:$L$51, RANDBETWEEN(1,50))</f>
        <v>300</v>
      </c>
      <c r="Q111" s="19" t="b">
        <f ca="1">O111 &gt; P111</f>
        <v>0</v>
      </c>
      <c r="R111" s="19" t="b">
        <f ca="1">P111 &gt; O111</f>
        <v>1</v>
      </c>
    </row>
    <row r="112" spans="14:18" x14ac:dyDescent="0.15">
      <c r="N112" s="19">
        <v>0.95536075996018976</v>
      </c>
      <c r="O112" s="19">
        <f t="shared" si="7"/>
        <v>354.6854875141388</v>
      </c>
      <c r="P112" s="32" cm="1">
        <f t="array" aca="1" ref="P112" ca="1">INDEX($L$2:$L$51, RANDBETWEEN(1,50))</f>
        <v>300</v>
      </c>
      <c r="Q112" s="19" t="b">
        <f ca="1">O112 &gt; P112</f>
        <v>1</v>
      </c>
      <c r="R112" s="19" t="b">
        <f ca="1">P112 &gt; O112</f>
        <v>0</v>
      </c>
    </row>
    <row r="113" spans="14:18" x14ac:dyDescent="0.15">
      <c r="N113" s="19">
        <v>0.74829265091023067</v>
      </c>
      <c r="O113" s="19">
        <f t="shared" si="7"/>
        <v>292.39638454898744</v>
      </c>
      <c r="P113" s="32" cm="1">
        <f t="array" aca="1" ref="P113" ca="1">INDEX($L$2:$L$51, RANDBETWEEN(1,50))</f>
        <v>200</v>
      </c>
      <c r="Q113" s="19" t="b">
        <f ca="1">O113 &gt; P113</f>
        <v>1</v>
      </c>
      <c r="R113" s="19" t="b">
        <f ca="1">P113 &gt; O113</f>
        <v>0</v>
      </c>
    </row>
    <row r="114" spans="14:18" x14ac:dyDescent="0.15">
      <c r="N114" s="19">
        <v>0.55458384824664508</v>
      </c>
      <c r="O114" s="19">
        <f t="shared" si="7"/>
        <v>256.85970874469228</v>
      </c>
      <c r="P114" s="32" cm="1">
        <f t="array" aca="1" ref="P114" ca="1">INDEX($L$2:$L$51, RANDBETWEEN(1,50))</f>
        <v>200</v>
      </c>
      <c r="Q114" s="19" t="b">
        <f ca="1">O114 &gt; P114</f>
        <v>1</v>
      </c>
      <c r="R114" s="19" t="b">
        <f ca="1">P114 &gt; O114</f>
        <v>0</v>
      </c>
    </row>
    <row r="115" spans="14:18" x14ac:dyDescent="0.15">
      <c r="N115" s="19">
        <v>0.89073748136439246</v>
      </c>
      <c r="O115" s="19">
        <f t="shared" si="7"/>
        <v>329.10517750048353</v>
      </c>
      <c r="P115" s="32" cm="1">
        <f t="array" aca="1" ref="P115" ca="1">INDEX($L$2:$L$51, RANDBETWEEN(1,50))</f>
        <v>250</v>
      </c>
      <c r="Q115" s="19" t="b">
        <f ca="1">O115 &gt; P115</f>
        <v>1</v>
      </c>
      <c r="R115" s="19" t="b">
        <f ca="1">P115 &gt; O115</f>
        <v>0</v>
      </c>
    </row>
    <row r="116" spans="14:18" x14ac:dyDescent="0.15">
      <c r="N116" s="19">
        <v>0.62484929134363743</v>
      </c>
      <c r="O116" s="19">
        <f t="shared" si="7"/>
        <v>268.63435533522215</v>
      </c>
      <c r="P116" s="32" cm="1">
        <f t="array" aca="1" ref="P116" ca="1">INDEX($L$2:$L$51, RANDBETWEEN(1,50))</f>
        <v>200</v>
      </c>
      <c r="Q116" s="19" t="b">
        <f ca="1">O116 &gt; P116</f>
        <v>1</v>
      </c>
      <c r="R116" s="19" t="b">
        <f ca="1">P116 &gt; O116</f>
        <v>0</v>
      </c>
    </row>
    <row r="117" spans="14:18" x14ac:dyDescent="0.15">
      <c r="N117" s="19">
        <v>0.84203961251398529</v>
      </c>
      <c r="O117" s="19">
        <f t="shared" si="7"/>
        <v>314.75812165163961</v>
      </c>
      <c r="P117" s="32" cm="1">
        <f t="array" aca="1" ref="P117" ca="1">INDEX($L$2:$L$51, RANDBETWEEN(1,50))</f>
        <v>300</v>
      </c>
      <c r="Q117" s="19" t="b">
        <f ca="1">O117 &gt; P117</f>
        <v>1</v>
      </c>
      <c r="R117" s="19" t="b">
        <f ca="1">P117 &gt; O117</f>
        <v>0</v>
      </c>
    </row>
    <row r="118" spans="14:18" x14ac:dyDescent="0.15">
      <c r="N118" s="19">
        <v>0.15976752255101107</v>
      </c>
      <c r="O118" s="19">
        <f t="shared" si="7"/>
        <v>203.40220254882433</v>
      </c>
      <c r="P118" s="32" cm="1">
        <f t="array" aca="1" ref="P118" ca="1">INDEX($L$2:$L$51, RANDBETWEEN(1,50))</f>
        <v>200</v>
      </c>
      <c r="Q118" s="19" t="b">
        <f ca="1">O118 &gt; P118</f>
        <v>1</v>
      </c>
      <c r="R118" s="19" t="b">
        <f ca="1">P118 &gt; O118</f>
        <v>0</v>
      </c>
    </row>
    <row r="119" spans="14:18" x14ac:dyDescent="0.15">
      <c r="N119" s="19">
        <v>0.21275151484308369</v>
      </c>
      <c r="O119" s="19">
        <f t="shared" si="7"/>
        <v>209.7017332784711</v>
      </c>
      <c r="P119" s="32" cm="1">
        <f t="array" aca="1" ref="P119" ca="1">INDEX($L$2:$L$51, RANDBETWEEN(1,50))</f>
        <v>300</v>
      </c>
      <c r="Q119" s="19" t="b">
        <f ca="1">O119 &gt; P119</f>
        <v>0</v>
      </c>
      <c r="R119" s="19" t="b">
        <f ca="1">P119 &gt; O119</f>
        <v>1</v>
      </c>
    </row>
    <row r="120" spans="14:18" x14ac:dyDescent="0.15">
      <c r="N120" s="19">
        <v>0.71470996770761441</v>
      </c>
      <c r="O120" s="19">
        <f t="shared" si="7"/>
        <v>285.44284620570511</v>
      </c>
      <c r="P120" s="32" cm="1">
        <f t="array" aca="1" ref="P120" ca="1">INDEX($L$2:$L$51, RANDBETWEEN(1,50))</f>
        <v>250</v>
      </c>
      <c r="Q120" s="19" t="b">
        <f ca="1">O120 &gt; P120</f>
        <v>1</v>
      </c>
      <c r="R120" s="19" t="b">
        <f ca="1">P120 &gt; O120</f>
        <v>0</v>
      </c>
    </row>
    <row r="121" spans="14:18" x14ac:dyDescent="0.15">
      <c r="N121" s="19">
        <v>0.13042726187520998</v>
      </c>
      <c r="O121" s="19">
        <f t="shared" si="7"/>
        <v>199.99913510318171</v>
      </c>
      <c r="P121" s="32" cm="1">
        <f t="array" aca="1" ref="P121" ca="1">INDEX($L$2:$L$51, RANDBETWEEN(1,50))</f>
        <v>100</v>
      </c>
      <c r="Q121" s="19" t="b">
        <f ca="1">O121 &gt; P121</f>
        <v>1</v>
      </c>
      <c r="R121" s="19" t="b">
        <f ca="1">P121 &gt; O121</f>
        <v>0</v>
      </c>
    </row>
    <row r="122" spans="14:18" x14ac:dyDescent="0.15">
      <c r="N122" s="19">
        <v>9.0990336654237627E-2</v>
      </c>
      <c r="O122" s="19">
        <f t="shared" si="7"/>
        <v>195.05660238169253</v>
      </c>
      <c r="P122" s="32" cm="1">
        <f t="array" aca="1" ref="P122" ca="1">INDEX($L$2:$L$51, RANDBETWEEN(1,50))</f>
        <v>200</v>
      </c>
      <c r="Q122" s="19" t="b">
        <f ca="1">O122 &gt; P122</f>
        <v>0</v>
      </c>
      <c r="R122" s="19" t="b">
        <f ca="1">P122 &gt; O122</f>
        <v>1</v>
      </c>
    </row>
    <row r="123" spans="14:18" x14ac:dyDescent="0.15">
      <c r="N123" s="19">
        <v>0.27458814777181861</v>
      </c>
      <c r="O123" s="19">
        <f t="shared" si="7"/>
        <v>217.32831307918477</v>
      </c>
      <c r="P123" s="32" cm="1">
        <f t="array" aca="1" ref="P123" ca="1">INDEX($L$2:$L$51, RANDBETWEEN(1,50))</f>
        <v>250</v>
      </c>
      <c r="Q123" s="19" t="b">
        <f ca="1">O123 &gt; P123</f>
        <v>0</v>
      </c>
      <c r="R123" s="19" t="b">
        <f ca="1">P123 &gt; O123</f>
        <v>1</v>
      </c>
    </row>
    <row r="124" spans="14:18" x14ac:dyDescent="0.15">
      <c r="N124" s="19">
        <v>2.9996009557506074E-3</v>
      </c>
      <c r="O124" s="19">
        <f t="shared" si="7"/>
        <v>174.54942266608404</v>
      </c>
      <c r="P124" s="32" cm="1">
        <f t="array" aca="1" ref="P124" ca="1">INDEX($L$2:$L$51, RANDBETWEEN(1,50))</f>
        <v>300</v>
      </c>
      <c r="Q124" s="19" t="b">
        <f ca="1">O124 &gt; P124</f>
        <v>0</v>
      </c>
      <c r="R124" s="19" t="b">
        <f ca="1">P124 &gt; O124</f>
        <v>1</v>
      </c>
    </row>
    <row r="125" spans="14:18" x14ac:dyDescent="0.15">
      <c r="N125" s="19">
        <v>0.41429326330045857</v>
      </c>
      <c r="O125" s="19">
        <f t="shared" si="7"/>
        <v>235.85826280869662</v>
      </c>
      <c r="P125" s="32" cm="1">
        <f t="array" aca="1" ref="P125" ca="1">INDEX($L$2:$L$51, RANDBETWEEN(1,50))</f>
        <v>250</v>
      </c>
      <c r="Q125" s="19" t="b">
        <f ca="1">O125 &gt; P125</f>
        <v>0</v>
      </c>
      <c r="R125" s="19" t="b">
        <f ca="1">P125 &gt; O125</f>
        <v>1</v>
      </c>
    </row>
    <row r="126" spans="14:18" x14ac:dyDescent="0.15">
      <c r="N126" s="19">
        <v>2.6876290806977215E-2</v>
      </c>
      <c r="O126" s="19">
        <f t="shared" si="7"/>
        <v>183.61787085296902</v>
      </c>
      <c r="P126" s="32" cm="1">
        <f t="array" aca="1" ref="P126" ca="1">INDEX($L$2:$L$51, RANDBETWEEN(1,50))</f>
        <v>250</v>
      </c>
      <c r="Q126" s="19" t="b">
        <f ca="1">O126 &gt; P126</f>
        <v>0</v>
      </c>
      <c r="R126" s="19" t="b">
        <f ca="1">P126 &gt; O126</f>
        <v>1</v>
      </c>
    </row>
    <row r="127" spans="14:18" x14ac:dyDescent="0.15">
      <c r="N127" s="19">
        <v>0.70981959286603125</v>
      </c>
      <c r="O127" s="19">
        <f t="shared" si="7"/>
        <v>284.46516227491134</v>
      </c>
      <c r="P127" s="32" cm="1">
        <f t="array" aca="1" ref="P127" ca="1">INDEX($L$2:$L$51, RANDBETWEEN(1,50))</f>
        <v>200</v>
      </c>
      <c r="Q127" s="19" t="b">
        <f ca="1">O127 &gt; P127</f>
        <v>1</v>
      </c>
      <c r="R127" s="19" t="b">
        <f ca="1">P127 &gt; O127</f>
        <v>0</v>
      </c>
    </row>
    <row r="128" spans="14:18" x14ac:dyDescent="0.15">
      <c r="N128" s="19">
        <v>0.93789729938744437</v>
      </c>
      <c r="O128" s="19">
        <f t="shared" si="7"/>
        <v>346.55166767636655</v>
      </c>
      <c r="P128" s="32" cm="1">
        <f t="array" aca="1" ref="P128" ca="1">INDEX($L$2:$L$51, RANDBETWEEN(1,50))</f>
        <v>250</v>
      </c>
      <c r="Q128" s="19" t="b">
        <f ca="1">O128 &gt; P128</f>
        <v>1</v>
      </c>
      <c r="R128" s="19" t="b">
        <f ca="1">P128 &gt; O128</f>
        <v>0</v>
      </c>
    </row>
    <row r="129" spans="14:18" x14ac:dyDescent="0.15">
      <c r="N129" s="19">
        <v>0.23991080477829593</v>
      </c>
      <c r="O129" s="19">
        <f t="shared" si="7"/>
        <v>213.01309409426986</v>
      </c>
      <c r="P129" s="32" cm="1">
        <f t="array" aca="1" ref="P129" ca="1">INDEX($L$2:$L$51, RANDBETWEEN(1,50))</f>
        <v>250</v>
      </c>
      <c r="Q129" s="19" t="b">
        <f ca="1">O129 &gt; P129</f>
        <v>0</v>
      </c>
      <c r="R129" s="19" t="b">
        <f ca="1">P129 &gt; O129</f>
        <v>1</v>
      </c>
    </row>
    <row r="130" spans="14:18" x14ac:dyDescent="0.15">
      <c r="N130" s="19">
        <v>0.18089590881992873</v>
      </c>
      <c r="O130" s="19">
        <f t="shared" si="7"/>
        <v>205.88975247482867</v>
      </c>
      <c r="P130" s="32" cm="1">
        <f t="array" aca="1" ref="P130" ca="1">INDEX($L$2:$L$51, RANDBETWEEN(1,50))</f>
        <v>200</v>
      </c>
      <c r="Q130" s="19" t="b">
        <f ca="1">O130 &gt; P130</f>
        <v>1</v>
      </c>
      <c r="R130" s="19" t="b">
        <f ca="1">P130 &gt; O130</f>
        <v>0</v>
      </c>
    </row>
    <row r="131" spans="14:18" x14ac:dyDescent="0.15">
      <c r="N131" s="19">
        <v>0.31753953654204475</v>
      </c>
      <c r="O131" s="19">
        <f t="shared" ref="O131:O194" si="9">IF(N131&lt;(200-170)/(400-170),
    170 + SQRT(N131*(400-170)*(200-170)),
    400 - SQRT((1-N131)*(400-170)*(400-200))
  )</f>
        <v>222.81878959927511</v>
      </c>
      <c r="P131" s="32" cm="1">
        <f t="array" aca="1" ref="P131" ca="1">INDEX($L$2:$L$51, RANDBETWEEN(1,50))</f>
        <v>250</v>
      </c>
      <c r="Q131" s="19" t="b">
        <f ca="1">O131 &gt; P131</f>
        <v>0</v>
      </c>
      <c r="R131" s="19" t="b">
        <f ca="1">P131 &gt; O131</f>
        <v>1</v>
      </c>
    </row>
    <row r="132" spans="14:18" x14ac:dyDescent="0.15">
      <c r="N132" s="19">
        <v>0.88699066214588962</v>
      </c>
      <c r="O132" s="19">
        <f t="shared" si="9"/>
        <v>327.89986448494653</v>
      </c>
      <c r="P132" s="32" cm="1">
        <f t="array" aca="1" ref="P132" ca="1">INDEX($L$2:$L$51, RANDBETWEEN(1,50))</f>
        <v>250</v>
      </c>
      <c r="Q132" s="19" t="b">
        <f ca="1">O132 &gt; P132</f>
        <v>1</v>
      </c>
      <c r="R132" s="19" t="b">
        <f ca="1">P132 &gt; O132</f>
        <v>0</v>
      </c>
    </row>
    <row r="133" spans="14:18" x14ac:dyDescent="0.15">
      <c r="N133" s="19">
        <v>0.65205868596772598</v>
      </c>
      <c r="O133" s="19">
        <f t="shared" si="9"/>
        <v>273.48794347776732</v>
      </c>
      <c r="P133" s="32" cm="1">
        <f t="array" aca="1" ref="P133" ca="1">INDEX($L$2:$L$51, RANDBETWEEN(1,50))</f>
        <v>200</v>
      </c>
      <c r="Q133" s="19" t="b">
        <f ca="1">O133 &gt; P133</f>
        <v>1</v>
      </c>
      <c r="R133" s="19" t="b">
        <f ca="1">P133 &gt; O133</f>
        <v>0</v>
      </c>
    </row>
    <row r="134" spans="14:18" x14ac:dyDescent="0.15">
      <c r="N134" s="19">
        <v>0.15033505957123594</v>
      </c>
      <c r="O134" s="19">
        <f t="shared" si="9"/>
        <v>202.30177729751048</v>
      </c>
      <c r="P134" s="32" cm="1">
        <f t="array" aca="1" ref="P134" ca="1">INDEX($L$2:$L$51, RANDBETWEEN(1,50))</f>
        <v>250</v>
      </c>
      <c r="Q134" s="19" t="b">
        <f ca="1">O134 &gt; P134</f>
        <v>0</v>
      </c>
      <c r="R134" s="19" t="b">
        <f ca="1">P134 &gt; O134</f>
        <v>1</v>
      </c>
    </row>
    <row r="135" spans="14:18" x14ac:dyDescent="0.15">
      <c r="N135" s="19">
        <v>0.68134621376234394</v>
      </c>
      <c r="O135" s="19">
        <f t="shared" si="9"/>
        <v>278.92946614914024</v>
      </c>
      <c r="P135" s="32" cm="1">
        <f t="array" aca="1" ref="P135" ca="1">INDEX($L$2:$L$51, RANDBETWEEN(1,50))</f>
        <v>150</v>
      </c>
      <c r="Q135" s="19" t="b">
        <f ca="1">O135 &gt; P135</f>
        <v>1</v>
      </c>
      <c r="R135" s="19" t="b">
        <f ca="1">P135 &gt; O135</f>
        <v>0</v>
      </c>
    </row>
    <row r="136" spans="14:18" x14ac:dyDescent="0.15">
      <c r="N136" s="19">
        <v>0.38581470371494753</v>
      </c>
      <c r="O136" s="19">
        <f t="shared" si="9"/>
        <v>231.91512968410152</v>
      </c>
      <c r="P136" s="32" cm="1">
        <f t="array" aca="1" ref="P136" ca="1">INDEX($L$2:$L$51, RANDBETWEEN(1,50))</f>
        <v>300</v>
      </c>
      <c r="Q136" s="19" t="b">
        <f ca="1">O136 &gt; P136</f>
        <v>0</v>
      </c>
      <c r="R136" s="19" t="b">
        <f ca="1">P136 &gt; O136</f>
        <v>1</v>
      </c>
    </row>
    <row r="137" spans="14:18" x14ac:dyDescent="0.15">
      <c r="N137" s="19">
        <v>0.38772533712337043</v>
      </c>
      <c r="O137" s="19">
        <f t="shared" si="9"/>
        <v>232.17677606384461</v>
      </c>
      <c r="P137" s="32" cm="1">
        <f t="array" aca="1" ref="P137" ca="1">INDEX($L$2:$L$51, RANDBETWEEN(1,50))</f>
        <v>250</v>
      </c>
      <c r="Q137" s="19" t="b">
        <f ca="1">O137 &gt; P137</f>
        <v>0</v>
      </c>
      <c r="R137" s="19" t="b">
        <f ca="1">P137 &gt; O137</f>
        <v>1</v>
      </c>
    </row>
    <row r="138" spans="14:18" x14ac:dyDescent="0.15">
      <c r="N138" s="19">
        <v>0.49974103248666091</v>
      </c>
      <c r="O138" s="19">
        <f t="shared" si="9"/>
        <v>248.30322183509105</v>
      </c>
      <c r="P138" s="32" cm="1">
        <f t="array" aca="1" ref="P138" ca="1">INDEX($L$2:$L$51, RANDBETWEEN(1,50))</f>
        <v>250</v>
      </c>
      <c r="Q138" s="19" t="b">
        <f ca="1">O138 &gt; P138</f>
        <v>0</v>
      </c>
      <c r="R138" s="19" t="b">
        <f ca="1">P138 &gt; O138</f>
        <v>1</v>
      </c>
    </row>
    <row r="139" spans="14:18" x14ac:dyDescent="0.15">
      <c r="N139" s="19">
        <v>0.14753300330952415</v>
      </c>
      <c r="O139" s="19">
        <f t="shared" si="9"/>
        <v>201.97605738759293</v>
      </c>
      <c r="P139" s="32" cm="1">
        <f t="array" aca="1" ref="P139" ca="1">INDEX($L$2:$L$51, RANDBETWEEN(1,50))</f>
        <v>200</v>
      </c>
      <c r="Q139" s="19" t="b">
        <f ca="1">O139 &gt; P139</f>
        <v>1</v>
      </c>
      <c r="R139" s="19" t="b">
        <f ca="1">P139 &gt; O139</f>
        <v>0</v>
      </c>
    </row>
    <row r="140" spans="14:18" x14ac:dyDescent="0.15">
      <c r="N140" s="19">
        <v>0.58718662317245574</v>
      </c>
      <c r="O140" s="19">
        <f t="shared" si="9"/>
        <v>262.19791244662861</v>
      </c>
      <c r="P140" s="32" cm="1">
        <f t="array" aca="1" ref="P140" ca="1">INDEX($L$2:$L$51, RANDBETWEEN(1,50))</f>
        <v>300</v>
      </c>
      <c r="Q140" s="19" t="b">
        <f ca="1">O140 &gt; P140</f>
        <v>0</v>
      </c>
      <c r="R140" s="19" t="b">
        <f ca="1">P140 &gt; O140</f>
        <v>1</v>
      </c>
    </row>
    <row r="141" spans="14:18" x14ac:dyDescent="0.15">
      <c r="N141" s="19">
        <v>0.84557565946391577</v>
      </c>
      <c r="O141" s="19">
        <f t="shared" si="9"/>
        <v>315.71761948865071</v>
      </c>
      <c r="P141" s="32" cm="1">
        <f t="array" aca="1" ref="P141" ca="1">INDEX($L$2:$L$51, RANDBETWEEN(1,50))</f>
        <v>300</v>
      </c>
      <c r="Q141" s="19" t="b">
        <f ca="1">O141 &gt; P141</f>
        <v>1</v>
      </c>
      <c r="R141" s="19" t="b">
        <f ca="1">P141 &gt; O141</f>
        <v>0</v>
      </c>
    </row>
    <row r="142" spans="14:18" x14ac:dyDescent="0.15">
      <c r="N142" s="19">
        <v>0.59010861003310822</v>
      </c>
      <c r="O142" s="19">
        <f t="shared" si="9"/>
        <v>262.68647576266562</v>
      </c>
      <c r="P142" s="32" cm="1">
        <f t="array" aca="1" ref="P142" ca="1">INDEX($L$2:$L$51, RANDBETWEEN(1,50))</f>
        <v>150</v>
      </c>
      <c r="Q142" s="19" t="b">
        <f ca="1">O142 &gt; P142</f>
        <v>1</v>
      </c>
      <c r="R142" s="19" t="b">
        <f ca="1">P142 &gt; O142</f>
        <v>0</v>
      </c>
    </row>
    <row r="143" spans="14:18" x14ac:dyDescent="0.15">
      <c r="N143" s="19">
        <v>0.95540882644961067</v>
      </c>
      <c r="O143" s="19">
        <f t="shared" si="9"/>
        <v>354.70989088865088</v>
      </c>
      <c r="P143" s="32" cm="1">
        <f t="array" aca="1" ref="P143" ca="1">INDEX($L$2:$L$51, RANDBETWEEN(1,50))</f>
        <v>250</v>
      </c>
      <c r="Q143" s="19" t="b">
        <f ca="1">O143 &gt; P143</f>
        <v>1</v>
      </c>
      <c r="R143" s="19" t="b">
        <f ca="1">P143 &gt; O143</f>
        <v>0</v>
      </c>
    </row>
    <row r="144" spans="14:18" x14ac:dyDescent="0.15">
      <c r="N144" s="19">
        <v>0.55614613860666107</v>
      </c>
      <c r="O144" s="19">
        <f t="shared" si="9"/>
        <v>257.11096044799797</v>
      </c>
      <c r="P144" s="32" cm="1">
        <f t="array" aca="1" ref="P144" ca="1">INDEX($L$2:$L$51, RANDBETWEEN(1,50))</f>
        <v>100</v>
      </c>
      <c r="Q144" s="19" t="b">
        <f ca="1">O144 &gt; P144</f>
        <v>1</v>
      </c>
      <c r="R144" s="19" t="b">
        <f ca="1">P144 &gt; O144</f>
        <v>0</v>
      </c>
    </row>
    <row r="145" spans="14:18" x14ac:dyDescent="0.15">
      <c r="N145" s="19">
        <v>0.148151562152501</v>
      </c>
      <c r="O145" s="19">
        <f t="shared" si="9"/>
        <v>202.04791453236734</v>
      </c>
      <c r="P145" s="32" cm="1">
        <f t="array" aca="1" ref="P145" ca="1">INDEX($L$2:$L$51, RANDBETWEEN(1,50))</f>
        <v>150</v>
      </c>
      <c r="Q145" s="19" t="b">
        <f ca="1">O145 &gt; P145</f>
        <v>1</v>
      </c>
      <c r="R145" s="19" t="b">
        <f ca="1">P145 &gt; O145</f>
        <v>0</v>
      </c>
    </row>
    <row r="146" spans="14:18" x14ac:dyDescent="0.15">
      <c r="N146" s="19">
        <v>0.98330509708416891</v>
      </c>
      <c r="O146" s="19">
        <f t="shared" si="9"/>
        <v>372.28780892588554</v>
      </c>
      <c r="P146" s="32" cm="1">
        <f t="array" aca="1" ref="P146" ca="1">INDEX($L$2:$L$51, RANDBETWEEN(1,50))</f>
        <v>150</v>
      </c>
      <c r="Q146" s="19" t="b">
        <f ca="1">O146 &gt; P146</f>
        <v>1</v>
      </c>
      <c r="R146" s="19" t="b">
        <f ca="1">P146 &gt; O146</f>
        <v>0</v>
      </c>
    </row>
    <row r="147" spans="14:18" x14ac:dyDescent="0.15">
      <c r="N147" s="19">
        <v>0.40876669362595619</v>
      </c>
      <c r="O147" s="19">
        <f t="shared" si="9"/>
        <v>235.08568257059665</v>
      </c>
      <c r="P147" s="32" cm="1">
        <f t="array" aca="1" ref="P147" ca="1">INDEX($L$2:$L$51, RANDBETWEEN(1,50))</f>
        <v>250</v>
      </c>
      <c r="Q147" s="19" t="b">
        <f ca="1">O147 &gt; P147</f>
        <v>0</v>
      </c>
      <c r="R147" s="19" t="b">
        <f ca="1">P147 &gt; O147</f>
        <v>1</v>
      </c>
    </row>
    <row r="148" spans="14:18" x14ac:dyDescent="0.15">
      <c r="N148" s="19">
        <v>0.14181977144527239</v>
      </c>
      <c r="O148" s="19">
        <f t="shared" si="9"/>
        <v>201.31358749648362</v>
      </c>
      <c r="P148" s="32" cm="1">
        <f t="array" aca="1" ref="P148" ca="1">INDEX($L$2:$L$51, RANDBETWEEN(1,50))</f>
        <v>250</v>
      </c>
      <c r="Q148" s="19" t="b">
        <f ca="1">O148 &gt; P148</f>
        <v>0</v>
      </c>
      <c r="R148" s="19" t="b">
        <f ca="1">P148 &gt; O148</f>
        <v>1</v>
      </c>
    </row>
    <row r="149" spans="14:18" x14ac:dyDescent="0.15">
      <c r="N149" s="19">
        <v>0.56489868069295712</v>
      </c>
      <c r="O149" s="19">
        <f t="shared" si="9"/>
        <v>258.52681989817302</v>
      </c>
      <c r="P149" s="32" cm="1">
        <f t="array" aca="1" ref="P149" ca="1">INDEX($L$2:$L$51, RANDBETWEEN(1,50))</f>
        <v>250</v>
      </c>
      <c r="Q149" s="19" t="b">
        <f ca="1">O149 &gt; P149</f>
        <v>1</v>
      </c>
      <c r="R149" s="19" t="b">
        <f ca="1">P149 &gt; O149</f>
        <v>0</v>
      </c>
    </row>
    <row r="150" spans="14:18" x14ac:dyDescent="0.15">
      <c r="N150" s="19">
        <v>0.2521264065299772</v>
      </c>
      <c r="O150" s="19">
        <f t="shared" si="9"/>
        <v>214.52173901068338</v>
      </c>
      <c r="P150" s="32" cm="1">
        <f t="array" aca="1" ref="P150" ca="1">INDEX($L$2:$L$51, RANDBETWEEN(1,50))</f>
        <v>250</v>
      </c>
      <c r="Q150" s="19" t="b">
        <f ca="1">O150 &gt; P150</f>
        <v>0</v>
      </c>
      <c r="R150" s="19" t="b">
        <f ca="1">P150 &gt; O150</f>
        <v>1</v>
      </c>
    </row>
    <row r="151" spans="14:18" x14ac:dyDescent="0.15">
      <c r="N151" s="19">
        <v>0.48851454932639121</v>
      </c>
      <c r="O151" s="19">
        <f t="shared" si="9"/>
        <v>246.61052600981381</v>
      </c>
      <c r="P151" s="32" cm="1">
        <f t="array" aca="1" ref="P151" ca="1">INDEX($L$2:$L$51, RANDBETWEEN(1,50))</f>
        <v>300</v>
      </c>
      <c r="Q151" s="19" t="b">
        <f ca="1">O151 &gt; P151</f>
        <v>0</v>
      </c>
      <c r="R151" s="19" t="b">
        <f ca="1">P151 &gt; O151</f>
        <v>1</v>
      </c>
    </row>
    <row r="152" spans="14:18" x14ac:dyDescent="0.15">
      <c r="N152" s="19">
        <v>0.46403052865715255</v>
      </c>
      <c r="O152" s="19">
        <f t="shared" si="9"/>
        <v>242.98218036868877</v>
      </c>
      <c r="P152" s="32" cm="1">
        <f t="array" aca="1" ref="P152" ca="1">INDEX($L$2:$L$51, RANDBETWEEN(1,50))</f>
        <v>200</v>
      </c>
      <c r="Q152" s="19" t="b">
        <f ca="1">O152 &gt; P152</f>
        <v>1</v>
      </c>
      <c r="R152" s="19" t="b">
        <f ca="1">P152 &gt; O152</f>
        <v>0</v>
      </c>
    </row>
    <row r="153" spans="14:18" x14ac:dyDescent="0.15">
      <c r="N153" s="19">
        <v>0.96109514076313707</v>
      </c>
      <c r="O153" s="19">
        <f t="shared" si="9"/>
        <v>357.69605780904465</v>
      </c>
      <c r="P153" s="32" cm="1">
        <f t="array" aca="1" ref="P153" ca="1">INDEX($L$2:$L$51, RANDBETWEEN(1,50))</f>
        <v>200</v>
      </c>
      <c r="Q153" s="19" t="b">
        <f ca="1">O153 &gt; P153</f>
        <v>1</v>
      </c>
      <c r="R153" s="19" t="b">
        <f ca="1">P153 &gt; O153</f>
        <v>0</v>
      </c>
    </row>
    <row r="154" spans="14:18" x14ac:dyDescent="0.15">
      <c r="N154" s="19">
        <v>0.12603080604506228</v>
      </c>
      <c r="O154" s="19">
        <f t="shared" si="9"/>
        <v>199.48919398204924</v>
      </c>
      <c r="P154" s="32" cm="1">
        <f t="array" aca="1" ref="P154" ca="1">INDEX($L$2:$L$51, RANDBETWEEN(1,50))</f>
        <v>150</v>
      </c>
      <c r="Q154" s="19" t="b">
        <f ca="1">O154 &gt; P154</f>
        <v>1</v>
      </c>
      <c r="R154" s="19" t="b">
        <f ca="1">P154 &gt; O154</f>
        <v>0</v>
      </c>
    </row>
    <row r="155" spans="14:18" x14ac:dyDescent="0.15">
      <c r="N155" s="19">
        <v>0.1997571993618073</v>
      </c>
      <c r="O155" s="19">
        <f t="shared" si="9"/>
        <v>208.13763050207874</v>
      </c>
      <c r="P155" s="32" cm="1">
        <f t="array" aca="1" ref="P155" ca="1">INDEX($L$2:$L$51, RANDBETWEEN(1,50))</f>
        <v>300</v>
      </c>
      <c r="Q155" s="19" t="b">
        <f ca="1">O155 &gt; P155</f>
        <v>0</v>
      </c>
      <c r="R155" s="19" t="b">
        <f ca="1">P155 &gt; O155</f>
        <v>1</v>
      </c>
    </row>
    <row r="156" spans="14:18" x14ac:dyDescent="0.15">
      <c r="N156" s="19">
        <v>0.31924967389518843</v>
      </c>
      <c r="O156" s="19">
        <f t="shared" si="9"/>
        <v>223.04092280749956</v>
      </c>
      <c r="P156" s="32" cm="1">
        <f t="array" aca="1" ref="P156" ca="1">INDEX($L$2:$L$51, RANDBETWEEN(1,50))</f>
        <v>250</v>
      </c>
      <c r="Q156" s="19" t="b">
        <f ca="1">O156 &gt; P156</f>
        <v>0</v>
      </c>
      <c r="R156" s="19" t="b">
        <f ca="1">P156 &gt; O156</f>
        <v>1</v>
      </c>
    </row>
    <row r="157" spans="14:18" x14ac:dyDescent="0.15">
      <c r="N157" s="19">
        <v>0.62926915643237025</v>
      </c>
      <c r="O157" s="19">
        <f t="shared" si="9"/>
        <v>269.41049504607588</v>
      </c>
      <c r="P157" s="32" cm="1">
        <f t="array" aca="1" ref="P157" ca="1">INDEX($L$2:$L$51, RANDBETWEEN(1,50))</f>
        <v>250</v>
      </c>
      <c r="Q157" s="19" t="b">
        <f ca="1">O157 &gt; P157</f>
        <v>1</v>
      </c>
      <c r="R157" s="19" t="b">
        <f ca="1">P157 &gt; O157</f>
        <v>0</v>
      </c>
    </row>
    <row r="158" spans="14:18" x14ac:dyDescent="0.15">
      <c r="N158" s="19">
        <v>0.12671215884700052</v>
      </c>
      <c r="O158" s="19">
        <f t="shared" si="9"/>
        <v>199.5687993676494</v>
      </c>
      <c r="P158" s="32" cm="1">
        <f t="array" aca="1" ref="P158" ca="1">INDEX($L$2:$L$51, RANDBETWEEN(1,50))</f>
        <v>200</v>
      </c>
      <c r="Q158" s="19" t="b">
        <f ca="1">O158 &gt; P158</f>
        <v>0</v>
      </c>
      <c r="R158" s="19" t="b">
        <f ca="1">P158 &gt; O158</f>
        <v>1</v>
      </c>
    </row>
    <row r="159" spans="14:18" x14ac:dyDescent="0.15">
      <c r="N159" s="19">
        <v>0.65125374153780458</v>
      </c>
      <c r="O159" s="19">
        <f t="shared" si="9"/>
        <v>273.34168843198256</v>
      </c>
      <c r="P159" s="32" cm="1">
        <f t="array" aca="1" ref="P159" ca="1">INDEX($L$2:$L$51, RANDBETWEEN(1,50))</f>
        <v>150</v>
      </c>
      <c r="Q159" s="19" t="b">
        <f ca="1">O159 &gt; P159</f>
        <v>1</v>
      </c>
      <c r="R159" s="19" t="b">
        <f ca="1">P159 &gt; O159</f>
        <v>0</v>
      </c>
    </row>
    <row r="160" spans="14:18" x14ac:dyDescent="0.15">
      <c r="N160" s="19">
        <v>0.62163402588182781</v>
      </c>
      <c r="O160" s="19">
        <f t="shared" si="9"/>
        <v>268.07261539227</v>
      </c>
      <c r="P160" s="32" cm="1">
        <f t="array" aca="1" ref="P160" ca="1">INDEX($L$2:$L$51, RANDBETWEEN(1,50))</f>
        <v>300</v>
      </c>
      <c r="Q160" s="19" t="b">
        <f ca="1">O160 &gt; P160</f>
        <v>0</v>
      </c>
      <c r="R160" s="19" t="b">
        <f ca="1">P160 &gt; O160</f>
        <v>1</v>
      </c>
    </row>
    <row r="161" spans="14:18" x14ac:dyDescent="0.15">
      <c r="N161" s="19">
        <v>0.80307299588018699</v>
      </c>
      <c r="O161" s="19">
        <f t="shared" si="9"/>
        <v>304.82310054686906</v>
      </c>
      <c r="P161" s="32" cm="1">
        <f t="array" aca="1" ref="P161" ca="1">INDEX($L$2:$L$51, RANDBETWEEN(1,50))</f>
        <v>300</v>
      </c>
      <c r="Q161" s="19" t="b">
        <f ca="1">O161 &gt; P161</f>
        <v>1</v>
      </c>
      <c r="R161" s="19" t="b">
        <f ca="1">P161 &gt; O161</f>
        <v>0</v>
      </c>
    </row>
    <row r="162" spans="14:18" x14ac:dyDescent="0.15">
      <c r="N162" s="19">
        <v>0.24784175830327057</v>
      </c>
      <c r="O162" s="19">
        <f t="shared" si="9"/>
        <v>213.99118537539798</v>
      </c>
      <c r="P162" s="32" cm="1">
        <f t="array" aca="1" ref="P162" ca="1">INDEX($L$2:$L$51, RANDBETWEEN(1,50))</f>
        <v>250</v>
      </c>
      <c r="Q162" s="19" t="b">
        <f ca="1">O162 &gt; P162</f>
        <v>0</v>
      </c>
      <c r="R162" s="19" t="b">
        <f ca="1">P162 &gt; O162</f>
        <v>1</v>
      </c>
    </row>
    <row r="163" spans="14:18" x14ac:dyDescent="0.15">
      <c r="N163" s="19">
        <v>0.4764318030683472</v>
      </c>
      <c r="O163" s="19">
        <f t="shared" si="9"/>
        <v>244.80935254063783</v>
      </c>
      <c r="P163" s="32" cm="1">
        <f t="array" aca="1" ref="P163" ca="1">INDEX($L$2:$L$51, RANDBETWEEN(1,50))</f>
        <v>300</v>
      </c>
      <c r="Q163" s="19" t="b">
        <f ca="1">O163 &gt; P163</f>
        <v>0</v>
      </c>
      <c r="R163" s="19" t="b">
        <f ca="1">P163 &gt; O163</f>
        <v>1</v>
      </c>
    </row>
    <row r="164" spans="14:18" x14ac:dyDescent="0.15">
      <c r="N164" s="19">
        <v>0.38931416971111399</v>
      </c>
      <c r="O164" s="19">
        <f t="shared" si="9"/>
        <v>232.3946653793837</v>
      </c>
      <c r="P164" s="32" cm="1">
        <f t="array" aca="1" ref="P164" ca="1">INDEX($L$2:$L$51, RANDBETWEEN(1,50))</f>
        <v>200</v>
      </c>
      <c r="Q164" s="19" t="b">
        <f ca="1">O164 &gt; P164</f>
        <v>1</v>
      </c>
      <c r="R164" s="19" t="b">
        <f ca="1">P164 &gt; O164</f>
        <v>0</v>
      </c>
    </row>
    <row r="165" spans="14:18" x14ac:dyDescent="0.15">
      <c r="N165" s="19">
        <v>0.20325033469276985</v>
      </c>
      <c r="O165" s="19">
        <f t="shared" si="9"/>
        <v>208.55683714446062</v>
      </c>
      <c r="P165" s="32" cm="1">
        <f t="array" aca="1" ref="P165" ca="1">INDEX($L$2:$L$51, RANDBETWEEN(1,50))</f>
        <v>250</v>
      </c>
      <c r="Q165" s="19" t="b">
        <f ca="1">O165 &gt; P165</f>
        <v>0</v>
      </c>
      <c r="R165" s="19" t="b">
        <f ca="1">P165 &gt; O165</f>
        <v>1</v>
      </c>
    </row>
    <row r="166" spans="14:18" x14ac:dyDescent="0.15">
      <c r="N166" s="19">
        <v>2.8375181382696693E-2</v>
      </c>
      <c r="O166" s="19">
        <f t="shared" si="9"/>
        <v>183.99245337818238</v>
      </c>
      <c r="P166" s="32" cm="1">
        <f t="array" aca="1" ref="P166" ca="1">INDEX($L$2:$L$51, RANDBETWEEN(1,50))</f>
        <v>250</v>
      </c>
      <c r="Q166" s="19" t="b">
        <f ca="1">O166 &gt; P166</f>
        <v>0</v>
      </c>
      <c r="R166" s="19" t="b">
        <f ca="1">P166 &gt; O166</f>
        <v>1</v>
      </c>
    </row>
    <row r="167" spans="14:18" x14ac:dyDescent="0.15">
      <c r="N167" s="19">
        <v>0.90167349898334292</v>
      </c>
      <c r="O167" s="19">
        <f t="shared" si="9"/>
        <v>332.74660568591185</v>
      </c>
      <c r="P167" s="32" cm="1">
        <f t="array" aca="1" ref="P167" ca="1">INDEX($L$2:$L$51, RANDBETWEEN(1,50))</f>
        <v>250</v>
      </c>
      <c r="Q167" s="19" t="b">
        <f ca="1">O167 &gt; P167</f>
        <v>1</v>
      </c>
      <c r="R167" s="19" t="b">
        <f ca="1">P167 &gt; O167</f>
        <v>0</v>
      </c>
    </row>
    <row r="168" spans="14:18" x14ac:dyDescent="0.15">
      <c r="N168" s="19">
        <v>0.42649741304409572</v>
      </c>
      <c r="O168" s="19">
        <f t="shared" si="9"/>
        <v>237.57734456064452</v>
      </c>
      <c r="P168" s="32" cm="1">
        <f t="array" aca="1" ref="P168" ca="1">INDEX($L$2:$L$51, RANDBETWEEN(1,50))</f>
        <v>150</v>
      </c>
      <c r="Q168" s="19" t="b">
        <f ca="1">O168 &gt; P168</f>
        <v>1</v>
      </c>
      <c r="R168" s="19" t="b">
        <f ca="1">P168 &gt; O168</f>
        <v>0</v>
      </c>
    </row>
    <row r="169" spans="14:18" x14ac:dyDescent="0.15">
      <c r="N169" s="19">
        <v>0.14202103211638567</v>
      </c>
      <c r="O169" s="19">
        <f t="shared" si="9"/>
        <v>201.33688685957259</v>
      </c>
      <c r="P169" s="32" cm="1">
        <f t="array" aca="1" ref="P169" ca="1">INDEX($L$2:$L$51, RANDBETWEEN(1,50))</f>
        <v>200</v>
      </c>
      <c r="Q169" s="19" t="b">
        <f ca="1">O169 &gt; P169</f>
        <v>1</v>
      </c>
      <c r="R169" s="19" t="b">
        <f ca="1">P169 &gt; O169</f>
        <v>0</v>
      </c>
    </row>
    <row r="170" spans="14:18" x14ac:dyDescent="0.15">
      <c r="N170" s="19">
        <v>0.94748678009374387</v>
      </c>
      <c r="O170" s="19">
        <f t="shared" si="9"/>
        <v>350.85116363851751</v>
      </c>
      <c r="P170" s="32" cm="1">
        <f t="array" aca="1" ref="P170" ca="1">INDEX($L$2:$L$51, RANDBETWEEN(1,50))</f>
        <v>150</v>
      </c>
      <c r="Q170" s="19" t="b">
        <f ca="1">O170 &gt; P170</f>
        <v>1</v>
      </c>
      <c r="R170" s="19" t="b">
        <f ca="1">P170 &gt; O170</f>
        <v>0</v>
      </c>
    </row>
    <row r="171" spans="14:18" x14ac:dyDescent="0.15">
      <c r="N171" s="19">
        <v>0.41031303555253568</v>
      </c>
      <c r="O171" s="19">
        <f t="shared" si="9"/>
        <v>235.30148645302424</v>
      </c>
      <c r="P171" s="32" cm="1">
        <f t="array" aca="1" ref="P171" ca="1">INDEX($L$2:$L$51, RANDBETWEEN(1,50))</f>
        <v>250</v>
      </c>
      <c r="Q171" s="19" t="b">
        <f ca="1">O171 &gt; P171</f>
        <v>0</v>
      </c>
      <c r="R171" s="19" t="b">
        <f ca="1">P171 &gt; O171</f>
        <v>1</v>
      </c>
    </row>
    <row r="172" spans="14:18" x14ac:dyDescent="0.15">
      <c r="N172" s="19">
        <v>0.13118853146731319</v>
      </c>
      <c r="O172" s="19">
        <f t="shared" si="9"/>
        <v>200.08669991092739</v>
      </c>
      <c r="P172" s="32" cm="1">
        <f t="array" aca="1" ref="P172" ca="1">INDEX($L$2:$L$51, RANDBETWEEN(1,50))</f>
        <v>300</v>
      </c>
      <c r="Q172" s="19" t="b">
        <f ca="1">O172 &gt; P172</f>
        <v>0</v>
      </c>
      <c r="R172" s="19" t="b">
        <f ca="1">P172 &gt; O172</f>
        <v>1</v>
      </c>
    </row>
    <row r="173" spans="14:18" x14ac:dyDescent="0.15">
      <c r="N173" s="19">
        <v>0.88564837113285833</v>
      </c>
      <c r="O173" s="19">
        <f t="shared" si="9"/>
        <v>327.47293658303465</v>
      </c>
      <c r="P173" s="32" cm="1">
        <f t="array" aca="1" ref="P173" ca="1">INDEX($L$2:$L$51, RANDBETWEEN(1,50))</f>
        <v>200</v>
      </c>
      <c r="Q173" s="19" t="b">
        <f ca="1">O173 &gt; P173</f>
        <v>1</v>
      </c>
      <c r="R173" s="19" t="b">
        <f ca="1">P173 &gt; O173</f>
        <v>0</v>
      </c>
    </row>
    <row r="174" spans="14:18" x14ac:dyDescent="0.15">
      <c r="N174" s="19">
        <v>9.2173629948950203E-2</v>
      </c>
      <c r="O174" s="19">
        <f t="shared" si="9"/>
        <v>195.21900169807989</v>
      </c>
      <c r="P174" s="32" cm="1">
        <f t="array" aca="1" ref="P174" ca="1">INDEX($L$2:$L$51, RANDBETWEEN(1,50))</f>
        <v>250</v>
      </c>
      <c r="Q174" s="19" t="b">
        <f ca="1">O174 &gt; P174</f>
        <v>0</v>
      </c>
      <c r="R174" s="19" t="b">
        <f ca="1">P174 &gt; O174</f>
        <v>1</v>
      </c>
    </row>
    <row r="175" spans="14:18" x14ac:dyDescent="0.15">
      <c r="N175" s="19">
        <v>0.16219855200601674</v>
      </c>
      <c r="O175" s="19">
        <f t="shared" si="9"/>
        <v>203.68681499266731</v>
      </c>
      <c r="P175" s="32" cm="1">
        <f t="array" aca="1" ref="P175" ca="1">INDEX($L$2:$L$51, RANDBETWEEN(1,50))</f>
        <v>200</v>
      </c>
      <c r="Q175" s="19" t="b">
        <f ca="1">O175 &gt; P175</f>
        <v>1</v>
      </c>
      <c r="R175" s="19" t="b">
        <f ca="1">P175 &gt; O175</f>
        <v>0</v>
      </c>
    </row>
    <row r="176" spans="14:18" x14ac:dyDescent="0.15">
      <c r="N176" s="19">
        <v>7.106356512339021E-2</v>
      </c>
      <c r="O176" s="19">
        <f t="shared" si="9"/>
        <v>192.14359048012295</v>
      </c>
      <c r="P176" s="32" cm="1">
        <f t="array" aca="1" ref="P176" ca="1">INDEX($L$2:$L$51, RANDBETWEEN(1,50))</f>
        <v>200</v>
      </c>
      <c r="Q176" s="19" t="b">
        <f ca="1">O176 &gt; P176</f>
        <v>0</v>
      </c>
      <c r="R176" s="19" t="b">
        <f ca="1">P176 &gt; O176</f>
        <v>1</v>
      </c>
    </row>
    <row r="177" spans="14:18" x14ac:dyDescent="0.15">
      <c r="N177" s="19">
        <v>0.36533902881915636</v>
      </c>
      <c r="O177" s="19">
        <f t="shared" si="9"/>
        <v>229.1362979614488</v>
      </c>
      <c r="P177" s="32" cm="1">
        <f t="array" aca="1" ref="P177" ca="1">INDEX($L$2:$L$51, RANDBETWEEN(1,50))</f>
        <v>200</v>
      </c>
      <c r="Q177" s="19" t="b">
        <f ca="1">O177 &gt; P177</f>
        <v>1</v>
      </c>
      <c r="R177" s="19" t="b">
        <f ca="1">P177 &gt; O177</f>
        <v>0</v>
      </c>
    </row>
    <row r="178" spans="14:18" x14ac:dyDescent="0.15">
      <c r="N178" s="19">
        <v>0.25305736356091563</v>
      </c>
      <c r="O178" s="19">
        <f t="shared" si="9"/>
        <v>214.63721712221229</v>
      </c>
      <c r="P178" s="32" cm="1">
        <f t="array" aca="1" ref="P178" ca="1">INDEX($L$2:$L$51, RANDBETWEEN(1,50))</f>
        <v>300</v>
      </c>
      <c r="Q178" s="19" t="b">
        <f ca="1">O178 &gt; P178</f>
        <v>0</v>
      </c>
      <c r="R178" s="19" t="b">
        <f ca="1">P178 &gt; O178</f>
        <v>1</v>
      </c>
    </row>
    <row r="179" spans="14:18" x14ac:dyDescent="0.15">
      <c r="N179" s="19">
        <v>0.13510936830896389</v>
      </c>
      <c r="O179" s="19">
        <f t="shared" si="9"/>
        <v>200.53830177754011</v>
      </c>
      <c r="P179" s="32" cm="1">
        <f t="array" aca="1" ref="P179" ca="1">INDEX($L$2:$L$51, RANDBETWEEN(1,50))</f>
        <v>250</v>
      </c>
      <c r="Q179" s="19" t="b">
        <f ca="1">O179 &gt; P179</f>
        <v>0</v>
      </c>
      <c r="R179" s="19" t="b">
        <f ca="1">P179 &gt; O179</f>
        <v>1</v>
      </c>
    </row>
    <row r="180" spans="14:18" x14ac:dyDescent="0.15">
      <c r="N180" s="19">
        <v>0.7831531687561204</v>
      </c>
      <c r="O180" s="19">
        <f t="shared" si="9"/>
        <v>300.12530732353434</v>
      </c>
      <c r="P180" s="32" cm="1">
        <f t="array" aca="1" ref="P180" ca="1">INDEX($L$2:$L$51, RANDBETWEEN(1,50))</f>
        <v>100</v>
      </c>
      <c r="Q180" s="19" t="b">
        <f ca="1">O180 &gt; P180</f>
        <v>1</v>
      </c>
      <c r="R180" s="19" t="b">
        <f ca="1">P180 &gt; O180</f>
        <v>0</v>
      </c>
    </row>
    <row r="181" spans="14:18" x14ac:dyDescent="0.15">
      <c r="N181" s="19">
        <v>0.45530728411642241</v>
      </c>
      <c r="O181" s="19">
        <f t="shared" si="9"/>
        <v>241.70955515052538</v>
      </c>
      <c r="P181" s="32" cm="1">
        <f t="array" aca="1" ref="P181" ca="1">INDEX($L$2:$L$51, RANDBETWEEN(1,50))</f>
        <v>200</v>
      </c>
      <c r="Q181" s="19" t="b">
        <f ca="1">O181 &gt; P181</f>
        <v>1</v>
      </c>
      <c r="R181" s="19" t="b">
        <f ca="1">P181 &gt; O181</f>
        <v>0</v>
      </c>
    </row>
    <row r="182" spans="14:18" x14ac:dyDescent="0.15">
      <c r="N182" s="19">
        <v>0.34952414471168264</v>
      </c>
      <c r="O182" s="19">
        <f t="shared" si="9"/>
        <v>227.02055225182789</v>
      </c>
      <c r="P182" s="32" cm="1">
        <f t="array" aca="1" ref="P182" ca="1">INDEX($L$2:$L$51, RANDBETWEEN(1,50))</f>
        <v>300</v>
      </c>
      <c r="Q182" s="19" t="b">
        <f ca="1">O182 &gt; P182</f>
        <v>0</v>
      </c>
      <c r="R182" s="19" t="b">
        <f ca="1">P182 &gt; O182</f>
        <v>1</v>
      </c>
    </row>
    <row r="183" spans="14:18" x14ac:dyDescent="0.15">
      <c r="N183" s="19">
        <v>0.45230016925013633</v>
      </c>
      <c r="O183" s="19">
        <f t="shared" si="9"/>
        <v>241.27321519512302</v>
      </c>
      <c r="P183" s="32" cm="1">
        <f t="array" aca="1" ref="P183" ca="1">INDEX($L$2:$L$51, RANDBETWEEN(1,50))</f>
        <v>250</v>
      </c>
      <c r="Q183" s="19" t="b">
        <f ca="1">O183 &gt; P183</f>
        <v>0</v>
      </c>
      <c r="R183" s="19" t="b">
        <f ca="1">P183 &gt; O183</f>
        <v>1</v>
      </c>
    </row>
    <row r="184" spans="14:18" x14ac:dyDescent="0.15">
      <c r="N184" s="19">
        <v>0.80894458704113248</v>
      </c>
      <c r="O184" s="19">
        <f t="shared" si="9"/>
        <v>306.25273872742787</v>
      </c>
      <c r="P184" s="32" cm="1">
        <f t="array" aca="1" ref="P184" ca="1">INDEX($L$2:$L$51, RANDBETWEEN(1,50))</f>
        <v>200</v>
      </c>
      <c r="Q184" s="19" t="b">
        <f ca="1">O184 &gt; P184</f>
        <v>1</v>
      </c>
      <c r="R184" s="19" t="b">
        <f ca="1">P184 &gt; O184</f>
        <v>0</v>
      </c>
    </row>
    <row r="185" spans="14:18" x14ac:dyDescent="0.15">
      <c r="N185" s="19">
        <v>0.93167440031267446</v>
      </c>
      <c r="O185" s="19">
        <f t="shared" si="9"/>
        <v>343.93773474415275</v>
      </c>
      <c r="P185" s="32" cm="1">
        <f t="array" aca="1" ref="P185" ca="1">INDEX($L$2:$L$51, RANDBETWEEN(1,50))</f>
        <v>200</v>
      </c>
      <c r="Q185" s="19" t="b">
        <f ca="1">O185 &gt; P185</f>
        <v>1</v>
      </c>
      <c r="R185" s="19" t="b">
        <f ca="1">P185 &gt; O185</f>
        <v>0</v>
      </c>
    </row>
    <row r="186" spans="14:18" x14ac:dyDescent="0.15">
      <c r="N186" s="19">
        <v>0.65164605511894735</v>
      </c>
      <c r="O186" s="19">
        <f t="shared" si="9"/>
        <v>273.4129490645729</v>
      </c>
      <c r="P186" s="32" cm="1">
        <f t="array" aca="1" ref="P186" ca="1">INDEX($L$2:$L$51, RANDBETWEEN(1,50))</f>
        <v>300</v>
      </c>
      <c r="Q186" s="19" t="b">
        <f ca="1">O186 &gt; P186</f>
        <v>0</v>
      </c>
      <c r="R186" s="19" t="b">
        <f ca="1">P186 &gt; O186</f>
        <v>1</v>
      </c>
    </row>
    <row r="187" spans="14:18" x14ac:dyDescent="0.15">
      <c r="N187" s="19">
        <v>0.21524838414753247</v>
      </c>
      <c r="O187" s="19">
        <f t="shared" si="9"/>
        <v>210.00375180226976</v>
      </c>
      <c r="P187" s="32" cm="1">
        <f t="array" aca="1" ref="P187" ca="1">INDEX($L$2:$L$51, RANDBETWEEN(1,50))</f>
        <v>100</v>
      </c>
      <c r="Q187" s="19" t="b">
        <f ca="1">O187 &gt; P187</f>
        <v>1</v>
      </c>
      <c r="R187" s="19" t="b">
        <f ca="1">P187 &gt; O187</f>
        <v>0</v>
      </c>
    </row>
    <row r="188" spans="14:18" x14ac:dyDescent="0.15">
      <c r="N188" s="19">
        <v>0.67959236757810804</v>
      </c>
      <c r="O188" s="19">
        <f t="shared" si="9"/>
        <v>278.59674184188043</v>
      </c>
      <c r="P188" s="32" cm="1">
        <f t="array" aca="1" ref="P188" ca="1">INDEX($L$2:$L$51, RANDBETWEEN(1,50))</f>
        <v>250</v>
      </c>
      <c r="Q188" s="19" t="b">
        <f ca="1">O188 &gt; P188</f>
        <v>1</v>
      </c>
      <c r="R188" s="19" t="b">
        <f ca="1">P188 &gt; O188</f>
        <v>0</v>
      </c>
    </row>
    <row r="189" spans="14:18" x14ac:dyDescent="0.15">
      <c r="N189" s="19">
        <v>0.90892188526174145</v>
      </c>
      <c r="O189" s="19">
        <f t="shared" si="9"/>
        <v>335.27293241649295</v>
      </c>
      <c r="P189" s="32" cm="1">
        <f t="array" aca="1" ref="P189" ca="1">INDEX($L$2:$L$51, RANDBETWEEN(1,50))</f>
        <v>250</v>
      </c>
      <c r="Q189" s="19" t="b">
        <f ca="1">O189 &gt; P189</f>
        <v>1</v>
      </c>
      <c r="R189" s="19" t="b">
        <f ca="1">P189 &gt; O189</f>
        <v>0</v>
      </c>
    </row>
    <row r="190" spans="14:18" x14ac:dyDescent="0.15">
      <c r="N190" s="19">
        <v>0.25012559408793489</v>
      </c>
      <c r="O190" s="19">
        <f t="shared" si="9"/>
        <v>214.27379648537746</v>
      </c>
      <c r="P190" s="32" cm="1">
        <f t="array" aca="1" ref="P190" ca="1">INDEX($L$2:$L$51, RANDBETWEEN(1,50))</f>
        <v>250</v>
      </c>
      <c r="Q190" s="19" t="b">
        <f ca="1">O190 &gt; P190</f>
        <v>0</v>
      </c>
      <c r="R190" s="19" t="b">
        <f ca="1">P190 &gt; O190</f>
        <v>1</v>
      </c>
    </row>
    <row r="191" spans="14:18" x14ac:dyDescent="0.15">
      <c r="N191" s="19">
        <v>0.86085983592125581</v>
      </c>
      <c r="O191" s="19">
        <f t="shared" si="9"/>
        <v>319.99720287626042</v>
      </c>
      <c r="P191" s="32" cm="1">
        <f t="array" aca="1" ref="P191" ca="1">INDEX($L$2:$L$51, RANDBETWEEN(1,50))</f>
        <v>250</v>
      </c>
      <c r="Q191" s="19" t="b">
        <f ca="1">O191 &gt; P191</f>
        <v>1</v>
      </c>
      <c r="R191" s="19" t="b">
        <f ca="1">P191 &gt; O191</f>
        <v>0</v>
      </c>
    </row>
    <row r="192" spans="14:18" x14ac:dyDescent="0.15">
      <c r="N192" s="19">
        <v>0.47126232854615074</v>
      </c>
      <c r="O192" s="19">
        <f t="shared" si="9"/>
        <v>244.04509341839525</v>
      </c>
      <c r="P192" s="32" cm="1">
        <f t="array" aca="1" ref="P192" ca="1">INDEX($L$2:$L$51, RANDBETWEEN(1,50))</f>
        <v>300</v>
      </c>
      <c r="Q192" s="19" t="b">
        <f ca="1">O192 &gt; P192</f>
        <v>0</v>
      </c>
      <c r="R192" s="19" t="b">
        <f ca="1">P192 &gt; O192</f>
        <v>1</v>
      </c>
    </row>
    <row r="193" spans="14:18" x14ac:dyDescent="0.15">
      <c r="N193" s="19">
        <v>0.50595587515549545</v>
      </c>
      <c r="O193" s="19">
        <f t="shared" si="9"/>
        <v>249.24845028044584</v>
      </c>
      <c r="P193" s="32" cm="1">
        <f t="array" aca="1" ref="P193" ca="1">INDEX($L$2:$L$51, RANDBETWEEN(1,50))</f>
        <v>300</v>
      </c>
      <c r="Q193" s="19" t="b">
        <f ca="1">O193 &gt; P193</f>
        <v>0</v>
      </c>
      <c r="R193" s="19" t="b">
        <f ca="1">P193 &gt; O193</f>
        <v>1</v>
      </c>
    </row>
    <row r="194" spans="14:18" x14ac:dyDescent="0.15">
      <c r="N194" s="19">
        <v>0.6003937384115503</v>
      </c>
      <c r="O194" s="19">
        <f t="shared" si="9"/>
        <v>264.42017837056767</v>
      </c>
      <c r="P194" s="32" cm="1">
        <f t="array" aca="1" ref="P194" ca="1">INDEX($L$2:$L$51, RANDBETWEEN(1,50))</f>
        <v>250</v>
      </c>
      <c r="Q194" s="19" t="b">
        <f ca="1">O194 &gt; P194</f>
        <v>1</v>
      </c>
      <c r="R194" s="19" t="b">
        <f ca="1">P194 &gt; O194</f>
        <v>0</v>
      </c>
    </row>
    <row r="195" spans="14:18" x14ac:dyDescent="0.15">
      <c r="N195" s="19">
        <v>0.81756148292569508</v>
      </c>
      <c r="O195" s="19">
        <f t="shared" ref="O195:O258" si="10">IF(N195&lt;(200-170)/(400-170),
    170 + SQRT(N195*(400-170)*(200-170)),
    400 - SQRT((1-N195)*(400-170)*(400-200))
  )</f>
        <v>308.39120246713185</v>
      </c>
      <c r="P195" s="32" cm="1">
        <f t="array" aca="1" ref="P195" ca="1">INDEX($L$2:$L$51, RANDBETWEEN(1,50))</f>
        <v>300</v>
      </c>
      <c r="Q195" s="19" t="b">
        <f ca="1">O195 &gt; P195</f>
        <v>1</v>
      </c>
      <c r="R195" s="19" t="b">
        <f ca="1">P195 &gt; O195</f>
        <v>0</v>
      </c>
    </row>
    <row r="196" spans="14:18" x14ac:dyDescent="0.15">
      <c r="N196" s="19">
        <v>0.75584353215798905</v>
      </c>
      <c r="O196" s="19">
        <f t="shared" si="10"/>
        <v>294.02265562521154</v>
      </c>
      <c r="P196" s="32" cm="1">
        <f t="array" aca="1" ref="P196" ca="1">INDEX($L$2:$L$51, RANDBETWEEN(1,50))</f>
        <v>300</v>
      </c>
      <c r="Q196" s="19" t="b">
        <f ca="1">O196 &gt; P196</f>
        <v>0</v>
      </c>
      <c r="R196" s="19" t="b">
        <f ca="1">P196 &gt; O196</f>
        <v>1</v>
      </c>
    </row>
    <row r="197" spans="14:18" x14ac:dyDescent="0.15">
      <c r="N197" s="19">
        <v>0.46224497932113939</v>
      </c>
      <c r="O197" s="19">
        <f t="shared" si="10"/>
        <v>242.7208502336448</v>
      </c>
      <c r="P197" s="32" cm="1">
        <f t="array" aca="1" ref="P197" ca="1">INDEX($L$2:$L$51, RANDBETWEEN(1,50))</f>
        <v>200</v>
      </c>
      <c r="Q197" s="19" t="b">
        <f ca="1">O197 &gt; P197</f>
        <v>1</v>
      </c>
      <c r="R197" s="19" t="b">
        <f ca="1">P197 &gt; O197</f>
        <v>0</v>
      </c>
    </row>
    <row r="198" spans="14:18" x14ac:dyDescent="0.15">
      <c r="N198" s="19">
        <v>0.95136745038971648</v>
      </c>
      <c r="O198" s="19">
        <f t="shared" si="10"/>
        <v>352.70203723126076</v>
      </c>
      <c r="P198" s="32" cm="1">
        <f t="array" aca="1" ref="P198" ca="1">INDEX($L$2:$L$51, RANDBETWEEN(1,50))</f>
        <v>250</v>
      </c>
      <c r="Q198" s="19" t="b">
        <f ca="1">O198 &gt; P198</f>
        <v>1</v>
      </c>
      <c r="R198" s="19" t="b">
        <f ca="1">P198 &gt; O198</f>
        <v>0</v>
      </c>
    </row>
    <row r="199" spans="14:18" x14ac:dyDescent="0.15">
      <c r="N199" s="19">
        <v>0.6327386999655229</v>
      </c>
      <c r="O199" s="19">
        <f t="shared" si="10"/>
        <v>270.02300279824146</v>
      </c>
      <c r="P199" s="32" cm="1">
        <f t="array" aca="1" ref="P199" ca="1">INDEX($L$2:$L$51, RANDBETWEEN(1,50))</f>
        <v>250</v>
      </c>
      <c r="Q199" s="19" t="b">
        <f ca="1">O199 &gt; P199</f>
        <v>1</v>
      </c>
      <c r="R199" s="19" t="b">
        <f ca="1">P199 &gt; O199</f>
        <v>0</v>
      </c>
    </row>
    <row r="200" spans="14:18" x14ac:dyDescent="0.15">
      <c r="N200" s="19">
        <v>0.43933032054422905</v>
      </c>
      <c r="O200" s="19">
        <f t="shared" si="10"/>
        <v>239.40484049957962</v>
      </c>
      <c r="P200" s="32" cm="1">
        <f t="array" aca="1" ref="P200" ca="1">INDEX($L$2:$L$51, RANDBETWEEN(1,50))</f>
        <v>200</v>
      </c>
      <c r="Q200" s="19" t="b">
        <f ca="1">O200 &gt; P200</f>
        <v>1</v>
      </c>
      <c r="R200" s="19" t="b">
        <f ca="1">P200 &gt; O200</f>
        <v>0</v>
      </c>
    </row>
    <row r="201" spans="14:18" x14ac:dyDescent="0.15">
      <c r="N201" s="19">
        <v>0.82469738685744698</v>
      </c>
      <c r="O201" s="19">
        <f t="shared" si="10"/>
        <v>310.20066701496364</v>
      </c>
      <c r="P201" s="32" cm="1">
        <f t="array" aca="1" ref="P201" ca="1">INDEX($L$2:$L$51, RANDBETWEEN(1,50))</f>
        <v>300</v>
      </c>
      <c r="Q201" s="19" t="b">
        <f ca="1">O201 &gt; P201</f>
        <v>1</v>
      </c>
      <c r="R201" s="19" t="b">
        <f ca="1">P201 &gt; O201</f>
        <v>0</v>
      </c>
    </row>
    <row r="202" spans="14:18" x14ac:dyDescent="0.15">
      <c r="N202" s="19">
        <v>0.68898091311053411</v>
      </c>
      <c r="O202" s="19">
        <f t="shared" si="10"/>
        <v>280.3886376763669</v>
      </c>
      <c r="P202" s="32" cm="1">
        <f t="array" aca="1" ref="P202" ca="1">INDEX($L$2:$L$51, RANDBETWEEN(1,50))</f>
        <v>150</v>
      </c>
      <c r="Q202" s="19" t="b">
        <f ca="1">O202 &gt; P202</f>
        <v>1</v>
      </c>
      <c r="R202" s="19" t="b">
        <f ca="1">P202 &gt; O202</f>
        <v>0</v>
      </c>
    </row>
    <row r="203" spans="14:18" x14ac:dyDescent="0.15">
      <c r="N203" s="19">
        <v>0.70220664874753291</v>
      </c>
      <c r="O203" s="19">
        <f t="shared" si="10"/>
        <v>282.95943370944633</v>
      </c>
      <c r="P203" s="32" cm="1">
        <f t="array" aca="1" ref="P203" ca="1">INDEX($L$2:$L$51, RANDBETWEEN(1,50))</f>
        <v>300</v>
      </c>
      <c r="Q203" s="19" t="b">
        <f ca="1">O203 &gt; P203</f>
        <v>0</v>
      </c>
      <c r="R203" s="19" t="b">
        <f ca="1">P203 &gt; O203</f>
        <v>1</v>
      </c>
    </row>
    <row r="204" spans="14:18" x14ac:dyDescent="0.15">
      <c r="N204" s="19">
        <v>0.98714549978596411</v>
      </c>
      <c r="O204" s="19">
        <f t="shared" si="10"/>
        <v>375.68319490875393</v>
      </c>
      <c r="P204" s="32" cm="1">
        <f t="array" aca="1" ref="P204" ca="1">INDEX($L$2:$L$51, RANDBETWEEN(1,50))</f>
        <v>250</v>
      </c>
      <c r="Q204" s="19" t="b">
        <f ca="1">O204 &gt; P204</f>
        <v>1</v>
      </c>
      <c r="R204" s="19" t="b">
        <f ca="1">P204 &gt; O204</f>
        <v>0</v>
      </c>
    </row>
    <row r="205" spans="14:18" x14ac:dyDescent="0.15">
      <c r="N205" s="19">
        <v>0.95441490269937312</v>
      </c>
      <c r="O205" s="19">
        <f t="shared" si="10"/>
        <v>354.20792125455716</v>
      </c>
      <c r="P205" s="32" cm="1">
        <f t="array" aca="1" ref="P205" ca="1">INDEX($L$2:$L$51, RANDBETWEEN(1,50))</f>
        <v>100</v>
      </c>
      <c r="Q205" s="19" t="b">
        <f ca="1">O205 &gt; P205</f>
        <v>1</v>
      </c>
      <c r="R205" s="19" t="b">
        <f ca="1">P205 &gt; O205</f>
        <v>0</v>
      </c>
    </row>
    <row r="206" spans="14:18" x14ac:dyDescent="0.15">
      <c r="N206" s="19">
        <v>0.85126966836455731</v>
      </c>
      <c r="O206" s="19">
        <f t="shared" si="10"/>
        <v>317.28606371819581</v>
      </c>
      <c r="P206" s="32" cm="1">
        <f t="array" aca="1" ref="P206" ca="1">INDEX($L$2:$L$51, RANDBETWEEN(1,50))</f>
        <v>250</v>
      </c>
      <c r="Q206" s="19" t="b">
        <f ca="1">O206 &gt; P206</f>
        <v>1</v>
      </c>
      <c r="R206" s="19" t="b">
        <f ca="1">P206 &gt; O206</f>
        <v>0</v>
      </c>
    </row>
    <row r="207" spans="14:18" x14ac:dyDescent="0.15">
      <c r="N207" s="19">
        <v>0.28931620311425821</v>
      </c>
      <c r="O207" s="19">
        <f t="shared" si="10"/>
        <v>219.19221627168778</v>
      </c>
      <c r="P207" s="32" cm="1">
        <f t="array" aca="1" ref="P207" ca="1">INDEX($L$2:$L$51, RANDBETWEEN(1,50))</f>
        <v>250</v>
      </c>
      <c r="Q207" s="19" t="b">
        <f ca="1">O207 &gt; P207</f>
        <v>0</v>
      </c>
      <c r="R207" s="19" t="b">
        <f ca="1">P207 &gt; O207</f>
        <v>1</v>
      </c>
    </row>
    <row r="208" spans="14:18" x14ac:dyDescent="0.15">
      <c r="N208" s="19">
        <v>0.53742574133790366</v>
      </c>
      <c r="O208" s="19">
        <f t="shared" si="10"/>
        <v>254.1287694627332</v>
      </c>
      <c r="P208" s="32" cm="1">
        <f t="array" aca="1" ref="P208" ca="1">INDEX($L$2:$L$51, RANDBETWEEN(1,50))</f>
        <v>250</v>
      </c>
      <c r="Q208" s="19" t="b">
        <f ca="1">O208 &gt; P208</f>
        <v>1</v>
      </c>
      <c r="R208" s="19" t="b">
        <f ca="1">P208 &gt; O208</f>
        <v>0</v>
      </c>
    </row>
    <row r="209" spans="14:18" x14ac:dyDescent="0.15">
      <c r="N209" s="19">
        <v>0.51443466614672662</v>
      </c>
      <c r="O209" s="19">
        <f t="shared" si="10"/>
        <v>250.54764853890529</v>
      </c>
      <c r="P209" s="32" cm="1">
        <f t="array" aca="1" ref="P209" ca="1">INDEX($L$2:$L$51, RANDBETWEEN(1,50))</f>
        <v>250</v>
      </c>
      <c r="Q209" s="19" t="b">
        <f ca="1">O209 &gt; P209</f>
        <v>1</v>
      </c>
      <c r="R209" s="19" t="b">
        <f ca="1">P209 &gt; O209</f>
        <v>0</v>
      </c>
    </row>
    <row r="210" spans="14:18" x14ac:dyDescent="0.15">
      <c r="N210" s="19">
        <v>0.10343392803493605</v>
      </c>
      <c r="O210" s="19">
        <f t="shared" si="10"/>
        <v>196.7150538730705</v>
      </c>
      <c r="P210" s="32" cm="1">
        <f t="array" aca="1" ref="P210" ca="1">INDEX($L$2:$L$51, RANDBETWEEN(1,50))</f>
        <v>150</v>
      </c>
      <c r="Q210" s="19" t="b">
        <f ca="1">O210 &gt; P210</f>
        <v>1</v>
      </c>
      <c r="R210" s="19" t="b">
        <f ca="1">P210 &gt; O210</f>
        <v>0</v>
      </c>
    </row>
    <row r="211" spans="14:18" x14ac:dyDescent="0.15">
      <c r="N211" s="19">
        <v>0.41402848317009794</v>
      </c>
      <c r="O211" s="19">
        <f t="shared" si="10"/>
        <v>235.82116526733572</v>
      </c>
      <c r="P211" s="32" cm="1">
        <f t="array" aca="1" ref="P211" ca="1">INDEX($L$2:$L$51, RANDBETWEEN(1,50))</f>
        <v>250</v>
      </c>
      <c r="Q211" s="19" t="b">
        <f ca="1">O211 &gt; P211</f>
        <v>0</v>
      </c>
      <c r="R211" s="19" t="b">
        <f ca="1">P211 &gt; O211</f>
        <v>1</v>
      </c>
    </row>
    <row r="212" spans="14:18" x14ac:dyDescent="0.15">
      <c r="N212" s="19">
        <v>0.57671663983572119</v>
      </c>
      <c r="O212" s="19">
        <f t="shared" si="10"/>
        <v>260.46135098992528</v>
      </c>
      <c r="P212" s="32" cm="1">
        <f t="array" aca="1" ref="P212" ca="1">INDEX($L$2:$L$51, RANDBETWEEN(1,50))</f>
        <v>300</v>
      </c>
      <c r="Q212" s="19" t="b">
        <f ca="1">O212 &gt; P212</f>
        <v>0</v>
      </c>
      <c r="R212" s="19" t="b">
        <f ca="1">P212 &gt; O212</f>
        <v>1</v>
      </c>
    </row>
    <row r="213" spans="14:18" x14ac:dyDescent="0.15">
      <c r="N213" s="19">
        <v>0.87656571896586832</v>
      </c>
      <c r="O213" s="19">
        <f t="shared" si="10"/>
        <v>324.64764816165285</v>
      </c>
      <c r="P213" s="32" cm="1">
        <f t="array" aca="1" ref="P213" ca="1">INDEX($L$2:$L$51, RANDBETWEEN(1,50))</f>
        <v>150</v>
      </c>
      <c r="Q213" s="19" t="b">
        <f ca="1">O213 &gt; P213</f>
        <v>1</v>
      </c>
      <c r="R213" s="19" t="b">
        <f ca="1">P213 &gt; O213</f>
        <v>0</v>
      </c>
    </row>
    <row r="214" spans="14:18" x14ac:dyDescent="0.15">
      <c r="N214" s="19">
        <v>0.44003865934910191</v>
      </c>
      <c r="O214" s="19">
        <f t="shared" si="10"/>
        <v>239.50631890961779</v>
      </c>
      <c r="P214" s="32" cm="1">
        <f t="array" aca="1" ref="P214" ca="1">INDEX($L$2:$L$51, RANDBETWEEN(1,50))</f>
        <v>300</v>
      </c>
      <c r="Q214" s="19" t="b">
        <f ca="1">O214 &gt; P214</f>
        <v>0</v>
      </c>
      <c r="R214" s="19" t="b">
        <f ca="1">P214 &gt; O214</f>
        <v>1</v>
      </c>
    </row>
    <row r="215" spans="14:18" x14ac:dyDescent="0.15">
      <c r="N215" s="19">
        <v>0.72974768035567728</v>
      </c>
      <c r="O215" s="19">
        <f t="shared" si="10"/>
        <v>288.50288477436357</v>
      </c>
      <c r="P215" s="32" cm="1">
        <f t="array" aca="1" ref="P215" ca="1">INDEX($L$2:$L$51, RANDBETWEEN(1,50))</f>
        <v>200</v>
      </c>
      <c r="Q215" s="19" t="b">
        <f ca="1">O215 &gt; P215</f>
        <v>1</v>
      </c>
      <c r="R215" s="19" t="b">
        <f ca="1">P215 &gt; O215</f>
        <v>0</v>
      </c>
    </row>
    <row r="216" spans="14:18" x14ac:dyDescent="0.15">
      <c r="N216" s="19">
        <v>0.86926373786724342</v>
      </c>
      <c r="O216" s="19">
        <f t="shared" si="10"/>
        <v>322.45086681266639</v>
      </c>
      <c r="P216" s="32" cm="1">
        <f t="array" aca="1" ref="P216" ca="1">INDEX($L$2:$L$51, RANDBETWEEN(1,50))</f>
        <v>300</v>
      </c>
      <c r="Q216" s="19" t="b">
        <f ca="1">O216 &gt; P216</f>
        <v>1</v>
      </c>
      <c r="R216" s="19" t="b">
        <f ca="1">P216 &gt; O216</f>
        <v>0</v>
      </c>
    </row>
    <row r="217" spans="14:18" x14ac:dyDescent="0.15">
      <c r="N217" s="19">
        <v>0.71564233476093153</v>
      </c>
      <c r="O217" s="19">
        <f t="shared" si="10"/>
        <v>285.63019366547326</v>
      </c>
      <c r="P217" s="32" cm="1">
        <f t="array" aca="1" ref="P217" ca="1">INDEX($L$2:$L$51, RANDBETWEEN(1,50))</f>
        <v>200</v>
      </c>
      <c r="Q217" s="19" t="b">
        <f ca="1">O217 &gt; P217</f>
        <v>1</v>
      </c>
      <c r="R217" s="19" t="b">
        <f ca="1">P217 &gt; O217</f>
        <v>0</v>
      </c>
    </row>
    <row r="218" spans="14:18" x14ac:dyDescent="0.15">
      <c r="N218" s="19">
        <v>0.80072032697532336</v>
      </c>
      <c r="O218" s="19">
        <f t="shared" si="10"/>
        <v>304.25625368132324</v>
      </c>
      <c r="P218" s="32" cm="1">
        <f t="array" aca="1" ref="P218" ca="1">INDEX($L$2:$L$51, RANDBETWEEN(1,50))</f>
        <v>150</v>
      </c>
      <c r="Q218" s="19" t="b">
        <f ca="1">O218 &gt; P218</f>
        <v>1</v>
      </c>
      <c r="R218" s="19" t="b">
        <f ca="1">P218 &gt; O218</f>
        <v>0</v>
      </c>
    </row>
    <row r="219" spans="14:18" x14ac:dyDescent="0.15">
      <c r="N219" s="19">
        <v>0.70653547426058705</v>
      </c>
      <c r="O219" s="19">
        <f t="shared" si="10"/>
        <v>283.81321854869634</v>
      </c>
      <c r="P219" s="32" cm="1">
        <f t="array" aca="1" ref="P219" ca="1">INDEX($L$2:$L$51, RANDBETWEEN(1,50))</f>
        <v>250</v>
      </c>
      <c r="Q219" s="19" t="b">
        <f ca="1">O219 &gt; P219</f>
        <v>1</v>
      </c>
      <c r="R219" s="19" t="b">
        <f ca="1">P219 &gt; O219</f>
        <v>0</v>
      </c>
    </row>
    <row r="220" spans="14:18" x14ac:dyDescent="0.15">
      <c r="N220" s="19">
        <v>0.74171589768571589</v>
      </c>
      <c r="O220" s="19">
        <f t="shared" si="10"/>
        <v>290.99968483322141</v>
      </c>
      <c r="P220" s="32" cm="1">
        <f t="array" aca="1" ref="P220" ca="1">INDEX($L$2:$L$51, RANDBETWEEN(1,50))</f>
        <v>300</v>
      </c>
      <c r="Q220" s="19" t="b">
        <f ca="1">O220 &gt; P220</f>
        <v>0</v>
      </c>
      <c r="R220" s="19" t="b">
        <f ca="1">P220 &gt; O220</f>
        <v>1</v>
      </c>
    </row>
    <row r="221" spans="14:18" x14ac:dyDescent="0.15">
      <c r="N221" s="19">
        <v>1.909240382681247E-2</v>
      </c>
      <c r="O221" s="19">
        <f t="shared" si="10"/>
        <v>181.47769952581987</v>
      </c>
      <c r="P221" s="32" cm="1">
        <f t="array" aca="1" ref="P221" ca="1">INDEX($L$2:$L$51, RANDBETWEEN(1,50))</f>
        <v>250</v>
      </c>
      <c r="Q221" s="19" t="b">
        <f ca="1">O221 &gt; P221</f>
        <v>0</v>
      </c>
      <c r="R221" s="19" t="b">
        <f ca="1">P221 &gt; O221</f>
        <v>1</v>
      </c>
    </row>
    <row r="222" spans="14:18" x14ac:dyDescent="0.15">
      <c r="N222" s="19">
        <v>0.88603111723718753</v>
      </c>
      <c r="O222" s="19">
        <f t="shared" si="10"/>
        <v>327.59441591224214</v>
      </c>
      <c r="P222" s="32" cm="1">
        <f t="array" aca="1" ref="P222" ca="1">INDEX($L$2:$L$51, RANDBETWEEN(1,50))</f>
        <v>300</v>
      </c>
      <c r="Q222" s="19" t="b">
        <f ca="1">O222 &gt; P222</f>
        <v>1</v>
      </c>
      <c r="R222" s="19" t="b">
        <f ca="1">P222 &gt; O222</f>
        <v>0</v>
      </c>
    </row>
    <row r="223" spans="14:18" x14ac:dyDescent="0.15">
      <c r="N223" s="19">
        <v>0.52498740541049627</v>
      </c>
      <c r="O223" s="19">
        <f t="shared" si="10"/>
        <v>252.18058533765881</v>
      </c>
      <c r="P223" s="32" cm="1">
        <f t="array" aca="1" ref="P223" ca="1">INDEX($L$2:$L$51, RANDBETWEEN(1,50))</f>
        <v>250</v>
      </c>
      <c r="Q223" s="19" t="b">
        <f ca="1">O223 &gt; P223</f>
        <v>1</v>
      </c>
      <c r="R223" s="19" t="b">
        <f ca="1">P223 &gt; O223</f>
        <v>0</v>
      </c>
    </row>
    <row r="224" spans="14:18" x14ac:dyDescent="0.15">
      <c r="N224" s="19">
        <v>0.46332273421032483</v>
      </c>
      <c r="O224" s="19">
        <f t="shared" si="10"/>
        <v>242.87853671020926</v>
      </c>
      <c r="P224" s="32" cm="1">
        <f t="array" aca="1" ref="P224" ca="1">INDEX($L$2:$L$51, RANDBETWEEN(1,50))</f>
        <v>200</v>
      </c>
      <c r="Q224" s="19" t="b">
        <f ca="1">O224 &gt; P224</f>
        <v>1</v>
      </c>
      <c r="R224" s="19" t="b">
        <f ca="1">P224 &gt; O224</f>
        <v>0</v>
      </c>
    </row>
    <row r="225" spans="14:18" x14ac:dyDescent="0.15">
      <c r="N225" s="19">
        <v>6.519387292917532E-2</v>
      </c>
      <c r="O225" s="19">
        <f t="shared" si="10"/>
        <v>191.20937819011462</v>
      </c>
      <c r="P225" s="32" cm="1">
        <f t="array" aca="1" ref="P225" ca="1">INDEX($L$2:$L$51, RANDBETWEEN(1,50))</f>
        <v>300</v>
      </c>
      <c r="Q225" s="19" t="b">
        <f ca="1">O225 &gt; P225</f>
        <v>0</v>
      </c>
      <c r="R225" s="19" t="b">
        <f ca="1">P225 &gt; O225</f>
        <v>1</v>
      </c>
    </row>
    <row r="226" spans="14:18" x14ac:dyDescent="0.15">
      <c r="N226" s="19">
        <v>0.71342232064969013</v>
      </c>
      <c r="O226" s="19">
        <f t="shared" si="10"/>
        <v>285.18461231126616</v>
      </c>
      <c r="P226" s="32" cm="1">
        <f t="array" aca="1" ref="P226" ca="1">INDEX($L$2:$L$51, RANDBETWEEN(1,50))</f>
        <v>250</v>
      </c>
      <c r="Q226" s="19" t="b">
        <f ca="1">O226 &gt; P226</f>
        <v>1</v>
      </c>
      <c r="R226" s="19" t="b">
        <f ca="1">P226 &gt; O226</f>
        <v>0</v>
      </c>
    </row>
    <row r="227" spans="14:18" x14ac:dyDescent="0.15">
      <c r="N227" s="19">
        <v>0.4889431593422513</v>
      </c>
      <c r="O227" s="19">
        <f t="shared" si="10"/>
        <v>246.67480745077657</v>
      </c>
      <c r="P227" s="32" cm="1">
        <f t="array" aca="1" ref="P227" ca="1">INDEX($L$2:$L$51, RANDBETWEEN(1,50))</f>
        <v>200</v>
      </c>
      <c r="Q227" s="19" t="b">
        <f ca="1">O227 &gt; P227</f>
        <v>1</v>
      </c>
      <c r="R227" s="19" t="b">
        <f ca="1">P227 &gt; O227</f>
        <v>0</v>
      </c>
    </row>
    <row r="228" spans="14:18" x14ac:dyDescent="0.15">
      <c r="N228" s="19">
        <v>0.66767906521804588</v>
      </c>
      <c r="O228" s="19">
        <f t="shared" si="10"/>
        <v>276.36035021090572</v>
      </c>
      <c r="P228" s="32" cm="1">
        <f t="array" aca="1" ref="P228" ca="1">INDEX($L$2:$L$51, RANDBETWEEN(1,50))</f>
        <v>250</v>
      </c>
      <c r="Q228" s="19" t="b">
        <f ca="1">O228 &gt; P228</f>
        <v>1</v>
      </c>
      <c r="R228" s="19" t="b">
        <f ca="1">P228 &gt; O228</f>
        <v>0</v>
      </c>
    </row>
    <row r="229" spans="14:18" x14ac:dyDescent="0.15">
      <c r="N229" s="19">
        <v>0.68204911969697524</v>
      </c>
      <c r="O229" s="19">
        <f t="shared" si="10"/>
        <v>279.06307224863394</v>
      </c>
      <c r="P229" s="32" cm="1">
        <f t="array" aca="1" ref="P229" ca="1">INDEX($L$2:$L$51, RANDBETWEEN(1,50))</f>
        <v>250</v>
      </c>
      <c r="Q229" s="19" t="b">
        <f ca="1">O229 &gt; P229</f>
        <v>1</v>
      </c>
      <c r="R229" s="19" t="b">
        <f ca="1">P229 &gt; O229</f>
        <v>0</v>
      </c>
    </row>
    <row r="230" spans="14:18" x14ac:dyDescent="0.15">
      <c r="N230" s="19">
        <v>0.19955474706345924</v>
      </c>
      <c r="O230" s="19">
        <f t="shared" si="10"/>
        <v>208.11336254162751</v>
      </c>
      <c r="P230" s="32" cm="1">
        <f t="array" aca="1" ref="P230" ca="1">INDEX($L$2:$L$51, RANDBETWEEN(1,50))</f>
        <v>200</v>
      </c>
      <c r="Q230" s="19" t="b">
        <f ca="1">O230 &gt; P230</f>
        <v>1</v>
      </c>
      <c r="R230" s="19" t="b">
        <f ca="1">P230 &gt; O230</f>
        <v>0</v>
      </c>
    </row>
    <row r="231" spans="14:18" x14ac:dyDescent="0.15">
      <c r="N231" s="19">
        <v>0.91663389555953156</v>
      </c>
      <c r="O231" s="19">
        <f t="shared" si="10"/>
        <v>338.07390853395032</v>
      </c>
      <c r="P231" s="32" cm="1">
        <f t="array" aca="1" ref="P231" ca="1">INDEX($L$2:$L$51, RANDBETWEEN(1,50))</f>
        <v>300</v>
      </c>
      <c r="Q231" s="19" t="b">
        <f ca="1">O231 &gt; P231</f>
        <v>1</v>
      </c>
      <c r="R231" s="19" t="b">
        <f ca="1">P231 &gt; O231</f>
        <v>0</v>
      </c>
    </row>
    <row r="232" spans="14:18" x14ac:dyDescent="0.15">
      <c r="N232" s="19">
        <v>0.86588266904739786</v>
      </c>
      <c r="O232" s="19">
        <f t="shared" si="10"/>
        <v>321.45448947381078</v>
      </c>
      <c r="P232" s="32" cm="1">
        <f t="array" aca="1" ref="P232" ca="1">INDEX($L$2:$L$51, RANDBETWEEN(1,50))</f>
        <v>250</v>
      </c>
      <c r="Q232" s="19" t="b">
        <f ca="1">O232 &gt; P232</f>
        <v>1</v>
      </c>
      <c r="R232" s="19" t="b">
        <f ca="1">P232 &gt; O232</f>
        <v>0</v>
      </c>
    </row>
    <row r="233" spans="14:18" x14ac:dyDescent="0.15">
      <c r="N233" s="19">
        <v>0.89001867961605019</v>
      </c>
      <c r="O233" s="19">
        <f t="shared" si="10"/>
        <v>328.87236305301792</v>
      </c>
      <c r="P233" s="32" cm="1">
        <f t="array" aca="1" ref="P233" ca="1">INDEX($L$2:$L$51, RANDBETWEEN(1,50))</f>
        <v>300</v>
      </c>
      <c r="Q233" s="19" t="b">
        <f ca="1">O233 &gt; P233</f>
        <v>1</v>
      </c>
      <c r="R233" s="19" t="b">
        <f ca="1">P233 &gt; O233</f>
        <v>0</v>
      </c>
    </row>
    <row r="234" spans="14:18" x14ac:dyDescent="0.15">
      <c r="N234" s="19">
        <v>0.54394830695537311</v>
      </c>
      <c r="O234" s="19">
        <f t="shared" si="10"/>
        <v>255.16085515285297</v>
      </c>
      <c r="P234" s="32" cm="1">
        <f t="array" aca="1" ref="P234" ca="1">INDEX($L$2:$L$51, RANDBETWEEN(1,50))</f>
        <v>250</v>
      </c>
      <c r="Q234" s="19" t="b">
        <f ca="1">O234 &gt; P234</f>
        <v>1</v>
      </c>
      <c r="R234" s="19" t="b">
        <f ca="1">P234 &gt; O234</f>
        <v>0</v>
      </c>
    </row>
    <row r="235" spans="14:18" x14ac:dyDescent="0.15">
      <c r="N235" s="19">
        <v>0.13919499895497925</v>
      </c>
      <c r="O235" s="19">
        <f t="shared" si="10"/>
        <v>201.0099750035923</v>
      </c>
      <c r="P235" s="32" cm="1">
        <f t="array" aca="1" ref="P235" ca="1">INDEX($L$2:$L$51, RANDBETWEEN(1,50))</f>
        <v>300</v>
      </c>
      <c r="Q235" s="19" t="b">
        <f ca="1">O235 &gt; P235</f>
        <v>0</v>
      </c>
      <c r="R235" s="19" t="b">
        <f ca="1">P235 &gt; O235</f>
        <v>1</v>
      </c>
    </row>
    <row r="236" spans="14:18" x14ac:dyDescent="0.15">
      <c r="N236" s="19">
        <v>0.45034743633603092</v>
      </c>
      <c r="O236" s="19">
        <f t="shared" si="10"/>
        <v>240.99050994188246</v>
      </c>
      <c r="P236" s="32" cm="1">
        <f t="array" aca="1" ref="P236" ca="1">INDEX($L$2:$L$51, RANDBETWEEN(1,50))</f>
        <v>150</v>
      </c>
      <c r="Q236" s="19" t="b">
        <f ca="1">O236 &gt; P236</f>
        <v>1</v>
      </c>
      <c r="R236" s="19" t="b">
        <f ca="1">P236 &gt; O236</f>
        <v>0</v>
      </c>
    </row>
    <row r="237" spans="14:18" x14ac:dyDescent="0.15">
      <c r="N237" s="19">
        <v>0.98936249967169132</v>
      </c>
      <c r="O237" s="19">
        <f t="shared" si="10"/>
        <v>377.87930798771885</v>
      </c>
      <c r="P237" s="32" cm="1">
        <f t="array" aca="1" ref="P237" ca="1">INDEX($L$2:$L$51, RANDBETWEEN(1,50))</f>
        <v>200</v>
      </c>
      <c r="Q237" s="19" t="b">
        <f ca="1">O237 &gt; P237</f>
        <v>1</v>
      </c>
      <c r="R237" s="19" t="b">
        <f ca="1">P237 &gt; O237</f>
        <v>0</v>
      </c>
    </row>
    <row r="238" spans="14:18" x14ac:dyDescent="0.15">
      <c r="N238" s="19">
        <v>0.21553198211618327</v>
      </c>
      <c r="O238" s="19">
        <f t="shared" si="10"/>
        <v>210.03808586283523</v>
      </c>
      <c r="P238" s="32" cm="1">
        <f t="array" aca="1" ref="P238" ca="1">INDEX($L$2:$L$51, RANDBETWEEN(1,50))</f>
        <v>200</v>
      </c>
      <c r="Q238" s="19" t="b">
        <f ca="1">O238 &gt; P238</f>
        <v>1</v>
      </c>
      <c r="R238" s="19" t="b">
        <f ca="1">P238 &gt; O238</f>
        <v>0</v>
      </c>
    </row>
    <row r="239" spans="14:18" x14ac:dyDescent="0.15">
      <c r="N239" s="19">
        <v>0.44602342669201245</v>
      </c>
      <c r="O239" s="19">
        <f t="shared" si="10"/>
        <v>240.36628685591685</v>
      </c>
      <c r="P239" s="32" cm="1">
        <f t="array" aca="1" ref="P239" ca="1">INDEX($L$2:$L$51, RANDBETWEEN(1,50))</f>
        <v>150</v>
      </c>
      <c r="Q239" s="19" t="b">
        <f ca="1">O239 &gt; P239</f>
        <v>1</v>
      </c>
      <c r="R239" s="19" t="b">
        <f ca="1">P239 &gt; O239</f>
        <v>0</v>
      </c>
    </row>
    <row r="240" spans="14:18" x14ac:dyDescent="0.15">
      <c r="N240" s="19">
        <v>0.31573241265291924</v>
      </c>
      <c r="O240" s="19">
        <f t="shared" si="10"/>
        <v>222.58436084165041</v>
      </c>
      <c r="P240" s="32" cm="1">
        <f t="array" aca="1" ref="P240" ca="1">INDEX($L$2:$L$51, RANDBETWEEN(1,50))</f>
        <v>250</v>
      </c>
      <c r="Q240" s="19" t="b">
        <f ca="1">O240 &gt; P240</f>
        <v>0</v>
      </c>
      <c r="R240" s="19" t="b">
        <f ca="1">P240 &gt; O240</f>
        <v>1</v>
      </c>
    </row>
    <row r="241" spans="14:18" x14ac:dyDescent="0.15">
      <c r="N241" s="19">
        <v>0.5146594576140211</v>
      </c>
      <c r="O241" s="19">
        <f t="shared" si="10"/>
        <v>250.58224687221727</v>
      </c>
      <c r="P241" s="32" cm="1">
        <f t="array" aca="1" ref="P241" ca="1">INDEX($L$2:$L$51, RANDBETWEEN(1,50))</f>
        <v>300</v>
      </c>
      <c r="Q241" s="19" t="b">
        <f ca="1">O241 &gt; P241</f>
        <v>0</v>
      </c>
      <c r="R241" s="19" t="b">
        <f ca="1">P241 &gt; O241</f>
        <v>1</v>
      </c>
    </row>
    <row r="242" spans="14:18" x14ac:dyDescent="0.15">
      <c r="N242" s="19">
        <v>0.88150411885301772</v>
      </c>
      <c r="O242" s="19">
        <f t="shared" si="10"/>
        <v>326.17039528237211</v>
      </c>
      <c r="P242" s="32" cm="1">
        <f t="array" aca="1" ref="P242" ca="1">INDEX($L$2:$L$51, RANDBETWEEN(1,50))</f>
        <v>250</v>
      </c>
      <c r="Q242" s="19" t="b">
        <f ca="1">O242 &gt; P242</f>
        <v>1</v>
      </c>
      <c r="R242" s="19" t="b">
        <f ca="1">P242 &gt; O242</f>
        <v>0</v>
      </c>
    </row>
    <row r="243" spans="14:18" x14ac:dyDescent="0.15">
      <c r="N243" s="19">
        <v>0.43972556266920898</v>
      </c>
      <c r="O243" s="19">
        <f t="shared" si="10"/>
        <v>239.46145597640302</v>
      </c>
      <c r="P243" s="32" cm="1">
        <f t="array" aca="1" ref="P243" ca="1">INDEX($L$2:$L$51, RANDBETWEEN(1,50))</f>
        <v>300</v>
      </c>
      <c r="Q243" s="19" t="b">
        <f ca="1">O243 &gt; P243</f>
        <v>0</v>
      </c>
      <c r="R243" s="19" t="b">
        <f ca="1">P243 &gt; O243</f>
        <v>1</v>
      </c>
    </row>
    <row r="244" spans="14:18" x14ac:dyDescent="0.15">
      <c r="N244" s="19">
        <v>0.46753178139567925</v>
      </c>
      <c r="O244" s="19">
        <f t="shared" si="10"/>
        <v>243.49588485985822</v>
      </c>
      <c r="P244" s="32" cm="1">
        <f t="array" aca="1" ref="P244" ca="1">INDEX($L$2:$L$51, RANDBETWEEN(1,50))</f>
        <v>150</v>
      </c>
      <c r="Q244" s="19" t="b">
        <f ca="1">O244 &gt; P244</f>
        <v>1</v>
      </c>
      <c r="R244" s="19" t="b">
        <f ca="1">P244 &gt; O244</f>
        <v>0</v>
      </c>
    </row>
    <row r="245" spans="14:18" x14ac:dyDescent="0.15">
      <c r="N245" s="19">
        <v>0.80664991718095258</v>
      </c>
      <c r="O245" s="19">
        <f t="shared" si="10"/>
        <v>305.69144360305273</v>
      </c>
      <c r="P245" s="32" cm="1">
        <f t="array" aca="1" ref="P245" ca="1">INDEX($L$2:$L$51, RANDBETWEEN(1,50))</f>
        <v>300</v>
      </c>
      <c r="Q245" s="19" t="b">
        <f ca="1">O245 &gt; P245</f>
        <v>1</v>
      </c>
      <c r="R245" s="19" t="b">
        <f ca="1">P245 &gt; O245</f>
        <v>0</v>
      </c>
    </row>
    <row r="246" spans="14:18" x14ac:dyDescent="0.15">
      <c r="N246" s="19">
        <v>0.36515806026996955</v>
      </c>
      <c r="O246" s="19">
        <f t="shared" si="10"/>
        <v>229.11193948206503</v>
      </c>
      <c r="P246" s="32" cm="1">
        <f t="array" aca="1" ref="P246" ca="1">INDEX($L$2:$L$51, RANDBETWEEN(1,50))</f>
        <v>300</v>
      </c>
      <c r="Q246" s="19" t="b">
        <f ca="1">O246 &gt; P246</f>
        <v>0</v>
      </c>
      <c r="R246" s="19" t="b">
        <f ca="1">P246 &gt; O246</f>
        <v>1</v>
      </c>
    </row>
    <row r="247" spans="14:18" x14ac:dyDescent="0.15">
      <c r="N247" s="19">
        <v>0.21151895737811874</v>
      </c>
      <c r="O247" s="19">
        <f t="shared" si="10"/>
        <v>209.55282107469657</v>
      </c>
      <c r="P247" s="32" cm="1">
        <f t="array" aca="1" ref="P247" ca="1">INDEX($L$2:$L$51, RANDBETWEEN(1,50))</f>
        <v>200</v>
      </c>
      <c r="Q247" s="19" t="b">
        <f ca="1">O247 &gt; P247</f>
        <v>1</v>
      </c>
      <c r="R247" s="19" t="b">
        <f ca="1">P247 &gt; O247</f>
        <v>0</v>
      </c>
    </row>
    <row r="248" spans="14:18" x14ac:dyDescent="0.15">
      <c r="N248" s="19">
        <v>0.99911665404174321</v>
      </c>
      <c r="O248" s="19">
        <f t="shared" si="10"/>
        <v>393.6255263684119</v>
      </c>
      <c r="P248" s="32" cm="1">
        <f t="array" aca="1" ref="P248" ca="1">INDEX($L$2:$L$51, RANDBETWEEN(1,50))</f>
        <v>250</v>
      </c>
      <c r="Q248" s="19" t="b">
        <f ca="1">O248 &gt; P248</f>
        <v>1</v>
      </c>
      <c r="R248" s="19" t="b">
        <f ca="1">P248 &gt; O248</f>
        <v>0</v>
      </c>
    </row>
    <row r="249" spans="14:18" x14ac:dyDescent="0.15">
      <c r="N249" s="19">
        <v>0.1536044795781395</v>
      </c>
      <c r="O249" s="19">
        <f t="shared" si="10"/>
        <v>202.68250473055974</v>
      </c>
      <c r="P249" s="32" cm="1">
        <f t="array" aca="1" ref="P249" ca="1">INDEX($L$2:$L$51, RANDBETWEEN(1,50))</f>
        <v>150</v>
      </c>
      <c r="Q249" s="19" t="b">
        <f ca="1">O249 &gt; P249</f>
        <v>1</v>
      </c>
      <c r="R249" s="19" t="b">
        <f ca="1">P249 &gt; O249</f>
        <v>0</v>
      </c>
    </row>
    <row r="250" spans="14:18" x14ac:dyDescent="0.15">
      <c r="N250" s="19">
        <v>0.63048826979030304</v>
      </c>
      <c r="O250" s="19">
        <f t="shared" si="10"/>
        <v>269.62538748036081</v>
      </c>
      <c r="P250" s="32" cm="1">
        <f t="array" aca="1" ref="P250" ca="1">INDEX($L$2:$L$51, RANDBETWEEN(1,50))</f>
        <v>100</v>
      </c>
      <c r="Q250" s="19" t="b">
        <f ca="1">O250 &gt; P250</f>
        <v>1</v>
      </c>
      <c r="R250" s="19" t="b">
        <f ca="1">P250 &gt; O250</f>
        <v>0</v>
      </c>
    </row>
    <row r="251" spans="14:18" x14ac:dyDescent="0.15">
      <c r="N251" s="19">
        <v>0.61635036562399492</v>
      </c>
      <c r="O251" s="19">
        <f t="shared" si="10"/>
        <v>267.15466443530568</v>
      </c>
      <c r="P251" s="32" cm="1">
        <f t="array" aca="1" ref="P251" ca="1">INDEX($L$2:$L$51, RANDBETWEEN(1,50))</f>
        <v>200</v>
      </c>
      <c r="Q251" s="19" t="b">
        <f ca="1">O251 &gt; P251</f>
        <v>1</v>
      </c>
      <c r="R251" s="19" t="b">
        <f ca="1">P251 &gt; O251</f>
        <v>0</v>
      </c>
    </row>
    <row r="252" spans="14:18" x14ac:dyDescent="0.15">
      <c r="N252" s="19">
        <v>5.9504248229555901E-4</v>
      </c>
      <c r="O252" s="19">
        <f t="shared" si="10"/>
        <v>172.02627567913137</v>
      </c>
      <c r="P252" s="32" cm="1">
        <f t="array" aca="1" ref="P252" ca="1">INDEX($L$2:$L$51, RANDBETWEEN(1,50))</f>
        <v>250</v>
      </c>
      <c r="Q252" s="19" t="b">
        <f ca="1">O252 &gt; P252</f>
        <v>0</v>
      </c>
      <c r="R252" s="19" t="b">
        <f ca="1">P252 &gt; O252</f>
        <v>1</v>
      </c>
    </row>
    <row r="253" spans="14:18" x14ac:dyDescent="0.15">
      <c r="N253" s="19">
        <v>8.7899994146032256E-4</v>
      </c>
      <c r="O253" s="19">
        <f t="shared" si="10"/>
        <v>172.46274229185195</v>
      </c>
      <c r="P253" s="32" cm="1">
        <f t="array" aca="1" ref="P253" ca="1">INDEX($L$2:$L$51, RANDBETWEEN(1,50))</f>
        <v>250</v>
      </c>
      <c r="Q253" s="19" t="b">
        <f ca="1">O253 &gt; P253</f>
        <v>0</v>
      </c>
      <c r="R253" s="19" t="b">
        <f ca="1">P253 &gt; O253</f>
        <v>1</v>
      </c>
    </row>
    <row r="254" spans="14:18" x14ac:dyDescent="0.15">
      <c r="N254" s="19">
        <v>0.77335201612364124</v>
      </c>
      <c r="O254" s="19">
        <f t="shared" si="10"/>
        <v>297.89315763225022</v>
      </c>
      <c r="P254" s="32" cm="1">
        <f t="array" aca="1" ref="P254" ca="1">INDEX($L$2:$L$51, RANDBETWEEN(1,50))</f>
        <v>250</v>
      </c>
      <c r="Q254" s="19" t="b">
        <f ca="1">O254 &gt; P254</f>
        <v>1</v>
      </c>
      <c r="R254" s="19" t="b">
        <f ca="1">P254 &gt; O254</f>
        <v>0</v>
      </c>
    </row>
    <row r="255" spans="14:18" x14ac:dyDescent="0.15">
      <c r="N255" s="19">
        <v>0.72733499003915814</v>
      </c>
      <c r="O255" s="19">
        <f t="shared" si="10"/>
        <v>288.00629277410837</v>
      </c>
      <c r="P255" s="32" cm="1">
        <f t="array" aca="1" ref="P255" ca="1">INDEX($L$2:$L$51, RANDBETWEEN(1,50))</f>
        <v>200</v>
      </c>
      <c r="Q255" s="19" t="b">
        <f ca="1">O255 &gt; P255</f>
        <v>1</v>
      </c>
      <c r="R255" s="19" t="b">
        <f ca="1">P255 &gt; O255</f>
        <v>0</v>
      </c>
    </row>
    <row r="256" spans="14:18" x14ac:dyDescent="0.15">
      <c r="N256" s="19">
        <v>0.31917758813089581</v>
      </c>
      <c r="O256" s="19">
        <f t="shared" si="10"/>
        <v>223.03155381261101</v>
      </c>
      <c r="P256" s="32" cm="1">
        <f t="array" aca="1" ref="P256" ca="1">INDEX($L$2:$L$51, RANDBETWEEN(1,50))</f>
        <v>250</v>
      </c>
      <c r="Q256" s="19" t="b">
        <f ca="1">O256 &gt; P256</f>
        <v>0</v>
      </c>
      <c r="R256" s="19" t="b">
        <f ca="1">P256 &gt; O256</f>
        <v>1</v>
      </c>
    </row>
    <row r="257" spans="14:18" x14ac:dyDescent="0.15">
      <c r="N257" s="19">
        <v>0.41772371596550745</v>
      </c>
      <c r="O257" s="19">
        <f t="shared" si="10"/>
        <v>236.33965335003515</v>
      </c>
      <c r="P257" s="32" cm="1">
        <f t="array" aca="1" ref="P257" ca="1">INDEX($L$2:$L$51, RANDBETWEEN(1,50))</f>
        <v>300</v>
      </c>
      <c r="Q257" s="19" t="b">
        <f ca="1">O257 &gt; P257</f>
        <v>0</v>
      </c>
      <c r="R257" s="19" t="b">
        <f ca="1">P257 &gt; O257</f>
        <v>1</v>
      </c>
    </row>
    <row r="258" spans="14:18" x14ac:dyDescent="0.15">
      <c r="N258" s="19">
        <v>0.68249423228320394</v>
      </c>
      <c r="O258" s="19">
        <f t="shared" si="10"/>
        <v>279.14775419971454</v>
      </c>
      <c r="P258" s="32" cm="1">
        <f t="array" aca="1" ref="P258" ca="1">INDEX($L$2:$L$51, RANDBETWEEN(1,50))</f>
        <v>300</v>
      </c>
      <c r="Q258" s="19" t="b">
        <f ca="1">O258 &gt; P258</f>
        <v>0</v>
      </c>
      <c r="R258" s="19" t="b">
        <f ca="1">P258 &gt; O258</f>
        <v>1</v>
      </c>
    </row>
    <row r="259" spans="14:18" x14ac:dyDescent="0.15">
      <c r="N259" s="19">
        <v>0.68056198380913679</v>
      </c>
      <c r="O259" s="19">
        <f t="shared" ref="O259:O322" si="11">IF(N259&lt;(200-170)/(400-170),
    170 + SQRT(N259*(400-170)*(200-170)),
    400 - SQRT((1-N259)*(400-170)*(400-200))
  )</f>
        <v>278.78057604170976</v>
      </c>
      <c r="P259" s="32" cm="1">
        <f t="array" aca="1" ref="P259" ca="1">INDEX($L$2:$L$51, RANDBETWEEN(1,50))</f>
        <v>300</v>
      </c>
      <c r="Q259" s="19" t="b">
        <f ca="1">O259 &gt; P259</f>
        <v>0</v>
      </c>
      <c r="R259" s="19" t="b">
        <f ca="1">P259 &gt; O259</f>
        <v>1</v>
      </c>
    </row>
    <row r="260" spans="14:18" x14ac:dyDescent="0.15">
      <c r="N260" s="19">
        <v>0.20526188016182831</v>
      </c>
      <c r="O260" s="19">
        <f t="shared" si="11"/>
        <v>208.79865713715319</v>
      </c>
      <c r="P260" s="32" cm="1">
        <f t="array" aca="1" ref="P260" ca="1">INDEX($L$2:$L$51, RANDBETWEEN(1,50))</f>
        <v>200</v>
      </c>
      <c r="Q260" s="19" t="b">
        <f ca="1">O260 &gt; P260</f>
        <v>1</v>
      </c>
      <c r="R260" s="19" t="b">
        <f ca="1">P260 &gt; O260</f>
        <v>0</v>
      </c>
    </row>
    <row r="261" spans="14:18" x14ac:dyDescent="0.15">
      <c r="N261" s="19">
        <v>0.83641987984833299</v>
      </c>
      <c r="O261" s="19">
        <f t="shared" si="11"/>
        <v>313.25505474682296</v>
      </c>
      <c r="P261" s="32" cm="1">
        <f t="array" aca="1" ref="P261" ca="1">INDEX($L$2:$L$51, RANDBETWEEN(1,50))</f>
        <v>250</v>
      </c>
      <c r="Q261" s="19" t="b">
        <f ca="1">O261 &gt; P261</f>
        <v>1</v>
      </c>
      <c r="R261" s="19" t="b">
        <f ca="1">P261 &gt; O261</f>
        <v>0</v>
      </c>
    </row>
    <row r="262" spans="14:18" x14ac:dyDescent="0.15">
      <c r="N262" s="19">
        <v>0.70892061093306202</v>
      </c>
      <c r="O262" s="19">
        <f t="shared" si="11"/>
        <v>284.28633660159596</v>
      </c>
      <c r="P262" s="32" cm="1">
        <f t="array" aca="1" ref="P262" ca="1">INDEX($L$2:$L$51, RANDBETWEEN(1,50))</f>
        <v>100</v>
      </c>
      <c r="Q262" s="19" t="b">
        <f ca="1">O262 &gt; P262</f>
        <v>1</v>
      </c>
      <c r="R262" s="19" t="b">
        <f ca="1">P262 &gt; O262</f>
        <v>0</v>
      </c>
    </row>
    <row r="263" spans="14:18" x14ac:dyDescent="0.15">
      <c r="N263" s="19">
        <v>0.82870795197259073</v>
      </c>
      <c r="O263" s="19">
        <f t="shared" si="11"/>
        <v>311.2338228306478</v>
      </c>
      <c r="P263" s="32" cm="1">
        <f t="array" aca="1" ref="P263" ca="1">INDEX($L$2:$L$51, RANDBETWEEN(1,50))</f>
        <v>100</v>
      </c>
      <c r="Q263" s="19" t="b">
        <f ca="1">O263 &gt; P263</f>
        <v>1</v>
      </c>
      <c r="R263" s="19" t="b">
        <f ca="1">P263 &gt; O263</f>
        <v>0</v>
      </c>
    </row>
    <row r="264" spans="14:18" x14ac:dyDescent="0.15">
      <c r="N264" s="19">
        <v>9.4548803332517292E-2</v>
      </c>
      <c r="O264" s="19">
        <f t="shared" si="11"/>
        <v>195.54186255922559</v>
      </c>
      <c r="P264" s="32" cm="1">
        <f t="array" aca="1" ref="P264" ca="1">INDEX($L$2:$L$51, RANDBETWEEN(1,50))</f>
        <v>150</v>
      </c>
      <c r="Q264" s="19" t="b">
        <f ca="1">O264 &gt; P264</f>
        <v>1</v>
      </c>
      <c r="R264" s="19" t="b">
        <f ca="1">P264 &gt; O264</f>
        <v>0</v>
      </c>
    </row>
    <row r="265" spans="14:18" x14ac:dyDescent="0.15">
      <c r="N265" s="19">
        <v>8.1737609618221227E-2</v>
      </c>
      <c r="O265" s="19">
        <f t="shared" si="11"/>
        <v>193.74846324219163</v>
      </c>
      <c r="P265" s="32" cm="1">
        <f t="array" aca="1" ref="P265" ca="1">INDEX($L$2:$L$51, RANDBETWEEN(1,50))</f>
        <v>300</v>
      </c>
      <c r="Q265" s="19" t="b">
        <f ca="1">O265 &gt; P265</f>
        <v>0</v>
      </c>
      <c r="R265" s="19" t="b">
        <f ca="1">P265 &gt; O265</f>
        <v>1</v>
      </c>
    </row>
    <row r="266" spans="14:18" x14ac:dyDescent="0.15">
      <c r="N266" s="19">
        <v>0.76400485344417624</v>
      </c>
      <c r="O266" s="19">
        <f t="shared" si="11"/>
        <v>295.80894116303506</v>
      </c>
      <c r="P266" s="32" cm="1">
        <f t="array" aca="1" ref="P266" ca="1">INDEX($L$2:$L$51, RANDBETWEEN(1,50))</f>
        <v>300</v>
      </c>
      <c r="Q266" s="19" t="b">
        <f ca="1">O266 &gt; P266</f>
        <v>0</v>
      </c>
      <c r="R266" s="19" t="b">
        <f ca="1">P266 &gt; O266</f>
        <v>1</v>
      </c>
    </row>
    <row r="267" spans="14:18" x14ac:dyDescent="0.15">
      <c r="N267" s="19">
        <v>0.62957183626926128</v>
      </c>
      <c r="O267" s="19">
        <f t="shared" si="11"/>
        <v>269.46381524031744</v>
      </c>
      <c r="P267" s="32" cm="1">
        <f t="array" aca="1" ref="P267" ca="1">INDEX($L$2:$L$51, RANDBETWEEN(1,50))</f>
        <v>250</v>
      </c>
      <c r="Q267" s="19" t="b">
        <f ca="1">O267 &gt; P267</f>
        <v>1</v>
      </c>
      <c r="R267" s="19" t="b">
        <f ca="1">P267 &gt; O267</f>
        <v>0</v>
      </c>
    </row>
    <row r="268" spans="14:18" x14ac:dyDescent="0.15">
      <c r="N268" s="19">
        <v>0.2138521774736476</v>
      </c>
      <c r="O268" s="19">
        <f t="shared" si="11"/>
        <v>209.83480908375421</v>
      </c>
      <c r="P268" s="32" cm="1">
        <f t="array" aca="1" ref="P268" ca="1">INDEX($L$2:$L$51, RANDBETWEEN(1,50))</f>
        <v>300</v>
      </c>
      <c r="Q268" s="19" t="b">
        <f ca="1">O268 &gt; P268</f>
        <v>0</v>
      </c>
      <c r="R268" s="19" t="b">
        <f ca="1">P268 &gt; O268</f>
        <v>1</v>
      </c>
    </row>
    <row r="269" spans="14:18" x14ac:dyDescent="0.15">
      <c r="N269" s="19">
        <v>0.21354679959525671</v>
      </c>
      <c r="O269" s="19">
        <f t="shared" si="11"/>
        <v>209.7978779860272</v>
      </c>
      <c r="P269" s="32" cm="1">
        <f t="array" aca="1" ref="P269" ca="1">INDEX($L$2:$L$51, RANDBETWEEN(1,50))</f>
        <v>250</v>
      </c>
      <c r="Q269" s="19" t="b">
        <f ca="1">O269 &gt; P269</f>
        <v>0</v>
      </c>
      <c r="R269" s="19" t="b">
        <f ca="1">P269 &gt; O269</f>
        <v>1</v>
      </c>
    </row>
    <row r="270" spans="14:18" x14ac:dyDescent="0.15">
      <c r="N270" s="19">
        <v>8.106079747949764E-2</v>
      </c>
      <c r="O270" s="19">
        <f t="shared" si="11"/>
        <v>193.64993663011666</v>
      </c>
      <c r="P270" s="32" cm="1">
        <f t="array" aca="1" ref="P270" ca="1">INDEX($L$2:$L$51, RANDBETWEEN(1,50))</f>
        <v>250</v>
      </c>
      <c r="Q270" s="19" t="b">
        <f ca="1">O270 &gt; P270</f>
        <v>0</v>
      </c>
      <c r="R270" s="19" t="b">
        <f ca="1">P270 &gt; O270</f>
        <v>1</v>
      </c>
    </row>
    <row r="271" spans="14:18" x14ac:dyDescent="0.15">
      <c r="N271" s="19">
        <v>0.38882323791683804</v>
      </c>
      <c r="O271" s="19">
        <f t="shared" si="11"/>
        <v>232.32730974954376</v>
      </c>
      <c r="P271" s="32" cm="1">
        <f t="array" aca="1" ref="P271" ca="1">INDEX($L$2:$L$51, RANDBETWEEN(1,50))</f>
        <v>100</v>
      </c>
      <c r="Q271" s="19" t="b">
        <f ca="1">O271 &gt; P271</f>
        <v>1</v>
      </c>
      <c r="R271" s="19" t="b">
        <f ca="1">P271 &gt; O271</f>
        <v>0</v>
      </c>
    </row>
    <row r="272" spans="14:18" x14ac:dyDescent="0.15">
      <c r="N272" s="19">
        <v>0.95215966829664989</v>
      </c>
      <c r="O272" s="19">
        <f t="shared" si="11"/>
        <v>353.08885784428071</v>
      </c>
      <c r="P272" s="32" cm="1">
        <f t="array" aca="1" ref="P272" ca="1">INDEX($L$2:$L$51, RANDBETWEEN(1,50))</f>
        <v>300</v>
      </c>
      <c r="Q272" s="19" t="b">
        <f ca="1">O272 &gt; P272</f>
        <v>1</v>
      </c>
      <c r="R272" s="19" t="b">
        <f ca="1">P272 &gt; O272</f>
        <v>0</v>
      </c>
    </row>
    <row r="273" spans="14:18" x14ac:dyDescent="0.15">
      <c r="N273" s="19">
        <v>0.94754506179482911</v>
      </c>
      <c r="O273" s="19">
        <f t="shared" si="11"/>
        <v>350.87844508326452</v>
      </c>
      <c r="P273" s="32" cm="1">
        <f t="array" aca="1" ref="P273" ca="1">INDEX($L$2:$L$51, RANDBETWEEN(1,50))</f>
        <v>300</v>
      </c>
      <c r="Q273" s="19" t="b">
        <f ca="1">O273 &gt; P273</f>
        <v>1</v>
      </c>
      <c r="R273" s="19" t="b">
        <f ca="1">P273 &gt; O273</f>
        <v>0</v>
      </c>
    </row>
    <row r="274" spans="14:18" x14ac:dyDescent="0.15">
      <c r="N274" s="19">
        <v>0.38985358569298573</v>
      </c>
      <c r="O274" s="19">
        <f t="shared" si="11"/>
        <v>232.46870424269184</v>
      </c>
      <c r="P274" s="32" cm="1">
        <f t="array" aca="1" ref="P274" ca="1">INDEX($L$2:$L$51, RANDBETWEEN(1,50))</f>
        <v>250</v>
      </c>
      <c r="Q274" s="19" t="b">
        <f ca="1">O274 &gt; P274</f>
        <v>0</v>
      </c>
      <c r="R274" s="19" t="b">
        <f ca="1">P274 &gt; O274</f>
        <v>1</v>
      </c>
    </row>
    <row r="275" spans="14:18" x14ac:dyDescent="0.15">
      <c r="N275" s="19">
        <v>0.26921474201102497</v>
      </c>
      <c r="O275" s="19">
        <f t="shared" si="11"/>
        <v>216.65300147672758</v>
      </c>
      <c r="P275" s="32" cm="1">
        <f t="array" aca="1" ref="P275" ca="1">INDEX($L$2:$L$51, RANDBETWEEN(1,50))</f>
        <v>300</v>
      </c>
      <c r="Q275" s="19" t="b">
        <f ca="1">O275 &gt; P275</f>
        <v>0</v>
      </c>
      <c r="R275" s="19" t="b">
        <f ca="1">P275 &gt; O275</f>
        <v>1</v>
      </c>
    </row>
    <row r="276" spans="14:18" x14ac:dyDescent="0.15">
      <c r="N276" s="19">
        <v>0.69216897929653942</v>
      </c>
      <c r="O276" s="19">
        <f t="shared" si="11"/>
        <v>281.0032481436607</v>
      </c>
      <c r="P276" s="32" cm="1">
        <f t="array" aca="1" ref="P276" ca="1">INDEX($L$2:$L$51, RANDBETWEEN(1,50))</f>
        <v>100</v>
      </c>
      <c r="Q276" s="19" t="b">
        <f ca="1">O276 &gt; P276</f>
        <v>1</v>
      </c>
      <c r="R276" s="19" t="b">
        <f ca="1">P276 &gt; O276</f>
        <v>0</v>
      </c>
    </row>
    <row r="277" spans="14:18" x14ac:dyDescent="0.15">
      <c r="N277" s="19">
        <v>0.2840350369382813</v>
      </c>
      <c r="O277" s="19">
        <f t="shared" si="11"/>
        <v>218.52165886575045</v>
      </c>
      <c r="P277" s="32" cm="1">
        <f t="array" aca="1" ref="P277" ca="1">INDEX($L$2:$L$51, RANDBETWEEN(1,50))</f>
        <v>200</v>
      </c>
      <c r="Q277" s="19" t="b">
        <f ca="1">O277 &gt; P277</f>
        <v>1</v>
      </c>
      <c r="R277" s="19" t="b">
        <f ca="1">P277 &gt; O277</f>
        <v>0</v>
      </c>
    </row>
    <row r="278" spans="14:18" x14ac:dyDescent="0.15">
      <c r="N278" s="19">
        <v>0.77686582169349572</v>
      </c>
      <c r="O278" s="19">
        <f t="shared" si="11"/>
        <v>298.68774900290094</v>
      </c>
      <c r="P278" s="32" cm="1">
        <f t="array" aca="1" ref="P278" ca="1">INDEX($L$2:$L$51, RANDBETWEEN(1,50))</f>
        <v>200</v>
      </c>
      <c r="Q278" s="19" t="b">
        <f ca="1">O278 &gt; P278</f>
        <v>1</v>
      </c>
      <c r="R278" s="19" t="b">
        <f ca="1">P278 &gt; O278</f>
        <v>0</v>
      </c>
    </row>
    <row r="279" spans="14:18" x14ac:dyDescent="0.15">
      <c r="N279" s="19">
        <v>0.78386520258330983</v>
      </c>
      <c r="O279" s="19">
        <f t="shared" si="11"/>
        <v>300.2894154005316</v>
      </c>
      <c r="P279" s="32" cm="1">
        <f t="array" aca="1" ref="P279" ca="1">INDEX($L$2:$L$51, RANDBETWEEN(1,50))</f>
        <v>250</v>
      </c>
      <c r="Q279" s="19" t="b">
        <f ca="1">O279 &gt; P279</f>
        <v>1</v>
      </c>
      <c r="R279" s="19" t="b">
        <f ca="1">P279 &gt; O279</f>
        <v>0</v>
      </c>
    </row>
    <row r="280" spans="14:18" x14ac:dyDescent="0.15">
      <c r="N280" s="19">
        <v>0.42245981768819496</v>
      </c>
      <c r="O280" s="19">
        <f t="shared" si="11"/>
        <v>237.00660017551928</v>
      </c>
      <c r="P280" s="32" cm="1">
        <f t="array" aca="1" ref="P280" ca="1">INDEX($L$2:$L$51, RANDBETWEEN(1,50))</f>
        <v>150</v>
      </c>
      <c r="Q280" s="19" t="b">
        <f ca="1">O280 &gt; P280</f>
        <v>1</v>
      </c>
      <c r="R280" s="19" t="b">
        <f ca="1">P280 &gt; O280</f>
        <v>0</v>
      </c>
    </row>
    <row r="281" spans="14:18" x14ac:dyDescent="0.15">
      <c r="N281" s="19">
        <v>0.28215588549252407</v>
      </c>
      <c r="O281" s="19">
        <f t="shared" si="11"/>
        <v>218.28365712643264</v>
      </c>
      <c r="P281" s="32" cm="1">
        <f t="array" aca="1" ref="P281" ca="1">INDEX($L$2:$L$51, RANDBETWEEN(1,50))</f>
        <v>300</v>
      </c>
      <c r="Q281" s="19" t="b">
        <f ca="1">O281 &gt; P281</f>
        <v>0</v>
      </c>
      <c r="R281" s="19" t="b">
        <f ca="1">P281 &gt; O281</f>
        <v>1</v>
      </c>
    </row>
    <row r="282" spans="14:18" x14ac:dyDescent="0.15">
      <c r="N282" s="19">
        <v>0.19396747285219257</v>
      </c>
      <c r="O282" s="19">
        <f t="shared" si="11"/>
        <v>207.44482284602384</v>
      </c>
      <c r="P282" s="32" cm="1">
        <f t="array" aca="1" ref="P282" ca="1">INDEX($L$2:$L$51, RANDBETWEEN(1,50))</f>
        <v>200</v>
      </c>
      <c r="Q282" s="19" t="b">
        <f ca="1">O282 &gt; P282</f>
        <v>1</v>
      </c>
      <c r="R282" s="19" t="b">
        <f ca="1">P282 &gt; O282</f>
        <v>0</v>
      </c>
    </row>
    <row r="283" spans="14:18" x14ac:dyDescent="0.15">
      <c r="N283" s="19">
        <v>1.1316226800585272E-2</v>
      </c>
      <c r="O283" s="19">
        <f t="shared" si="11"/>
        <v>178.83639999796515</v>
      </c>
      <c r="P283" s="32" cm="1">
        <f t="array" aca="1" ref="P283" ca="1">INDEX($L$2:$L$51, RANDBETWEEN(1,50))</f>
        <v>250</v>
      </c>
      <c r="Q283" s="19" t="b">
        <f ca="1">O283 &gt; P283</f>
        <v>0</v>
      </c>
      <c r="R283" s="19" t="b">
        <f ca="1">P283 &gt; O283</f>
        <v>1</v>
      </c>
    </row>
    <row r="284" spans="14:18" x14ac:dyDescent="0.15">
      <c r="N284" s="19">
        <v>0.1918238374366536</v>
      </c>
      <c r="O284" s="19">
        <f t="shared" si="11"/>
        <v>207.18894357969529</v>
      </c>
      <c r="P284" s="32" cm="1">
        <f t="array" aca="1" ref="P284" ca="1">INDEX($L$2:$L$51, RANDBETWEEN(1,50))</f>
        <v>250</v>
      </c>
      <c r="Q284" s="19" t="b">
        <f ca="1">O284 &gt; P284</f>
        <v>0</v>
      </c>
      <c r="R284" s="19" t="b">
        <f ca="1">P284 &gt; O284</f>
        <v>1</v>
      </c>
    </row>
    <row r="285" spans="14:18" x14ac:dyDescent="0.15">
      <c r="N285" s="19">
        <v>0.98323579783702075</v>
      </c>
      <c r="O285" s="19">
        <f t="shared" si="11"/>
        <v>372.23035291010984</v>
      </c>
      <c r="P285" s="32" cm="1">
        <f t="array" aca="1" ref="P285" ca="1">INDEX($L$2:$L$51, RANDBETWEEN(1,50))</f>
        <v>100</v>
      </c>
      <c r="Q285" s="19" t="b">
        <f ca="1">O285 &gt; P285</f>
        <v>1</v>
      </c>
      <c r="R285" s="19" t="b">
        <f ca="1">P285 &gt; O285</f>
        <v>0</v>
      </c>
    </row>
    <row r="286" spans="14:18" x14ac:dyDescent="0.15">
      <c r="N286" s="19">
        <v>0.24405424680749618</v>
      </c>
      <c r="O286" s="19">
        <f t="shared" si="11"/>
        <v>213.52344746093365</v>
      </c>
      <c r="P286" s="32" cm="1">
        <f t="array" aca="1" ref="P286" ca="1">INDEX($L$2:$L$51, RANDBETWEEN(1,50))</f>
        <v>200</v>
      </c>
      <c r="Q286" s="19" t="b">
        <f ca="1">O286 &gt; P286</f>
        <v>1</v>
      </c>
      <c r="R286" s="19" t="b">
        <f ca="1">P286 &gt; O286</f>
        <v>0</v>
      </c>
    </row>
    <row r="287" spans="14:18" x14ac:dyDescent="0.15">
      <c r="N287" s="19">
        <v>0.81972609358826931</v>
      </c>
      <c r="O287" s="19">
        <f t="shared" si="11"/>
        <v>308.93628771601931</v>
      </c>
      <c r="P287" s="32" cm="1">
        <f t="array" aca="1" ref="P287" ca="1">INDEX($L$2:$L$51, RANDBETWEEN(1,50))</f>
        <v>250</v>
      </c>
      <c r="Q287" s="19" t="b">
        <f ca="1">O287 &gt; P287</f>
        <v>1</v>
      </c>
      <c r="R287" s="19" t="b">
        <f ca="1">P287 &gt; O287</f>
        <v>0</v>
      </c>
    </row>
    <row r="288" spans="14:18" x14ac:dyDescent="0.15">
      <c r="N288" s="19">
        <v>0.13645493804312075</v>
      </c>
      <c r="O288" s="19">
        <f t="shared" si="11"/>
        <v>200.69352030097855</v>
      </c>
      <c r="P288" s="32" cm="1">
        <f t="array" aca="1" ref="P288" ca="1">INDEX($L$2:$L$51, RANDBETWEEN(1,50))</f>
        <v>200</v>
      </c>
      <c r="Q288" s="19" t="b">
        <f ca="1">O288 &gt; P288</f>
        <v>1</v>
      </c>
      <c r="R288" s="19" t="b">
        <f ca="1">P288 &gt; O288</f>
        <v>0</v>
      </c>
    </row>
    <row r="289" spans="14:18" x14ac:dyDescent="0.15">
      <c r="N289" s="19">
        <v>0.39814369073051198</v>
      </c>
      <c r="O289" s="19">
        <f t="shared" si="11"/>
        <v>233.61072682893152</v>
      </c>
      <c r="P289" s="32" cm="1">
        <f t="array" aca="1" ref="P289" ca="1">INDEX($L$2:$L$51, RANDBETWEEN(1,50))</f>
        <v>100</v>
      </c>
      <c r="Q289" s="19" t="b">
        <f ca="1">O289 &gt; P289</f>
        <v>1</v>
      </c>
      <c r="R289" s="19" t="b">
        <f ca="1">P289 &gt; O289</f>
        <v>0</v>
      </c>
    </row>
    <row r="290" spans="14:18" x14ac:dyDescent="0.15">
      <c r="N290" s="19">
        <v>0.60101010771515317</v>
      </c>
      <c r="O290" s="19">
        <f t="shared" si="11"/>
        <v>264.5247806973432</v>
      </c>
      <c r="P290" s="32" cm="1">
        <f t="array" aca="1" ref="P290" ca="1">INDEX($L$2:$L$51, RANDBETWEEN(1,50))</f>
        <v>200</v>
      </c>
      <c r="Q290" s="19" t="b">
        <f ca="1">O290 &gt; P290</f>
        <v>1</v>
      </c>
      <c r="R290" s="19" t="b">
        <f ca="1">P290 &gt; O290</f>
        <v>0</v>
      </c>
    </row>
    <row r="291" spans="14:18" x14ac:dyDescent="0.15">
      <c r="N291" s="19">
        <v>0.176880368579589</v>
      </c>
      <c r="O291" s="19">
        <f t="shared" si="11"/>
        <v>205.41453536983062</v>
      </c>
      <c r="P291" s="32" cm="1">
        <f t="array" aca="1" ref="P291" ca="1">INDEX($L$2:$L$51, RANDBETWEEN(1,50))</f>
        <v>250</v>
      </c>
      <c r="Q291" s="19" t="b">
        <f ca="1">O291 &gt; P291</f>
        <v>0</v>
      </c>
      <c r="R291" s="19" t="b">
        <f ca="1">P291 &gt; O291</f>
        <v>1</v>
      </c>
    </row>
    <row r="292" spans="14:18" x14ac:dyDescent="0.15">
      <c r="N292" s="19">
        <v>0.82835471715235842</v>
      </c>
      <c r="O292" s="19">
        <f t="shared" si="11"/>
        <v>311.14234410591558</v>
      </c>
      <c r="P292" s="32" cm="1">
        <f t="array" aca="1" ref="P292" ca="1">INDEX($L$2:$L$51, RANDBETWEEN(1,50))</f>
        <v>250</v>
      </c>
      <c r="Q292" s="19" t="b">
        <f ca="1">O292 &gt; P292</f>
        <v>1</v>
      </c>
      <c r="R292" s="19" t="b">
        <f ca="1">P292 &gt; O292</f>
        <v>0</v>
      </c>
    </row>
    <row r="293" spans="14:18" x14ac:dyDescent="0.15">
      <c r="N293" s="19">
        <v>0.15773117968706934</v>
      </c>
      <c r="O293" s="19">
        <f t="shared" si="11"/>
        <v>203.16411471889884</v>
      </c>
      <c r="P293" s="32" cm="1">
        <f t="array" aca="1" ref="P293" ca="1">INDEX($L$2:$L$51, RANDBETWEEN(1,50))</f>
        <v>300</v>
      </c>
      <c r="Q293" s="19" t="b">
        <f ca="1">O293 &gt; P293</f>
        <v>0</v>
      </c>
      <c r="R293" s="19" t="b">
        <f ca="1">P293 &gt; O293</f>
        <v>1</v>
      </c>
    </row>
    <row r="294" spans="14:18" x14ac:dyDescent="0.15">
      <c r="N294" s="19">
        <v>0.98793700057451472</v>
      </c>
      <c r="O294" s="19">
        <f t="shared" si="11"/>
        <v>376.44372751107846</v>
      </c>
      <c r="P294" s="32" cm="1">
        <f t="array" aca="1" ref="P294" ca="1">INDEX($L$2:$L$51, RANDBETWEEN(1,50))</f>
        <v>250</v>
      </c>
      <c r="Q294" s="19" t="b">
        <f ca="1">O294 &gt; P294</f>
        <v>1</v>
      </c>
      <c r="R294" s="19" t="b">
        <f ca="1">P294 &gt; O294</f>
        <v>0</v>
      </c>
    </row>
    <row r="295" spans="14:18" x14ac:dyDescent="0.15">
      <c r="N295" s="19">
        <v>0.25716865586916388</v>
      </c>
      <c r="O295" s="19">
        <f t="shared" si="11"/>
        <v>215.1480542974501</v>
      </c>
      <c r="P295" s="32" cm="1">
        <f t="array" aca="1" ref="P295" ca="1">INDEX($L$2:$L$51, RANDBETWEEN(1,50))</f>
        <v>250</v>
      </c>
      <c r="Q295" s="19" t="b">
        <f ca="1">O295 &gt; P295</f>
        <v>0</v>
      </c>
      <c r="R295" s="19" t="b">
        <f ca="1">P295 &gt; O295</f>
        <v>1</v>
      </c>
    </row>
    <row r="296" spans="14:18" x14ac:dyDescent="0.15">
      <c r="N296" s="19">
        <v>0.23359919303730092</v>
      </c>
      <c r="O296" s="19">
        <f t="shared" si="11"/>
        <v>212.23835024083283</v>
      </c>
      <c r="P296" s="32" cm="1">
        <f t="array" aca="1" ref="P296" ca="1">INDEX($L$2:$L$51, RANDBETWEEN(1,50))</f>
        <v>200</v>
      </c>
      <c r="Q296" s="19" t="b">
        <f ca="1">O296 &gt; P296</f>
        <v>1</v>
      </c>
      <c r="R296" s="19" t="b">
        <f ca="1">P296 &gt; O296</f>
        <v>0</v>
      </c>
    </row>
    <row r="297" spans="14:18" x14ac:dyDescent="0.15">
      <c r="N297" s="19">
        <v>0.10163737791666638</v>
      </c>
      <c r="O297" s="19">
        <f t="shared" si="11"/>
        <v>196.48202990000951</v>
      </c>
      <c r="P297" s="32" cm="1">
        <f t="array" aca="1" ref="P297" ca="1">INDEX($L$2:$L$51, RANDBETWEEN(1,50))</f>
        <v>250</v>
      </c>
      <c r="Q297" s="19" t="b">
        <f ca="1">O297 &gt; P297</f>
        <v>0</v>
      </c>
      <c r="R297" s="19" t="b">
        <f ca="1">P297 &gt; O297</f>
        <v>1</v>
      </c>
    </row>
    <row r="298" spans="14:18" x14ac:dyDescent="0.15">
      <c r="N298" s="19">
        <v>0.21941064541200672</v>
      </c>
      <c r="O298" s="19">
        <f t="shared" si="11"/>
        <v>210.50828432079757</v>
      </c>
      <c r="P298" s="32" cm="1">
        <f t="array" aca="1" ref="P298" ca="1">INDEX($L$2:$L$51, RANDBETWEEN(1,50))</f>
        <v>150</v>
      </c>
      <c r="Q298" s="19" t="b">
        <f ca="1">O298 &gt; P298</f>
        <v>1</v>
      </c>
      <c r="R298" s="19" t="b">
        <f ca="1">P298 &gt; O298</f>
        <v>0</v>
      </c>
    </row>
    <row r="299" spans="14:18" x14ac:dyDescent="0.15">
      <c r="N299" s="19">
        <v>0.63471743959687532</v>
      </c>
      <c r="O299" s="19">
        <f t="shared" si="11"/>
        <v>270.37362236587904</v>
      </c>
      <c r="P299" s="32" cm="1">
        <f t="array" aca="1" ref="P299" ca="1">INDEX($L$2:$L$51, RANDBETWEEN(1,50))</f>
        <v>200</v>
      </c>
      <c r="Q299" s="19" t="b">
        <f ca="1">O299 &gt; P299</f>
        <v>1</v>
      </c>
      <c r="R299" s="19" t="b">
        <f ca="1">P299 &gt; O299</f>
        <v>0</v>
      </c>
    </row>
    <row r="300" spans="14:18" x14ac:dyDescent="0.15">
      <c r="N300" s="19">
        <v>0.69600730468333105</v>
      </c>
      <c r="O300" s="19">
        <f t="shared" si="11"/>
        <v>281.7474567522255</v>
      </c>
      <c r="P300" s="32" cm="1">
        <f t="array" aca="1" ref="P300" ca="1">INDEX($L$2:$L$51, RANDBETWEEN(1,50))</f>
        <v>200</v>
      </c>
      <c r="Q300" s="19" t="b">
        <f ca="1">O300 &gt; P300</f>
        <v>1</v>
      </c>
      <c r="R300" s="19" t="b">
        <f ca="1">P300 &gt; O300</f>
        <v>0</v>
      </c>
    </row>
    <row r="301" spans="14:18" x14ac:dyDescent="0.15">
      <c r="N301" s="19">
        <v>0.79476981274540059</v>
      </c>
      <c r="O301" s="19">
        <f t="shared" si="11"/>
        <v>302.8373085299117</v>
      </c>
      <c r="P301" s="32" cm="1">
        <f t="array" aca="1" ref="P301" ca="1">INDEX($L$2:$L$51, RANDBETWEEN(1,50))</f>
        <v>250</v>
      </c>
      <c r="Q301" s="19" t="b">
        <f ca="1">O301 &gt; P301</f>
        <v>1</v>
      </c>
      <c r="R301" s="19" t="b">
        <f ca="1">P301 &gt; O301</f>
        <v>0</v>
      </c>
    </row>
    <row r="302" spans="14:18" x14ac:dyDescent="0.15">
      <c r="N302" s="19">
        <v>0.69624281194817406</v>
      </c>
      <c r="O302" s="19">
        <f t="shared" si="11"/>
        <v>281.79327155197979</v>
      </c>
      <c r="P302" s="32" cm="1">
        <f t="array" aca="1" ref="P302" ca="1">INDEX($L$2:$L$51, RANDBETWEEN(1,50))</f>
        <v>150</v>
      </c>
      <c r="Q302" s="19" t="b">
        <f ca="1">O302 &gt; P302</f>
        <v>1</v>
      </c>
      <c r="R302" s="19" t="b">
        <f ca="1">P302 &gt; O302</f>
        <v>0</v>
      </c>
    </row>
    <row r="303" spans="14:18" x14ac:dyDescent="0.15">
      <c r="N303" s="19">
        <v>0.75294041296138448</v>
      </c>
      <c r="O303" s="19">
        <f t="shared" si="11"/>
        <v>293.39446072658177</v>
      </c>
      <c r="P303" s="32" cm="1">
        <f t="array" aca="1" ref="P303" ca="1">INDEX($L$2:$L$51, RANDBETWEEN(1,50))</f>
        <v>300</v>
      </c>
      <c r="Q303" s="19" t="b">
        <f ca="1">O303 &gt; P303</f>
        <v>0</v>
      </c>
      <c r="R303" s="19" t="b">
        <f ca="1">P303 &gt; O303</f>
        <v>1</v>
      </c>
    </row>
    <row r="304" spans="14:18" x14ac:dyDescent="0.15">
      <c r="N304" s="19">
        <v>0.66952064198885142</v>
      </c>
      <c r="O304" s="19">
        <f t="shared" si="11"/>
        <v>276.70340447314516</v>
      </c>
      <c r="P304" s="32" cm="1">
        <f t="array" aca="1" ref="P304" ca="1">INDEX($L$2:$L$51, RANDBETWEEN(1,50))</f>
        <v>200</v>
      </c>
      <c r="Q304" s="19" t="b">
        <f ca="1">O304 &gt; P304</f>
        <v>1</v>
      </c>
      <c r="R304" s="19" t="b">
        <f ca="1">P304 &gt; O304</f>
        <v>0</v>
      </c>
    </row>
    <row r="305" spans="14:18" x14ac:dyDescent="0.15">
      <c r="N305" s="19">
        <v>0.63342990662596654</v>
      </c>
      <c r="O305" s="19">
        <f t="shared" si="11"/>
        <v>270.14537245363363</v>
      </c>
      <c r="P305" s="32" cm="1">
        <f t="array" aca="1" ref="P305" ca="1">INDEX($L$2:$L$51, RANDBETWEEN(1,50))</f>
        <v>300</v>
      </c>
      <c r="Q305" s="19" t="b">
        <f ca="1">O305 &gt; P305</f>
        <v>0</v>
      </c>
      <c r="R305" s="19" t="b">
        <f ca="1">P305 &gt; O305</f>
        <v>1</v>
      </c>
    </row>
    <row r="306" spans="14:18" x14ac:dyDescent="0.15">
      <c r="N306" s="19">
        <v>5.6440662618931693E-2</v>
      </c>
      <c r="O306" s="19">
        <f t="shared" si="11"/>
        <v>189.7342487080362</v>
      </c>
      <c r="P306" s="32" cm="1">
        <f t="array" aca="1" ref="P306" ca="1">INDEX($L$2:$L$51, RANDBETWEEN(1,50))</f>
        <v>200</v>
      </c>
      <c r="Q306" s="19" t="b">
        <f ca="1">O306 &gt; P306</f>
        <v>0</v>
      </c>
      <c r="R306" s="19" t="b">
        <f ca="1">P306 &gt; O306</f>
        <v>1</v>
      </c>
    </row>
    <row r="307" spans="14:18" x14ac:dyDescent="0.15">
      <c r="N307" s="19">
        <v>0.59821663638493816</v>
      </c>
      <c r="O307" s="19">
        <f t="shared" si="11"/>
        <v>264.05135261322812</v>
      </c>
      <c r="P307" s="32" cm="1">
        <f t="array" aca="1" ref="P307" ca="1">INDEX($L$2:$L$51, RANDBETWEEN(1,50))</f>
        <v>150</v>
      </c>
      <c r="Q307" s="19" t="b">
        <f ca="1">O307 &gt; P307</f>
        <v>1</v>
      </c>
      <c r="R307" s="19" t="b">
        <f ca="1">P307 &gt; O307</f>
        <v>0</v>
      </c>
    </row>
    <row r="308" spans="14:18" x14ac:dyDescent="0.15">
      <c r="N308" s="19">
        <v>0.22700772165647137</v>
      </c>
      <c r="O308" s="19">
        <f t="shared" si="11"/>
        <v>211.43265180895628</v>
      </c>
      <c r="P308" s="32" cm="1">
        <f t="array" aca="1" ref="P308" ca="1">INDEX($L$2:$L$51, RANDBETWEEN(1,50))</f>
        <v>150</v>
      </c>
      <c r="Q308" s="19" t="b">
        <f ca="1">O308 &gt; P308</f>
        <v>1</v>
      </c>
      <c r="R308" s="19" t="b">
        <f ca="1">P308 &gt; O308</f>
        <v>0</v>
      </c>
    </row>
    <row r="309" spans="14:18" x14ac:dyDescent="0.15">
      <c r="N309" s="19">
        <v>0.31877788031416848</v>
      </c>
      <c r="O309" s="19">
        <f t="shared" si="11"/>
        <v>222.9796127403732</v>
      </c>
      <c r="P309" s="32" cm="1">
        <f t="array" aca="1" ref="P309" ca="1">INDEX($L$2:$L$51, RANDBETWEEN(1,50))</f>
        <v>150</v>
      </c>
      <c r="Q309" s="19" t="b">
        <f ca="1">O309 &gt; P309</f>
        <v>1</v>
      </c>
      <c r="R309" s="19" t="b">
        <f ca="1">P309 &gt; O309</f>
        <v>0</v>
      </c>
    </row>
    <row r="310" spans="14:18" x14ac:dyDescent="0.15">
      <c r="N310" s="19">
        <v>0.69983444022938346</v>
      </c>
      <c r="O310" s="19">
        <f t="shared" si="11"/>
        <v>282.49418844393966</v>
      </c>
      <c r="P310" s="32" cm="1">
        <f t="array" aca="1" ref="P310" ca="1">INDEX($L$2:$L$51, RANDBETWEEN(1,50))</f>
        <v>150</v>
      </c>
      <c r="Q310" s="19" t="b">
        <f ca="1">O310 &gt; P310</f>
        <v>1</v>
      </c>
      <c r="R310" s="19" t="b">
        <f ca="1">P310 &gt; O310</f>
        <v>0</v>
      </c>
    </row>
    <row r="311" spans="14:18" x14ac:dyDescent="0.15">
      <c r="N311" s="19">
        <v>0.11743693524852253</v>
      </c>
      <c r="O311" s="19">
        <f t="shared" si="11"/>
        <v>198.46602981124704</v>
      </c>
      <c r="P311" s="32" cm="1">
        <f t="array" aca="1" ref="P311" ca="1">INDEX($L$2:$L$51, RANDBETWEEN(1,50))</f>
        <v>200</v>
      </c>
      <c r="Q311" s="19" t="b">
        <f ca="1">O311 &gt; P311</f>
        <v>0</v>
      </c>
      <c r="R311" s="19" t="b">
        <f ca="1">P311 &gt; O311</f>
        <v>1</v>
      </c>
    </row>
    <row r="312" spans="14:18" x14ac:dyDescent="0.15">
      <c r="N312" s="19">
        <v>0.76257072191805142</v>
      </c>
      <c r="O312" s="19">
        <f t="shared" si="11"/>
        <v>295.49283856228016</v>
      </c>
      <c r="P312" s="32" cm="1">
        <f t="array" aca="1" ref="P312" ca="1">INDEX($L$2:$L$51, RANDBETWEEN(1,50))</f>
        <v>250</v>
      </c>
      <c r="Q312" s="19" t="b">
        <f ca="1">O312 &gt; P312</f>
        <v>1</v>
      </c>
      <c r="R312" s="19" t="b">
        <f ca="1">P312 &gt; O312</f>
        <v>0</v>
      </c>
    </row>
    <row r="313" spans="14:18" x14ac:dyDescent="0.15">
      <c r="N313" s="19">
        <v>0.52612327669100989</v>
      </c>
      <c r="O313" s="19">
        <f t="shared" si="11"/>
        <v>252.35742730427125</v>
      </c>
      <c r="P313" s="32" cm="1">
        <f t="array" aca="1" ref="P313" ca="1">INDEX($L$2:$L$51, RANDBETWEEN(1,50))</f>
        <v>250</v>
      </c>
      <c r="Q313" s="19" t="b">
        <f ca="1">O313 &gt; P313</f>
        <v>1</v>
      </c>
      <c r="R313" s="19" t="b">
        <f ca="1">P313 &gt; O313</f>
        <v>0</v>
      </c>
    </row>
    <row r="314" spans="14:18" x14ac:dyDescent="0.15">
      <c r="N314" s="19">
        <v>0.55391134580313761</v>
      </c>
      <c r="O314" s="19">
        <f t="shared" si="11"/>
        <v>256.75169078465296</v>
      </c>
      <c r="P314" s="32" cm="1">
        <f t="array" aca="1" ref="P314" ca="1">INDEX($L$2:$L$51, RANDBETWEEN(1,50))</f>
        <v>150</v>
      </c>
      <c r="Q314" s="19" t="b">
        <f ca="1">O314 &gt; P314</f>
        <v>1</v>
      </c>
      <c r="R314" s="19" t="b">
        <f ca="1">P314 &gt; O314</f>
        <v>0</v>
      </c>
    </row>
    <row r="315" spans="14:18" x14ac:dyDescent="0.15">
      <c r="N315" s="19">
        <v>0.58798891333303827</v>
      </c>
      <c r="O315" s="19">
        <f t="shared" si="11"/>
        <v>262.33188464034151</v>
      </c>
      <c r="P315" s="32" cm="1">
        <f t="array" aca="1" ref="P315" ca="1">INDEX($L$2:$L$51, RANDBETWEEN(1,50))</f>
        <v>150</v>
      </c>
      <c r="Q315" s="19" t="b">
        <f ca="1">O315 &gt; P315</f>
        <v>1</v>
      </c>
      <c r="R315" s="19" t="b">
        <f ca="1">P315 &gt; O315</f>
        <v>0</v>
      </c>
    </row>
    <row r="316" spans="14:18" x14ac:dyDescent="0.15">
      <c r="N316" s="19">
        <v>0.32966638837459794</v>
      </c>
      <c r="O316" s="19">
        <f t="shared" si="11"/>
        <v>224.400039479593</v>
      </c>
      <c r="P316" s="32" cm="1">
        <f t="array" aca="1" ref="P316" ca="1">INDEX($L$2:$L$51, RANDBETWEEN(1,50))</f>
        <v>300</v>
      </c>
      <c r="Q316" s="19" t="b">
        <f ca="1">O316 &gt; P316</f>
        <v>0</v>
      </c>
      <c r="R316" s="19" t="b">
        <f ca="1">P316 &gt; O316</f>
        <v>1</v>
      </c>
    </row>
    <row r="317" spans="14:18" x14ac:dyDescent="0.15">
      <c r="N317" s="19">
        <v>0.70298941186768438</v>
      </c>
      <c r="O317" s="19">
        <f t="shared" si="11"/>
        <v>283.11335810244816</v>
      </c>
      <c r="P317" s="32" cm="1">
        <f t="array" aca="1" ref="P317" ca="1">INDEX($L$2:$L$51, RANDBETWEEN(1,50))</f>
        <v>250</v>
      </c>
      <c r="Q317" s="19" t="b">
        <f ca="1">O317 &gt; P317</f>
        <v>1</v>
      </c>
      <c r="R317" s="19" t="b">
        <f ca="1">P317 &gt; O317</f>
        <v>0</v>
      </c>
    </row>
    <row r="318" spans="14:18" x14ac:dyDescent="0.15">
      <c r="N318" s="19">
        <v>0.1430452601718927</v>
      </c>
      <c r="O318" s="19">
        <f t="shared" si="11"/>
        <v>201.4555011286061</v>
      </c>
      <c r="P318" s="32" cm="1">
        <f t="array" aca="1" ref="P318" ca="1">INDEX($L$2:$L$51, RANDBETWEEN(1,50))</f>
        <v>200</v>
      </c>
      <c r="Q318" s="19" t="b">
        <f ca="1">O318 &gt; P318</f>
        <v>1</v>
      </c>
      <c r="R318" s="19" t="b">
        <f ca="1">P318 &gt; O318</f>
        <v>0</v>
      </c>
    </row>
    <row r="319" spans="14:18" x14ac:dyDescent="0.15">
      <c r="N319" s="19">
        <v>0.16168770900074753</v>
      </c>
      <c r="O319" s="19">
        <f t="shared" si="11"/>
        <v>203.62697388397353</v>
      </c>
      <c r="P319" s="32" cm="1">
        <f t="array" aca="1" ref="P319" ca="1">INDEX($L$2:$L$51, RANDBETWEEN(1,50))</f>
        <v>300</v>
      </c>
      <c r="Q319" s="19" t="b">
        <f ca="1">O319 &gt; P319</f>
        <v>0</v>
      </c>
      <c r="R319" s="19" t="b">
        <f ca="1">P319 &gt; O319</f>
        <v>1</v>
      </c>
    </row>
    <row r="320" spans="14:18" x14ac:dyDescent="0.15">
      <c r="N320" s="19">
        <v>0.48532517556349059</v>
      </c>
      <c r="O320" s="19">
        <f t="shared" si="11"/>
        <v>246.13303823081631</v>
      </c>
      <c r="P320" s="32" cm="1">
        <f t="array" aca="1" ref="P320" ca="1">INDEX($L$2:$L$51, RANDBETWEEN(1,50))</f>
        <v>300</v>
      </c>
      <c r="Q320" s="19" t="b">
        <f ca="1">O320 &gt; P320</f>
        <v>0</v>
      </c>
      <c r="R320" s="19" t="b">
        <f ca="1">P320 &gt; O320</f>
        <v>1</v>
      </c>
    </row>
    <row r="321" spans="14:18" x14ac:dyDescent="0.15">
      <c r="N321" s="19">
        <v>0.86022569558593709</v>
      </c>
      <c r="O321" s="19">
        <f t="shared" si="11"/>
        <v>319.81510115335374</v>
      </c>
      <c r="P321" s="32" cm="1">
        <f t="array" aca="1" ref="P321" ca="1">INDEX($L$2:$L$51, RANDBETWEEN(1,50))</f>
        <v>150</v>
      </c>
      <c r="Q321" s="19" t="b">
        <f ca="1">O321 &gt; P321</f>
        <v>1</v>
      </c>
      <c r="R321" s="19" t="b">
        <f ca="1">P321 &gt; O321</f>
        <v>0</v>
      </c>
    </row>
    <row r="322" spans="14:18" x14ac:dyDescent="0.15">
      <c r="N322" s="19">
        <v>0.81326571284479732</v>
      </c>
      <c r="O322" s="19">
        <f t="shared" si="11"/>
        <v>307.31894902872904</v>
      </c>
      <c r="P322" s="32" cm="1">
        <f t="array" aca="1" ref="P322" ca="1">INDEX($L$2:$L$51, RANDBETWEEN(1,50))</f>
        <v>300</v>
      </c>
      <c r="Q322" s="19" t="b">
        <f ca="1">O322 &gt; P322</f>
        <v>1</v>
      </c>
      <c r="R322" s="19" t="b">
        <f ca="1">P322 &gt; O322</f>
        <v>0</v>
      </c>
    </row>
    <row r="323" spans="14:18" x14ac:dyDescent="0.15">
      <c r="N323" s="19">
        <v>0.55683578250782373</v>
      </c>
      <c r="O323" s="19">
        <f t="shared" ref="O323:O386" si="12">IF(N323&lt;(200-170)/(400-170),
    170 + SQRT(N323*(400-170)*(200-170)),
    400 - SQRT((1-N323)*(400-170)*(400-200))
  )</f>
        <v>257.22201148412228</v>
      </c>
      <c r="P323" s="32" cm="1">
        <f t="array" aca="1" ref="P323" ca="1">INDEX($L$2:$L$51, RANDBETWEEN(1,50))</f>
        <v>200</v>
      </c>
      <c r="Q323" s="19" t="b">
        <f ca="1">O323 &gt; P323</f>
        <v>1</v>
      </c>
      <c r="R323" s="19" t="b">
        <f ca="1">P323 &gt; O323</f>
        <v>0</v>
      </c>
    </row>
    <row r="324" spans="14:18" x14ac:dyDescent="0.15">
      <c r="N324" s="19">
        <v>0.73899660899257125</v>
      </c>
      <c r="O324" s="19">
        <f t="shared" si="12"/>
        <v>290.42739399675793</v>
      </c>
      <c r="P324" s="32" cm="1">
        <f t="array" aca="1" ref="P324" ca="1">INDEX($L$2:$L$51, RANDBETWEEN(1,50))</f>
        <v>200</v>
      </c>
      <c r="Q324" s="19" t="b">
        <f ca="1">O324 &gt; P324</f>
        <v>1</v>
      </c>
      <c r="R324" s="19" t="b">
        <f ca="1">P324 &gt; O324</f>
        <v>0</v>
      </c>
    </row>
    <row r="325" spans="14:18" x14ac:dyDescent="0.15">
      <c r="N325" s="19">
        <v>0.31600733814575122</v>
      </c>
      <c r="O325" s="19">
        <f t="shared" si="12"/>
        <v>222.62000550993514</v>
      </c>
      <c r="P325" s="32" cm="1">
        <f t="array" aca="1" ref="P325" ca="1">INDEX($L$2:$L$51, RANDBETWEEN(1,50))</f>
        <v>250</v>
      </c>
      <c r="Q325" s="19" t="b">
        <f ca="1">O325 &gt; P325</f>
        <v>0</v>
      </c>
      <c r="R325" s="19" t="b">
        <f ca="1">P325 &gt; O325</f>
        <v>1</v>
      </c>
    </row>
    <row r="326" spans="14:18" x14ac:dyDescent="0.15">
      <c r="N326" s="19">
        <v>0.13533221564038295</v>
      </c>
      <c r="O326" s="19">
        <f t="shared" si="12"/>
        <v>200.56400003875333</v>
      </c>
      <c r="P326" s="32" cm="1">
        <f t="array" aca="1" ref="P326" ca="1">INDEX($L$2:$L$51, RANDBETWEEN(1,50))</f>
        <v>300</v>
      </c>
      <c r="Q326" s="19" t="b">
        <f ca="1">O326 &gt; P326</f>
        <v>0</v>
      </c>
      <c r="R326" s="19" t="b">
        <f ca="1">P326 &gt; O326</f>
        <v>1</v>
      </c>
    </row>
    <row r="327" spans="14:18" x14ac:dyDescent="0.15">
      <c r="N327" s="19">
        <v>0.52854826791610021</v>
      </c>
      <c r="O327" s="19">
        <f t="shared" si="12"/>
        <v>252.73568091401302</v>
      </c>
      <c r="P327" s="32" cm="1">
        <f t="array" aca="1" ref="P327" ca="1">INDEX($L$2:$L$51, RANDBETWEEN(1,50))</f>
        <v>150</v>
      </c>
      <c r="Q327" s="19" t="b">
        <f ca="1">O327 &gt; P327</f>
        <v>1</v>
      </c>
      <c r="R327" s="19" t="b">
        <f ca="1">P327 &gt; O327</f>
        <v>0</v>
      </c>
    </row>
    <row r="328" spans="14:18" x14ac:dyDescent="0.15">
      <c r="N328" s="19">
        <v>0.31073886589647221</v>
      </c>
      <c r="O328" s="19">
        <f t="shared" si="12"/>
        <v>221.93817880083816</v>
      </c>
      <c r="P328" s="32" cm="1">
        <f t="array" aca="1" ref="P328" ca="1">INDEX($L$2:$L$51, RANDBETWEEN(1,50))</f>
        <v>300</v>
      </c>
      <c r="Q328" s="19" t="b">
        <f ca="1">O328 &gt; P328</f>
        <v>0</v>
      </c>
      <c r="R328" s="19" t="b">
        <f ca="1">P328 &gt; O328</f>
        <v>1</v>
      </c>
    </row>
    <row r="329" spans="14:18" x14ac:dyDescent="0.15">
      <c r="N329" s="19">
        <v>0.58811912200791716</v>
      </c>
      <c r="O329" s="19">
        <f t="shared" si="12"/>
        <v>262.35364012210198</v>
      </c>
      <c r="P329" s="32" cm="1">
        <f t="array" aca="1" ref="P329" ca="1">INDEX($L$2:$L$51, RANDBETWEEN(1,50))</f>
        <v>250</v>
      </c>
      <c r="Q329" s="19" t="b">
        <f ca="1">O329 &gt; P329</f>
        <v>1</v>
      </c>
      <c r="R329" s="19" t="b">
        <f ca="1">P329 &gt; O329</f>
        <v>0</v>
      </c>
    </row>
    <row r="330" spans="14:18" x14ac:dyDescent="0.15">
      <c r="N330" s="19">
        <v>0.51808358706444668</v>
      </c>
      <c r="O330" s="19">
        <f t="shared" si="12"/>
        <v>251.11025893287527</v>
      </c>
      <c r="P330" s="32" cm="1">
        <f t="array" aca="1" ref="P330" ca="1">INDEX($L$2:$L$51, RANDBETWEEN(1,50))</f>
        <v>250</v>
      </c>
      <c r="Q330" s="19" t="b">
        <f ca="1">O330 &gt; P330</f>
        <v>1</v>
      </c>
      <c r="R330" s="19" t="b">
        <f ca="1">P330 &gt; O330</f>
        <v>0</v>
      </c>
    </row>
    <row r="331" spans="14:18" x14ac:dyDescent="0.15">
      <c r="N331" s="19">
        <v>0.43084779215550412</v>
      </c>
      <c r="O331" s="19">
        <f t="shared" si="12"/>
        <v>238.19455645483737</v>
      </c>
      <c r="P331" s="32" cm="1">
        <f t="array" aca="1" ref="P331" ca="1">INDEX($L$2:$L$51, RANDBETWEEN(1,50))</f>
        <v>250</v>
      </c>
      <c r="Q331" s="19" t="b">
        <f ca="1">O331 &gt; P331</f>
        <v>0</v>
      </c>
      <c r="R331" s="19" t="b">
        <f ca="1">P331 &gt; O331</f>
        <v>1</v>
      </c>
    </row>
    <row r="332" spans="14:18" x14ac:dyDescent="0.15">
      <c r="N332" s="19">
        <v>0.2588427575579112</v>
      </c>
      <c r="O332" s="19">
        <f t="shared" si="12"/>
        <v>215.35647005016372</v>
      </c>
      <c r="P332" s="32" cm="1">
        <f t="array" aca="1" ref="P332" ca="1">INDEX($L$2:$L$51, RANDBETWEEN(1,50))</f>
        <v>250</v>
      </c>
      <c r="Q332" s="19" t="b">
        <f ca="1">O332 &gt; P332</f>
        <v>0</v>
      </c>
      <c r="R332" s="19" t="b">
        <f ca="1">P332 &gt; O332</f>
        <v>1</v>
      </c>
    </row>
    <row r="333" spans="14:18" x14ac:dyDescent="0.15">
      <c r="N333" s="19">
        <v>0.37022627581387119</v>
      </c>
      <c r="O333" s="19">
        <f t="shared" si="12"/>
        <v>229.7954427385626</v>
      </c>
      <c r="P333" s="32" cm="1">
        <f t="array" aca="1" ref="P333" ca="1">INDEX($L$2:$L$51, RANDBETWEEN(1,50))</f>
        <v>250</v>
      </c>
      <c r="Q333" s="19" t="b">
        <f ca="1">O333 &gt; P333</f>
        <v>0</v>
      </c>
      <c r="R333" s="19" t="b">
        <f ca="1">P333 &gt; O333</f>
        <v>1</v>
      </c>
    </row>
    <row r="334" spans="14:18" x14ac:dyDescent="0.15">
      <c r="N334" s="19">
        <v>0.39301760373311939</v>
      </c>
      <c r="O334" s="19">
        <f t="shared" si="12"/>
        <v>232.90364986548479</v>
      </c>
      <c r="P334" s="32" cm="1">
        <f t="array" aca="1" ref="P334" ca="1">INDEX($L$2:$L$51, RANDBETWEEN(1,50))</f>
        <v>150</v>
      </c>
      <c r="Q334" s="19" t="b">
        <f ca="1">O334 &gt; P334</f>
        <v>1</v>
      </c>
      <c r="R334" s="19" t="b">
        <f ca="1">P334 &gt; O334</f>
        <v>0</v>
      </c>
    </row>
    <row r="335" spans="14:18" x14ac:dyDescent="0.15">
      <c r="N335" s="19">
        <v>0.44686594253725648</v>
      </c>
      <c r="O335" s="19">
        <f t="shared" si="12"/>
        <v>240.48772259388244</v>
      </c>
      <c r="P335" s="32" cm="1">
        <f t="array" aca="1" ref="P335" ca="1">INDEX($L$2:$L$51, RANDBETWEEN(1,50))</f>
        <v>250</v>
      </c>
      <c r="Q335" s="19" t="b">
        <f ca="1">O335 &gt; P335</f>
        <v>0</v>
      </c>
      <c r="R335" s="19" t="b">
        <f ca="1">P335 &gt; O335</f>
        <v>1</v>
      </c>
    </row>
    <row r="336" spans="14:18" x14ac:dyDescent="0.15">
      <c r="N336" s="19">
        <v>0.47589622366982337</v>
      </c>
      <c r="O336" s="19">
        <f t="shared" si="12"/>
        <v>244.72999738781439</v>
      </c>
      <c r="P336" s="32" cm="1">
        <f t="array" aca="1" ref="P336" ca="1">INDEX($L$2:$L$51, RANDBETWEEN(1,50))</f>
        <v>250</v>
      </c>
      <c r="Q336" s="19" t="b">
        <f ca="1">O336 &gt; P336</f>
        <v>0</v>
      </c>
      <c r="R336" s="19" t="b">
        <f ca="1">P336 &gt; O336</f>
        <v>1</v>
      </c>
    </row>
    <row r="337" spans="14:18" x14ac:dyDescent="0.15">
      <c r="N337" s="19">
        <v>0.38783121872126647</v>
      </c>
      <c r="O337" s="19">
        <f t="shared" si="12"/>
        <v>232.19128765519432</v>
      </c>
      <c r="P337" s="32" cm="1">
        <f t="array" aca="1" ref="P337" ca="1">INDEX($L$2:$L$51, RANDBETWEEN(1,50))</f>
        <v>150</v>
      </c>
      <c r="Q337" s="19" t="b">
        <f ca="1">O337 &gt; P337</f>
        <v>1</v>
      </c>
      <c r="R337" s="19" t="b">
        <f ca="1">P337 &gt; O337</f>
        <v>0</v>
      </c>
    </row>
    <row r="338" spans="14:18" x14ac:dyDescent="0.15">
      <c r="N338" s="19">
        <v>0.27929304832559687</v>
      </c>
      <c r="O338" s="19">
        <f t="shared" si="12"/>
        <v>217.92166582203544</v>
      </c>
      <c r="P338" s="32" cm="1">
        <f t="array" aca="1" ref="P338" ca="1">INDEX($L$2:$L$51, RANDBETWEEN(1,50))</f>
        <v>150</v>
      </c>
      <c r="Q338" s="19" t="b">
        <f ca="1">O338 &gt; P338</f>
        <v>1</v>
      </c>
      <c r="R338" s="19" t="b">
        <f ca="1">P338 &gt; O338</f>
        <v>0</v>
      </c>
    </row>
    <row r="339" spans="14:18" x14ac:dyDescent="0.15">
      <c r="N339" s="19">
        <v>7.826320830651709E-2</v>
      </c>
      <c r="O339" s="19">
        <f t="shared" si="12"/>
        <v>193.23824729438448</v>
      </c>
      <c r="P339" s="32" cm="1">
        <f t="array" aca="1" ref="P339" ca="1">INDEX($L$2:$L$51, RANDBETWEEN(1,50))</f>
        <v>200</v>
      </c>
      <c r="Q339" s="19" t="b">
        <f ca="1">O339 &gt; P339</f>
        <v>0</v>
      </c>
      <c r="R339" s="19" t="b">
        <f ca="1">P339 &gt; O339</f>
        <v>1</v>
      </c>
    </row>
    <row r="340" spans="14:18" x14ac:dyDescent="0.15">
      <c r="N340" s="19">
        <v>0.36974200763261972</v>
      </c>
      <c r="O340" s="19">
        <f t="shared" si="12"/>
        <v>229.73001541992349</v>
      </c>
      <c r="P340" s="32" cm="1">
        <f t="array" aca="1" ref="P340" ca="1">INDEX($L$2:$L$51, RANDBETWEEN(1,50))</f>
        <v>250</v>
      </c>
      <c r="Q340" s="19" t="b">
        <f ca="1">O340 &gt; P340</f>
        <v>0</v>
      </c>
      <c r="R340" s="19" t="b">
        <f ca="1">P340 &gt; O340</f>
        <v>1</v>
      </c>
    </row>
    <row r="341" spans="14:18" x14ac:dyDescent="0.15">
      <c r="N341" s="19">
        <v>0.25392228143937989</v>
      </c>
      <c r="O341" s="19">
        <f t="shared" si="12"/>
        <v>214.7445680856064</v>
      </c>
      <c r="P341" s="32" cm="1">
        <f t="array" aca="1" ref="P341" ca="1">INDEX($L$2:$L$51, RANDBETWEEN(1,50))</f>
        <v>300</v>
      </c>
      <c r="Q341" s="19" t="b">
        <f ca="1">O341 &gt; P341</f>
        <v>0</v>
      </c>
      <c r="R341" s="19" t="b">
        <f ca="1">P341 &gt; O341</f>
        <v>1</v>
      </c>
    </row>
    <row r="342" spans="14:18" x14ac:dyDescent="0.15">
      <c r="N342" s="19">
        <v>0.67178415165831529</v>
      </c>
      <c r="O342" s="19">
        <f t="shared" si="12"/>
        <v>277.12636969749167</v>
      </c>
      <c r="P342" s="32" cm="1">
        <f t="array" aca="1" ref="P342" ca="1">INDEX($L$2:$L$51, RANDBETWEEN(1,50))</f>
        <v>300</v>
      </c>
      <c r="Q342" s="19" t="b">
        <f ca="1">O342 &gt; P342</f>
        <v>0</v>
      </c>
      <c r="R342" s="19" t="b">
        <f ca="1">P342 &gt; O342</f>
        <v>1</v>
      </c>
    </row>
    <row r="343" spans="14:18" x14ac:dyDescent="0.15">
      <c r="N343" s="19">
        <v>0.67623692130494717</v>
      </c>
      <c r="O343" s="19">
        <f t="shared" si="12"/>
        <v>277.96270397959307</v>
      </c>
      <c r="P343" s="32" cm="1">
        <f t="array" aca="1" ref="P343" ca="1">INDEX($L$2:$L$51, RANDBETWEEN(1,50))</f>
        <v>250</v>
      </c>
      <c r="Q343" s="19" t="b">
        <f ca="1">O343 &gt; P343</f>
        <v>1</v>
      </c>
      <c r="R343" s="19" t="b">
        <f ca="1">P343 &gt; O343</f>
        <v>0</v>
      </c>
    </row>
    <row r="344" spans="14:18" x14ac:dyDescent="0.15">
      <c r="N344" s="19">
        <v>0.51393637224749489</v>
      </c>
      <c r="O344" s="19">
        <f t="shared" si="12"/>
        <v>250.4709831617447</v>
      </c>
      <c r="P344" s="32" cm="1">
        <f t="array" aca="1" ref="P344" ca="1">INDEX($L$2:$L$51, RANDBETWEEN(1,50))</f>
        <v>250</v>
      </c>
      <c r="Q344" s="19" t="b">
        <f ca="1">O344 &gt; P344</f>
        <v>1</v>
      </c>
      <c r="R344" s="19" t="b">
        <f ca="1">P344 &gt; O344</f>
        <v>0</v>
      </c>
    </row>
    <row r="345" spans="14:18" x14ac:dyDescent="0.15">
      <c r="N345" s="19">
        <v>0.7286083636472972</v>
      </c>
      <c r="O345" s="19">
        <f t="shared" si="12"/>
        <v>288.26810986909635</v>
      </c>
      <c r="P345" s="32" cm="1">
        <f t="array" aca="1" ref="P345" ca="1">INDEX($L$2:$L$51, RANDBETWEEN(1,50))</f>
        <v>150</v>
      </c>
      <c r="Q345" s="19" t="b">
        <f ca="1">O345 &gt; P345</f>
        <v>1</v>
      </c>
      <c r="R345" s="19" t="b">
        <f ca="1">P345 &gt; O345</f>
        <v>0</v>
      </c>
    </row>
    <row r="346" spans="14:18" x14ac:dyDescent="0.15">
      <c r="N346" s="19">
        <v>0.72076782012394058</v>
      </c>
      <c r="O346" s="19">
        <f t="shared" si="12"/>
        <v>286.66562624561453</v>
      </c>
      <c r="P346" s="32" cm="1">
        <f t="array" aca="1" ref="P346" ca="1">INDEX($L$2:$L$51, RANDBETWEEN(1,50))</f>
        <v>150</v>
      </c>
      <c r="Q346" s="19" t="b">
        <f ca="1">O346 &gt; P346</f>
        <v>1</v>
      </c>
      <c r="R346" s="19" t="b">
        <f ca="1">P346 &gt; O346</f>
        <v>0</v>
      </c>
    </row>
    <row r="347" spans="14:18" x14ac:dyDescent="0.15">
      <c r="N347" s="19">
        <v>0.94475282307004227</v>
      </c>
      <c r="O347" s="19">
        <f t="shared" si="12"/>
        <v>349.58799608448345</v>
      </c>
      <c r="P347" s="32" cm="1">
        <f t="array" aca="1" ref="P347" ca="1">INDEX($L$2:$L$51, RANDBETWEEN(1,50))</f>
        <v>200</v>
      </c>
      <c r="Q347" s="19" t="b">
        <f ca="1">O347 &gt; P347</f>
        <v>1</v>
      </c>
      <c r="R347" s="19" t="b">
        <f ca="1">P347 &gt; O347</f>
        <v>0</v>
      </c>
    </row>
    <row r="348" spans="14:18" x14ac:dyDescent="0.15">
      <c r="N348" s="19">
        <v>0.46069733819956765</v>
      </c>
      <c r="O348" s="19">
        <f t="shared" si="12"/>
        <v>242.49469074720088</v>
      </c>
      <c r="P348" s="32" cm="1">
        <f t="array" aca="1" ref="P348" ca="1">INDEX($L$2:$L$51, RANDBETWEEN(1,50))</f>
        <v>200</v>
      </c>
      <c r="Q348" s="19" t="b">
        <f ca="1">O348 &gt; P348</f>
        <v>1</v>
      </c>
      <c r="R348" s="19" t="b">
        <f ca="1">P348 &gt; O348</f>
        <v>0</v>
      </c>
    </row>
    <row r="349" spans="14:18" x14ac:dyDescent="0.15">
      <c r="N349" s="19">
        <v>0.94016312013387826</v>
      </c>
      <c r="O349" s="19">
        <f t="shared" si="12"/>
        <v>347.53576004704155</v>
      </c>
      <c r="P349" s="32" cm="1">
        <f t="array" aca="1" ref="P349" ca="1">INDEX($L$2:$L$51, RANDBETWEEN(1,50))</f>
        <v>250</v>
      </c>
      <c r="Q349" s="19" t="b">
        <f ca="1">O349 &gt; P349</f>
        <v>1</v>
      </c>
      <c r="R349" s="19" t="b">
        <f ca="1">P349 &gt; O349</f>
        <v>0</v>
      </c>
    </row>
    <row r="350" spans="14:18" x14ac:dyDescent="0.15">
      <c r="N350" s="19">
        <v>0.32156009009180597</v>
      </c>
      <c r="O350" s="19">
        <f t="shared" si="12"/>
        <v>223.34147103585141</v>
      </c>
      <c r="P350" s="32" cm="1">
        <f t="array" aca="1" ref="P350" ca="1">INDEX($L$2:$L$51, RANDBETWEEN(1,50))</f>
        <v>250</v>
      </c>
      <c r="Q350" s="19" t="b">
        <f ca="1">O350 &gt; P350</f>
        <v>0</v>
      </c>
      <c r="R350" s="19" t="b">
        <f ca="1">P350 &gt; O350</f>
        <v>1</v>
      </c>
    </row>
    <row r="351" spans="14:18" x14ac:dyDescent="0.15">
      <c r="N351" s="19">
        <v>0.46043417298255218</v>
      </c>
      <c r="O351" s="19">
        <f t="shared" si="12"/>
        <v>242.45626625345395</v>
      </c>
      <c r="P351" s="32" cm="1">
        <f t="array" aca="1" ref="P351" ca="1">INDEX($L$2:$L$51, RANDBETWEEN(1,50))</f>
        <v>300</v>
      </c>
      <c r="Q351" s="19" t="b">
        <f ca="1">O351 &gt; P351</f>
        <v>0</v>
      </c>
      <c r="R351" s="19" t="b">
        <f ca="1">P351 &gt; O351</f>
        <v>1</v>
      </c>
    </row>
    <row r="352" spans="14:18" x14ac:dyDescent="0.15">
      <c r="N352" s="19">
        <v>0.51714531775431027</v>
      </c>
      <c r="O352" s="19">
        <f t="shared" si="12"/>
        <v>250.96538863974675</v>
      </c>
      <c r="P352" s="32" cm="1">
        <f t="array" aca="1" ref="P352" ca="1">INDEX($L$2:$L$51, RANDBETWEEN(1,50))</f>
        <v>300</v>
      </c>
      <c r="Q352" s="19" t="b">
        <f ca="1">O352 &gt; P352</f>
        <v>0</v>
      </c>
      <c r="R352" s="19" t="b">
        <f ca="1">P352 &gt; O352</f>
        <v>1</v>
      </c>
    </row>
    <row r="353" spans="14:18" x14ac:dyDescent="0.15">
      <c r="N353" s="19">
        <v>0.66135549669217109</v>
      </c>
      <c r="O353" s="19">
        <f t="shared" si="12"/>
        <v>275.18955511592736</v>
      </c>
      <c r="P353" s="32" cm="1">
        <f t="array" aca="1" ref="P353" ca="1">INDEX($L$2:$L$51, RANDBETWEEN(1,50))</f>
        <v>150</v>
      </c>
      <c r="Q353" s="19" t="b">
        <f ca="1">O353 &gt; P353</f>
        <v>1</v>
      </c>
      <c r="R353" s="19" t="b">
        <f ca="1">P353 &gt; O353</f>
        <v>0</v>
      </c>
    </row>
    <row r="354" spans="14:18" x14ac:dyDescent="0.15">
      <c r="N354" s="19">
        <v>0.40183290531944155</v>
      </c>
      <c r="O354" s="19">
        <f t="shared" si="12"/>
        <v>234.12147108409212</v>
      </c>
      <c r="P354" s="32" cm="1">
        <f t="array" aca="1" ref="P354" ca="1">INDEX($L$2:$L$51, RANDBETWEEN(1,50))</f>
        <v>200</v>
      </c>
      <c r="Q354" s="19" t="b">
        <f ca="1">O354 &gt; P354</f>
        <v>1</v>
      </c>
      <c r="R354" s="19" t="b">
        <f ca="1">P354 &gt; O354</f>
        <v>0</v>
      </c>
    </row>
    <row r="355" spans="14:18" x14ac:dyDescent="0.15">
      <c r="N355" s="19">
        <v>0.60563970385381938</v>
      </c>
      <c r="O355" s="19">
        <f t="shared" si="12"/>
        <v>265.31305325784422</v>
      </c>
      <c r="P355" s="32" cm="1">
        <f t="array" aca="1" ref="P355" ca="1">INDEX($L$2:$L$51, RANDBETWEEN(1,50))</f>
        <v>100</v>
      </c>
      <c r="Q355" s="19" t="b">
        <f ca="1">O355 &gt; P355</f>
        <v>1</v>
      </c>
      <c r="R355" s="19" t="b">
        <f ca="1">P355 &gt; O355</f>
        <v>0</v>
      </c>
    </row>
    <row r="356" spans="14:18" x14ac:dyDescent="0.15">
      <c r="N356" s="19">
        <v>0.9865026711423428</v>
      </c>
      <c r="O356" s="19">
        <f t="shared" si="12"/>
        <v>375.0825938859553</v>
      </c>
      <c r="P356" s="32" cm="1">
        <f t="array" aca="1" ref="P356" ca="1">INDEX($L$2:$L$51, RANDBETWEEN(1,50))</f>
        <v>250</v>
      </c>
      <c r="Q356" s="19" t="b">
        <f ca="1">O356 &gt; P356</f>
        <v>1</v>
      </c>
      <c r="R356" s="19" t="b">
        <f ca="1">P356 &gt; O356</f>
        <v>0</v>
      </c>
    </row>
    <row r="357" spans="14:18" x14ac:dyDescent="0.15">
      <c r="N357" s="19">
        <v>0.15039388935565665</v>
      </c>
      <c r="O357" s="19">
        <f t="shared" si="12"/>
        <v>202.30862161024879</v>
      </c>
      <c r="P357" s="32" cm="1">
        <f t="array" aca="1" ref="P357" ca="1">INDEX($L$2:$L$51, RANDBETWEEN(1,50))</f>
        <v>150</v>
      </c>
      <c r="Q357" s="19" t="b">
        <f ca="1">O357 &gt; P357</f>
        <v>1</v>
      </c>
      <c r="R357" s="19" t="b">
        <f ca="1">P357 &gt; O357</f>
        <v>0</v>
      </c>
    </row>
    <row r="358" spans="14:18" x14ac:dyDescent="0.15">
      <c r="N358" s="19">
        <v>0.67009840052113789</v>
      </c>
      <c r="O358" s="19">
        <f t="shared" si="12"/>
        <v>276.8112278816464</v>
      </c>
      <c r="P358" s="32" cm="1">
        <f t="array" aca="1" ref="P358" ca="1">INDEX($L$2:$L$51, RANDBETWEEN(1,50))</f>
        <v>150</v>
      </c>
      <c r="Q358" s="19" t="b">
        <f ca="1">O358 &gt; P358</f>
        <v>1</v>
      </c>
      <c r="R358" s="19" t="b">
        <f ca="1">P358 &gt; O358</f>
        <v>0</v>
      </c>
    </row>
    <row r="359" spans="14:18" x14ac:dyDescent="0.15">
      <c r="N359" s="19">
        <v>0.34381755876532644</v>
      </c>
      <c r="O359" s="19">
        <f t="shared" si="12"/>
        <v>226.26343995348881</v>
      </c>
      <c r="P359" s="32" cm="1">
        <f t="array" aca="1" ref="P359" ca="1">INDEX($L$2:$L$51, RANDBETWEEN(1,50))</f>
        <v>200</v>
      </c>
      <c r="Q359" s="19" t="b">
        <f ca="1">O359 &gt; P359</f>
        <v>1</v>
      </c>
      <c r="R359" s="19" t="b">
        <f ca="1">P359 &gt; O359</f>
        <v>0</v>
      </c>
    </row>
    <row r="360" spans="14:18" x14ac:dyDescent="0.15">
      <c r="N360" s="19">
        <v>0.54171016884115997</v>
      </c>
      <c r="O360" s="19">
        <f t="shared" si="12"/>
        <v>254.8058808583948</v>
      </c>
      <c r="P360" s="32" cm="1">
        <f t="array" aca="1" ref="P360" ca="1">INDEX($L$2:$L$51, RANDBETWEEN(1,50))</f>
        <v>200</v>
      </c>
      <c r="Q360" s="19" t="b">
        <f ca="1">O360 &gt; P360</f>
        <v>1</v>
      </c>
      <c r="R360" s="19" t="b">
        <f ca="1">P360 &gt; O360</f>
        <v>0</v>
      </c>
    </row>
    <row r="361" spans="14:18" x14ac:dyDescent="0.15">
      <c r="N361" s="19">
        <v>0.5228077133758029</v>
      </c>
      <c r="O361" s="19">
        <f t="shared" si="12"/>
        <v>251.84182376691771</v>
      </c>
      <c r="P361" s="32" cm="1">
        <f t="array" aca="1" ref="P361" ca="1">INDEX($L$2:$L$51, RANDBETWEEN(1,50))</f>
        <v>250</v>
      </c>
      <c r="Q361" s="19" t="b">
        <f ca="1">O361 &gt; P361</f>
        <v>1</v>
      </c>
      <c r="R361" s="19" t="b">
        <f ca="1">P361 &gt; O361</f>
        <v>0</v>
      </c>
    </row>
    <row r="362" spans="14:18" x14ac:dyDescent="0.15">
      <c r="N362" s="19">
        <v>0.82923870712017578</v>
      </c>
      <c r="O362" s="19">
        <f t="shared" si="12"/>
        <v>311.3714522714497</v>
      </c>
      <c r="P362" s="32" cm="1">
        <f t="array" aca="1" ref="P362" ca="1">INDEX($L$2:$L$51, RANDBETWEEN(1,50))</f>
        <v>200</v>
      </c>
      <c r="Q362" s="19" t="b">
        <f ca="1">O362 &gt; P362</f>
        <v>1</v>
      </c>
      <c r="R362" s="19" t="b">
        <f ca="1">P362 &gt; O362</f>
        <v>0</v>
      </c>
    </row>
    <row r="363" spans="14:18" x14ac:dyDescent="0.15">
      <c r="N363" s="19">
        <v>1.4950568794715484E-2</v>
      </c>
      <c r="O363" s="19">
        <f t="shared" si="12"/>
        <v>180.15671820439735</v>
      </c>
      <c r="P363" s="32" cm="1">
        <f t="array" aca="1" ref="P363" ca="1">INDEX($L$2:$L$51, RANDBETWEEN(1,50))</f>
        <v>300</v>
      </c>
      <c r="Q363" s="19" t="b">
        <f ca="1">O363 &gt; P363</f>
        <v>0</v>
      </c>
      <c r="R363" s="19" t="b">
        <f ca="1">P363 &gt; O363</f>
        <v>1</v>
      </c>
    </row>
    <row r="364" spans="14:18" x14ac:dyDescent="0.15">
      <c r="N364" s="19">
        <v>0.27420973278312466</v>
      </c>
      <c r="O364" s="19">
        <f t="shared" si="12"/>
        <v>217.28067345796103</v>
      </c>
      <c r="P364" s="32" cm="1">
        <f t="array" aca="1" ref="P364" ca="1">INDEX($L$2:$L$51, RANDBETWEEN(1,50))</f>
        <v>250</v>
      </c>
      <c r="Q364" s="19" t="b">
        <f ca="1">O364 &gt; P364</f>
        <v>0</v>
      </c>
      <c r="R364" s="19" t="b">
        <f ca="1">P364 &gt; O364</f>
        <v>1</v>
      </c>
    </row>
    <row r="365" spans="14:18" x14ac:dyDescent="0.15">
      <c r="N365" s="19">
        <v>0.64297888597612218</v>
      </c>
      <c r="O365" s="19">
        <f t="shared" si="12"/>
        <v>271.84785899135989</v>
      </c>
      <c r="P365" s="32" cm="1">
        <f t="array" aca="1" ref="P365" ca="1">INDEX($L$2:$L$51, RANDBETWEEN(1,50))</f>
        <v>250</v>
      </c>
      <c r="Q365" s="19" t="b">
        <f ca="1">O365 &gt; P365</f>
        <v>1</v>
      </c>
      <c r="R365" s="19" t="b">
        <f ca="1">P365 &gt; O365</f>
        <v>0</v>
      </c>
    </row>
    <row r="366" spans="14:18" x14ac:dyDescent="0.15">
      <c r="N366" s="19">
        <v>0.54613660068536951</v>
      </c>
      <c r="O366" s="19">
        <f t="shared" si="12"/>
        <v>255.50876715705897</v>
      </c>
      <c r="P366" s="32" cm="1">
        <f t="array" aca="1" ref="P366" ca="1">INDEX($L$2:$L$51, RANDBETWEEN(1,50))</f>
        <v>300</v>
      </c>
      <c r="Q366" s="19" t="b">
        <f ca="1">O366 &gt; P366</f>
        <v>0</v>
      </c>
      <c r="R366" s="19" t="b">
        <f ca="1">P366 &gt; O366</f>
        <v>1</v>
      </c>
    </row>
    <row r="367" spans="14:18" x14ac:dyDescent="0.15">
      <c r="N367" s="19">
        <v>0.91784771900523809</v>
      </c>
      <c r="O367" s="19">
        <f t="shared" si="12"/>
        <v>338.52638837876003</v>
      </c>
      <c r="P367" s="32" cm="1">
        <f t="array" aca="1" ref="P367" ca="1">INDEX($L$2:$L$51, RANDBETWEEN(1,50))</f>
        <v>300</v>
      </c>
      <c r="Q367" s="19" t="b">
        <f ca="1">O367 &gt; P367</f>
        <v>1</v>
      </c>
      <c r="R367" s="19" t="b">
        <f ca="1">P367 &gt; O367</f>
        <v>0</v>
      </c>
    </row>
    <row r="368" spans="14:18" x14ac:dyDescent="0.15">
      <c r="N368" s="19">
        <v>0.26661332103731733</v>
      </c>
      <c r="O368" s="19">
        <f t="shared" si="12"/>
        <v>216.32695561873157</v>
      </c>
      <c r="P368" s="32" cm="1">
        <f t="array" aca="1" ref="P368" ca="1">INDEX($L$2:$L$51, RANDBETWEEN(1,50))</f>
        <v>300</v>
      </c>
      <c r="Q368" s="19" t="b">
        <f ca="1">O368 &gt; P368</f>
        <v>0</v>
      </c>
      <c r="R368" s="19" t="b">
        <f ca="1">P368 &gt; O368</f>
        <v>1</v>
      </c>
    </row>
    <row r="369" spans="14:18" x14ac:dyDescent="0.15">
      <c r="N369" s="19">
        <v>0.97008667419202932</v>
      </c>
      <c r="O369" s="19">
        <f t="shared" si="12"/>
        <v>362.90535096315574</v>
      </c>
      <c r="P369" s="32" cm="1">
        <f t="array" aca="1" ref="P369" ca="1">INDEX($L$2:$L$51, RANDBETWEEN(1,50))</f>
        <v>250</v>
      </c>
      <c r="Q369" s="19" t="b">
        <f ca="1">O369 &gt; P369</f>
        <v>1</v>
      </c>
      <c r="R369" s="19" t="b">
        <f ca="1">P369 &gt; O369</f>
        <v>0</v>
      </c>
    </row>
    <row r="370" spans="14:18" x14ac:dyDescent="0.15">
      <c r="N370" s="19">
        <v>0.24673314543754474</v>
      </c>
      <c r="O370" s="19">
        <f t="shared" si="12"/>
        <v>213.85415580821328</v>
      </c>
      <c r="P370" s="32" cm="1">
        <f t="array" aca="1" ref="P370" ca="1">INDEX($L$2:$L$51, RANDBETWEEN(1,50))</f>
        <v>250</v>
      </c>
      <c r="Q370" s="19" t="b">
        <f ca="1">O370 &gt; P370</f>
        <v>0</v>
      </c>
      <c r="R370" s="19" t="b">
        <f ca="1">P370 &gt; O370</f>
        <v>1</v>
      </c>
    </row>
    <row r="371" spans="14:18" x14ac:dyDescent="0.15">
      <c r="N371" s="19">
        <v>0.84397536881453139</v>
      </c>
      <c r="O371" s="19">
        <f t="shared" si="12"/>
        <v>315.28203830041969</v>
      </c>
      <c r="P371" s="32" cm="1">
        <f t="array" aca="1" ref="P371" ca="1">INDEX($L$2:$L$51, RANDBETWEEN(1,50))</f>
        <v>300</v>
      </c>
      <c r="Q371" s="19" t="b">
        <f ca="1">O371 &gt; P371</f>
        <v>1</v>
      </c>
      <c r="R371" s="19" t="b">
        <f ca="1">P371 &gt; O371</f>
        <v>0</v>
      </c>
    </row>
    <row r="372" spans="14:18" x14ac:dyDescent="0.15">
      <c r="N372" s="19">
        <v>0.69402366582957264</v>
      </c>
      <c r="O372" s="19">
        <f t="shared" si="12"/>
        <v>281.36226834670322</v>
      </c>
      <c r="P372" s="32" cm="1">
        <f t="array" aca="1" ref="P372" ca="1">INDEX($L$2:$L$51, RANDBETWEEN(1,50))</f>
        <v>200</v>
      </c>
      <c r="Q372" s="19" t="b">
        <f ca="1">O372 &gt; P372</f>
        <v>1</v>
      </c>
      <c r="R372" s="19" t="b">
        <f ca="1">P372 &gt; O372</f>
        <v>0</v>
      </c>
    </row>
    <row r="373" spans="14:18" x14ac:dyDescent="0.15">
      <c r="N373" s="19">
        <v>0.4557515976278817</v>
      </c>
      <c r="O373" s="19">
        <f t="shared" si="12"/>
        <v>241.7741281928981</v>
      </c>
      <c r="P373" s="32" cm="1">
        <f t="array" aca="1" ref="P373" ca="1">INDEX($L$2:$L$51, RANDBETWEEN(1,50))</f>
        <v>100</v>
      </c>
      <c r="Q373" s="19" t="b">
        <f ca="1">O373 &gt; P373</f>
        <v>1</v>
      </c>
      <c r="R373" s="19" t="b">
        <f ca="1">P373 &gt; O373</f>
        <v>0</v>
      </c>
    </row>
    <row r="374" spans="14:18" x14ac:dyDescent="0.15">
      <c r="N374" s="19">
        <v>0.81710133180818578</v>
      </c>
      <c r="O374" s="19">
        <f t="shared" si="12"/>
        <v>308.27574619096947</v>
      </c>
      <c r="P374" s="32" cm="1">
        <f t="array" aca="1" ref="P374" ca="1">INDEX($L$2:$L$51, RANDBETWEEN(1,50))</f>
        <v>300</v>
      </c>
      <c r="Q374" s="19" t="b">
        <f ca="1">O374 &gt; P374</f>
        <v>1</v>
      </c>
      <c r="R374" s="19" t="b">
        <f ca="1">P374 &gt; O374</f>
        <v>0</v>
      </c>
    </row>
    <row r="375" spans="14:18" x14ac:dyDescent="0.15">
      <c r="N375" s="19">
        <v>2.2083700179161364E-2</v>
      </c>
      <c r="O375" s="19">
        <f t="shared" si="12"/>
        <v>182.3441294239899</v>
      </c>
      <c r="P375" s="32" cm="1">
        <f t="array" aca="1" ref="P375" ca="1">INDEX($L$2:$L$51, RANDBETWEEN(1,50))</f>
        <v>250</v>
      </c>
      <c r="Q375" s="19" t="b">
        <f ca="1">O375 &gt; P375</f>
        <v>0</v>
      </c>
      <c r="R375" s="19" t="b">
        <f ca="1">P375 &gt; O375</f>
        <v>1</v>
      </c>
    </row>
    <row r="376" spans="14:18" x14ac:dyDescent="0.15">
      <c r="N376" s="19">
        <v>0.16074891116504972</v>
      </c>
      <c r="O376" s="19">
        <f t="shared" si="12"/>
        <v>203.51704886579165</v>
      </c>
      <c r="P376" s="32" cm="1">
        <f t="array" aca="1" ref="P376" ca="1">INDEX($L$2:$L$51, RANDBETWEEN(1,50))</f>
        <v>300</v>
      </c>
      <c r="Q376" s="19" t="b">
        <f ca="1">O376 &gt; P376</f>
        <v>0</v>
      </c>
      <c r="R376" s="19" t="b">
        <f ca="1">P376 &gt; O376</f>
        <v>1</v>
      </c>
    </row>
    <row r="377" spans="14:18" x14ac:dyDescent="0.15">
      <c r="N377" s="19">
        <v>0.70694995099070945</v>
      </c>
      <c r="O377" s="19">
        <f t="shared" si="12"/>
        <v>283.89529615718675</v>
      </c>
      <c r="P377" s="32" cm="1">
        <f t="array" aca="1" ref="P377" ca="1">INDEX($L$2:$L$51, RANDBETWEEN(1,50))</f>
        <v>300</v>
      </c>
      <c r="Q377" s="19" t="b">
        <f ca="1">O377 &gt; P377</f>
        <v>0</v>
      </c>
      <c r="R377" s="19" t="b">
        <f ca="1">P377 &gt; O377</f>
        <v>1</v>
      </c>
    </row>
    <row r="378" spans="14:18" x14ac:dyDescent="0.15">
      <c r="N378" s="19">
        <v>0.70782630085378251</v>
      </c>
      <c r="O378" s="19">
        <f t="shared" si="12"/>
        <v>284.06902846639298</v>
      </c>
      <c r="P378" s="32" cm="1">
        <f t="array" aca="1" ref="P378" ca="1">INDEX($L$2:$L$51, RANDBETWEEN(1,50))</f>
        <v>250</v>
      </c>
      <c r="Q378" s="19" t="b">
        <f ca="1">O378 &gt; P378</f>
        <v>1</v>
      </c>
      <c r="R378" s="19" t="b">
        <f ca="1">P378 &gt; O378</f>
        <v>0</v>
      </c>
    </row>
    <row r="379" spans="14:18" x14ac:dyDescent="0.15">
      <c r="N379" s="19">
        <v>0.43663844952203262</v>
      </c>
      <c r="O379" s="19">
        <f t="shared" si="12"/>
        <v>239.01977971817004</v>
      </c>
      <c r="P379" s="32" cm="1">
        <f t="array" aca="1" ref="P379" ca="1">INDEX($L$2:$L$51, RANDBETWEEN(1,50))</f>
        <v>250</v>
      </c>
      <c r="Q379" s="19" t="b">
        <f ca="1">O379 &gt; P379</f>
        <v>0</v>
      </c>
      <c r="R379" s="19" t="b">
        <f ca="1">P379 &gt; O379</f>
        <v>1</v>
      </c>
    </row>
    <row r="380" spans="14:18" x14ac:dyDescent="0.15">
      <c r="N380" s="19">
        <v>0.58242111680210618</v>
      </c>
      <c r="O380" s="19">
        <f t="shared" si="12"/>
        <v>261.40480301574979</v>
      </c>
      <c r="P380" s="32" cm="1">
        <f t="array" aca="1" ref="P380" ca="1">INDEX($L$2:$L$51, RANDBETWEEN(1,50))</f>
        <v>250</v>
      </c>
      <c r="Q380" s="19" t="b">
        <f ca="1">O380 &gt; P380</f>
        <v>1</v>
      </c>
      <c r="R380" s="19" t="b">
        <f ca="1">P380 &gt; O380</f>
        <v>0</v>
      </c>
    </row>
    <row r="381" spans="14:18" x14ac:dyDescent="0.15">
      <c r="N381" s="19">
        <v>0.75171009299890612</v>
      </c>
      <c r="O381" s="19">
        <f t="shared" si="12"/>
        <v>293.12935051170354</v>
      </c>
      <c r="P381" s="32" cm="1">
        <f t="array" aca="1" ref="P381" ca="1">INDEX($L$2:$L$51, RANDBETWEEN(1,50))</f>
        <v>250</v>
      </c>
      <c r="Q381" s="19" t="b">
        <f ca="1">O381 &gt; P381</f>
        <v>1</v>
      </c>
      <c r="R381" s="19" t="b">
        <f ca="1">P381 &gt; O381</f>
        <v>0</v>
      </c>
    </row>
    <row r="382" spans="14:18" x14ac:dyDescent="0.15">
      <c r="N382" s="19">
        <v>0.9915330326145203</v>
      </c>
      <c r="O382" s="19">
        <f t="shared" si="12"/>
        <v>380.26473968420822</v>
      </c>
      <c r="P382" s="32" cm="1">
        <f t="array" aca="1" ref="P382" ca="1">INDEX($L$2:$L$51, RANDBETWEEN(1,50))</f>
        <v>250</v>
      </c>
      <c r="Q382" s="19" t="b">
        <f ca="1">O382 &gt; P382</f>
        <v>1</v>
      </c>
      <c r="R382" s="19" t="b">
        <f ca="1">P382 &gt; O382</f>
        <v>0</v>
      </c>
    </row>
    <row r="383" spans="14:18" x14ac:dyDescent="0.15">
      <c r="N383" s="19">
        <v>0.69567915224268995</v>
      </c>
      <c r="O383" s="19">
        <f t="shared" si="12"/>
        <v>281.68364864974808</v>
      </c>
      <c r="P383" s="32" cm="1">
        <f t="array" aca="1" ref="P383" ca="1">INDEX($L$2:$L$51, RANDBETWEEN(1,50))</f>
        <v>250</v>
      </c>
      <c r="Q383" s="19" t="b">
        <f ca="1">O383 &gt; P383</f>
        <v>1</v>
      </c>
      <c r="R383" s="19" t="b">
        <f ca="1">P383 &gt; O383</f>
        <v>0</v>
      </c>
    </row>
    <row r="384" spans="14:18" x14ac:dyDescent="0.15">
      <c r="N384" s="19">
        <v>0.27951174288965375</v>
      </c>
      <c r="O384" s="19">
        <f t="shared" si="12"/>
        <v>217.9492932530172</v>
      </c>
      <c r="P384" s="32" cm="1">
        <f t="array" aca="1" ref="P384" ca="1">INDEX($L$2:$L$51, RANDBETWEEN(1,50))</f>
        <v>200</v>
      </c>
      <c r="Q384" s="19" t="b">
        <f ca="1">O384 &gt; P384</f>
        <v>1</v>
      </c>
      <c r="R384" s="19" t="b">
        <f ca="1">P384 &gt; O384</f>
        <v>0</v>
      </c>
    </row>
    <row r="385" spans="14:18" x14ac:dyDescent="0.15">
      <c r="N385" s="19">
        <v>0.75386274641093931</v>
      </c>
      <c r="O385" s="19">
        <f t="shared" si="12"/>
        <v>293.59363898198194</v>
      </c>
      <c r="P385" s="32" cm="1">
        <f t="array" aca="1" ref="P385" ca="1">INDEX($L$2:$L$51, RANDBETWEEN(1,50))</f>
        <v>200</v>
      </c>
      <c r="Q385" s="19" t="b">
        <f ca="1">O385 &gt; P385</f>
        <v>1</v>
      </c>
      <c r="R385" s="19" t="b">
        <f ca="1">P385 &gt; O385</f>
        <v>0</v>
      </c>
    </row>
    <row r="386" spans="14:18" x14ac:dyDescent="0.15">
      <c r="N386" s="19">
        <v>0.17117892865612122</v>
      </c>
      <c r="O386" s="19">
        <f t="shared" si="12"/>
        <v>204.74178818339439</v>
      </c>
      <c r="P386" s="32" cm="1">
        <f t="array" aca="1" ref="P386" ca="1">INDEX($L$2:$L$51, RANDBETWEEN(1,50))</f>
        <v>200</v>
      </c>
      <c r="Q386" s="19" t="b">
        <f ca="1">O386 &gt; P386</f>
        <v>1</v>
      </c>
      <c r="R386" s="19" t="b">
        <f ca="1">P386 &gt; O386</f>
        <v>0</v>
      </c>
    </row>
    <row r="387" spans="14:18" x14ac:dyDescent="0.15">
      <c r="N387" s="19">
        <v>4.2539234292944539E-3</v>
      </c>
      <c r="O387" s="19">
        <f t="shared" ref="O387:O450" si="13">IF(N387&lt;(200-170)/(400-170),
    170 + SQRT(N387*(400-170)*(200-170)),
    400 - SQRT((1-N387)*(400-170)*(400-200))
  )</f>
        <v>175.41775522353416</v>
      </c>
      <c r="P387" s="32" cm="1">
        <f t="array" aca="1" ref="P387" ca="1">INDEX($L$2:$L$51, RANDBETWEEN(1,50))</f>
        <v>250</v>
      </c>
      <c r="Q387" s="19" t="b">
        <f ca="1">O387 &gt; P387</f>
        <v>0</v>
      </c>
      <c r="R387" s="19" t="b">
        <f ca="1">P387 &gt; O387</f>
        <v>1</v>
      </c>
    </row>
    <row r="388" spans="14:18" x14ac:dyDescent="0.15">
      <c r="N388" s="19">
        <v>0.49569107615188279</v>
      </c>
      <c r="O388" s="19">
        <f t="shared" si="13"/>
        <v>247.69041232734759</v>
      </c>
      <c r="P388" s="32" cm="1">
        <f t="array" aca="1" ref="P388" ca="1">INDEX($L$2:$L$51, RANDBETWEEN(1,50))</f>
        <v>100</v>
      </c>
      <c r="Q388" s="19" t="b">
        <f ca="1">O388 &gt; P388</f>
        <v>1</v>
      </c>
      <c r="R388" s="19" t="b">
        <f ca="1">P388 &gt; O388</f>
        <v>0</v>
      </c>
    </row>
    <row r="389" spans="14:18" x14ac:dyDescent="0.15">
      <c r="N389" s="19">
        <v>7.9916884694209739E-2</v>
      </c>
      <c r="O389" s="19">
        <f t="shared" si="13"/>
        <v>193.48247228019332</v>
      </c>
      <c r="P389" s="32" cm="1">
        <f t="array" aca="1" ref="P389" ca="1">INDEX($L$2:$L$51, RANDBETWEEN(1,50))</f>
        <v>200</v>
      </c>
      <c r="Q389" s="19" t="b">
        <f ca="1">O389 &gt; P389</f>
        <v>0</v>
      </c>
      <c r="R389" s="19" t="b">
        <f ca="1">P389 &gt; O389</f>
        <v>1</v>
      </c>
    </row>
    <row r="390" spans="14:18" x14ac:dyDescent="0.15">
      <c r="N390" s="19">
        <v>0.1630810555830044</v>
      </c>
      <c r="O390" s="19">
        <f t="shared" si="13"/>
        <v>203.79023611659434</v>
      </c>
      <c r="P390" s="32" cm="1">
        <f t="array" aca="1" ref="P390" ca="1">INDEX($L$2:$L$51, RANDBETWEEN(1,50))</f>
        <v>100</v>
      </c>
      <c r="Q390" s="19" t="b">
        <f ca="1">O390 &gt; P390</f>
        <v>1</v>
      </c>
      <c r="R390" s="19" t="b">
        <f ca="1">P390 &gt; O390</f>
        <v>0</v>
      </c>
    </row>
    <row r="391" spans="14:18" x14ac:dyDescent="0.15">
      <c r="N391" s="19">
        <v>0.90330118355494982</v>
      </c>
      <c r="O391" s="19">
        <f t="shared" si="13"/>
        <v>333.30558076966031</v>
      </c>
      <c r="P391" s="32" cm="1">
        <f t="array" aca="1" ref="P391" ca="1">INDEX($L$2:$L$51, RANDBETWEEN(1,50))</f>
        <v>200</v>
      </c>
      <c r="Q391" s="19" t="b">
        <f ca="1">O391 &gt; P391</f>
        <v>1</v>
      </c>
      <c r="R391" s="19" t="b">
        <f ca="1">P391 &gt; O391</f>
        <v>0</v>
      </c>
    </row>
    <row r="392" spans="14:18" x14ac:dyDescent="0.15">
      <c r="N392" s="19">
        <v>0.78299200804112112</v>
      </c>
      <c r="O392" s="19">
        <f t="shared" si="13"/>
        <v>300.08820074631615</v>
      </c>
      <c r="P392" s="32" cm="1">
        <f t="array" aca="1" ref="P392" ca="1">INDEX($L$2:$L$51, RANDBETWEEN(1,50))</f>
        <v>250</v>
      </c>
      <c r="Q392" s="19" t="b">
        <f ca="1">O392 &gt; P392</f>
        <v>1</v>
      </c>
      <c r="R392" s="19" t="b">
        <f ca="1">P392 &gt; O392</f>
        <v>0</v>
      </c>
    </row>
    <row r="393" spans="14:18" x14ac:dyDescent="0.15">
      <c r="N393" s="19">
        <v>0.74667914712181271</v>
      </c>
      <c r="O393" s="19">
        <f t="shared" si="13"/>
        <v>292.05205313487147</v>
      </c>
      <c r="P393" s="32" cm="1">
        <f t="array" aca="1" ref="P393" ca="1">INDEX($L$2:$L$51, RANDBETWEEN(1,50))</f>
        <v>250</v>
      </c>
      <c r="Q393" s="19" t="b">
        <f ca="1">O393 &gt; P393</f>
        <v>1</v>
      </c>
      <c r="R393" s="19" t="b">
        <f ca="1">P393 &gt; O393</f>
        <v>0</v>
      </c>
    </row>
    <row r="394" spans="14:18" x14ac:dyDescent="0.15">
      <c r="N394" s="19">
        <v>0.43642567630690787</v>
      </c>
      <c r="O394" s="19">
        <f t="shared" si="13"/>
        <v>238.98938267964365</v>
      </c>
      <c r="P394" s="32" cm="1">
        <f t="array" aca="1" ref="P394" ca="1">INDEX($L$2:$L$51, RANDBETWEEN(1,50))</f>
        <v>300</v>
      </c>
      <c r="Q394" s="19" t="b">
        <f ca="1">O394 &gt; P394</f>
        <v>0</v>
      </c>
      <c r="R394" s="19" t="b">
        <f ca="1">P394 &gt; O394</f>
        <v>1</v>
      </c>
    </row>
    <row r="395" spans="14:18" x14ac:dyDescent="0.15">
      <c r="N395" s="19">
        <v>6.3416902005400929E-3</v>
      </c>
      <c r="O395" s="19">
        <f t="shared" si="13"/>
        <v>176.61495747406789</v>
      </c>
      <c r="P395" s="32" cm="1">
        <f t="array" aca="1" ref="P395" ca="1">INDEX($L$2:$L$51, RANDBETWEEN(1,50))</f>
        <v>250</v>
      </c>
      <c r="Q395" s="19" t="b">
        <f ca="1">O395 &gt; P395</f>
        <v>0</v>
      </c>
      <c r="R395" s="19" t="b">
        <f ca="1">P395 &gt; O395</f>
        <v>1</v>
      </c>
    </row>
    <row r="396" spans="14:18" x14ac:dyDescent="0.15">
      <c r="N396" s="19">
        <v>0.58478720047734079</v>
      </c>
      <c r="O396" s="19">
        <f t="shared" si="13"/>
        <v>261.79801456548347</v>
      </c>
      <c r="P396" s="32" cm="1">
        <f t="array" aca="1" ref="P396" ca="1">INDEX($L$2:$L$51, RANDBETWEEN(1,50))</f>
        <v>300</v>
      </c>
      <c r="Q396" s="19" t="b">
        <f ca="1">O396 &gt; P396</f>
        <v>0</v>
      </c>
      <c r="R396" s="19" t="b">
        <f ca="1">P396 &gt; O396</f>
        <v>1</v>
      </c>
    </row>
    <row r="397" spans="14:18" x14ac:dyDescent="0.15">
      <c r="N397" s="19">
        <v>0.51847842266712263</v>
      </c>
      <c r="O397" s="19">
        <f t="shared" si="13"/>
        <v>251.17126434282807</v>
      </c>
      <c r="P397" s="32" cm="1">
        <f t="array" aca="1" ref="P397" ca="1">INDEX($L$2:$L$51, RANDBETWEEN(1,50))</f>
        <v>250</v>
      </c>
      <c r="Q397" s="19" t="b">
        <f ca="1">O397 &gt; P397</f>
        <v>1</v>
      </c>
      <c r="R397" s="19" t="b">
        <f ca="1">P397 &gt; O397</f>
        <v>0</v>
      </c>
    </row>
    <row r="398" spans="14:18" x14ac:dyDescent="0.15">
      <c r="N398" s="19">
        <v>6.6849766330257882E-2</v>
      </c>
      <c r="O398" s="19">
        <f t="shared" si="13"/>
        <v>191.47704327133462</v>
      </c>
      <c r="P398" s="32" cm="1">
        <f t="array" aca="1" ref="P398" ca="1">INDEX($L$2:$L$51, RANDBETWEEN(1,50))</f>
        <v>200</v>
      </c>
      <c r="Q398" s="19" t="b">
        <f ca="1">O398 &gt; P398</f>
        <v>0</v>
      </c>
      <c r="R398" s="19" t="b">
        <f ca="1">P398 &gt; O398</f>
        <v>1</v>
      </c>
    </row>
    <row r="399" spans="14:18" x14ac:dyDescent="0.15">
      <c r="N399" s="19">
        <v>0.54402271264420021</v>
      </c>
      <c r="O399" s="19">
        <f t="shared" si="13"/>
        <v>255.17267102384719</v>
      </c>
      <c r="P399" s="32" cm="1">
        <f t="array" aca="1" ref="P399" ca="1">INDEX($L$2:$L$51, RANDBETWEEN(1,50))</f>
        <v>250</v>
      </c>
      <c r="Q399" s="19" t="b">
        <f ca="1">O399 &gt; P399</f>
        <v>1</v>
      </c>
      <c r="R399" s="19" t="b">
        <f ca="1">P399 &gt; O399</f>
        <v>0</v>
      </c>
    </row>
    <row r="400" spans="14:18" x14ac:dyDescent="0.15">
      <c r="N400" s="19">
        <v>0.38973141107230047</v>
      </c>
      <c r="O400" s="19">
        <f t="shared" si="13"/>
        <v>232.45193199957757</v>
      </c>
      <c r="P400" s="32" cm="1">
        <f t="array" aca="1" ref="P400" ca="1">INDEX($L$2:$L$51, RANDBETWEEN(1,50))</f>
        <v>300</v>
      </c>
      <c r="Q400" s="19" t="b">
        <f ca="1">O400 &gt; P400</f>
        <v>0</v>
      </c>
      <c r="R400" s="19" t="b">
        <f ca="1">P400 &gt; O400</f>
        <v>1</v>
      </c>
    </row>
    <row r="401" spans="14:18" x14ac:dyDescent="0.15">
      <c r="N401" s="19">
        <v>0.21582589215404629</v>
      </c>
      <c r="O401" s="19">
        <f t="shared" si="13"/>
        <v>210.07367491336578</v>
      </c>
      <c r="P401" s="32" cm="1">
        <f t="array" aca="1" ref="P401" ca="1">INDEX($L$2:$L$51, RANDBETWEEN(1,50))</f>
        <v>200</v>
      </c>
      <c r="Q401" s="19" t="b">
        <f ca="1">O401 &gt; P401</f>
        <v>1</v>
      </c>
      <c r="R401" s="19" t="b">
        <f ca="1">P401 &gt; O401</f>
        <v>0</v>
      </c>
    </row>
    <row r="402" spans="14:18" x14ac:dyDescent="0.15">
      <c r="N402" s="19">
        <v>0.385769433055897</v>
      </c>
      <c r="O402" s="19">
        <f t="shared" si="13"/>
        <v>231.90893515885878</v>
      </c>
      <c r="P402" s="32" cm="1">
        <f t="array" aca="1" ref="P402" ca="1">INDEX($L$2:$L$51, RANDBETWEEN(1,50))</f>
        <v>300</v>
      </c>
      <c r="Q402" s="19" t="b">
        <f ca="1">O402 &gt; P402</f>
        <v>0</v>
      </c>
      <c r="R402" s="19" t="b">
        <f ca="1">P402 &gt; O402</f>
        <v>1</v>
      </c>
    </row>
    <row r="403" spans="14:18" x14ac:dyDescent="0.15">
      <c r="N403" s="19">
        <v>0.62686137046053136</v>
      </c>
      <c r="O403" s="19">
        <f t="shared" si="13"/>
        <v>268.98711147823826</v>
      </c>
      <c r="P403" s="32" cm="1">
        <f t="array" aca="1" ref="P403" ca="1">INDEX($L$2:$L$51, RANDBETWEEN(1,50))</f>
        <v>300</v>
      </c>
      <c r="Q403" s="19" t="b">
        <f ca="1">O403 &gt; P403</f>
        <v>0</v>
      </c>
      <c r="R403" s="19" t="b">
        <f ca="1">P403 &gt; O403</f>
        <v>1</v>
      </c>
    </row>
    <row r="404" spans="14:18" x14ac:dyDescent="0.15">
      <c r="N404" s="19">
        <v>0.65905333015092338</v>
      </c>
      <c r="O404" s="19">
        <f t="shared" si="13"/>
        <v>274.76603171240828</v>
      </c>
      <c r="P404" s="32" cm="1">
        <f t="array" aca="1" ref="P404" ca="1">INDEX($L$2:$L$51, RANDBETWEEN(1,50))</f>
        <v>300</v>
      </c>
      <c r="Q404" s="19" t="b">
        <f ca="1">O404 &gt; P404</f>
        <v>0</v>
      </c>
      <c r="R404" s="19" t="b">
        <f ca="1">P404 &gt; O404</f>
        <v>1</v>
      </c>
    </row>
    <row r="405" spans="14:18" x14ac:dyDescent="0.15">
      <c r="N405" s="19">
        <v>0.70931984656924374</v>
      </c>
      <c r="O405" s="19">
        <f t="shared" si="13"/>
        <v>284.36571850089268</v>
      </c>
      <c r="P405" s="32" cm="1">
        <f t="array" aca="1" ref="P405" ca="1">INDEX($L$2:$L$51, RANDBETWEEN(1,50))</f>
        <v>150</v>
      </c>
      <c r="Q405" s="19" t="b">
        <f ca="1">O405 &gt; P405</f>
        <v>1</v>
      </c>
      <c r="R405" s="19" t="b">
        <f ca="1">P405 &gt; O405</f>
        <v>0</v>
      </c>
    </row>
    <row r="406" spans="14:18" x14ac:dyDescent="0.15">
      <c r="N406" s="19">
        <v>0.53866128927965706</v>
      </c>
      <c r="O406" s="19">
        <f t="shared" si="13"/>
        <v>254.32371266010458</v>
      </c>
      <c r="P406" s="32" cm="1">
        <f t="array" aca="1" ref="P406" ca="1">INDEX($L$2:$L$51, RANDBETWEEN(1,50))</f>
        <v>300</v>
      </c>
      <c r="Q406" s="19" t="b">
        <f ca="1">O406 &gt; P406</f>
        <v>0</v>
      </c>
      <c r="R406" s="19" t="b">
        <f ca="1">P406 &gt; O406</f>
        <v>1</v>
      </c>
    </row>
    <row r="407" spans="14:18" x14ac:dyDescent="0.15">
      <c r="N407" s="19">
        <v>0.28028892319662913</v>
      </c>
      <c r="O407" s="19">
        <f t="shared" si="13"/>
        <v>218.04750748353277</v>
      </c>
      <c r="P407" s="32" cm="1">
        <f t="array" aca="1" ref="P407" ca="1">INDEX($L$2:$L$51, RANDBETWEEN(1,50))</f>
        <v>250</v>
      </c>
      <c r="Q407" s="19" t="b">
        <f ca="1">O407 &gt; P407</f>
        <v>0</v>
      </c>
      <c r="R407" s="19" t="b">
        <f ca="1">P407 &gt; O407</f>
        <v>1</v>
      </c>
    </row>
    <row r="408" spans="14:18" x14ac:dyDescent="0.15">
      <c r="N408" s="19">
        <v>0.81593216574561422</v>
      </c>
      <c r="O408" s="19">
        <f t="shared" si="13"/>
        <v>307.9830429991203</v>
      </c>
      <c r="P408" s="32" cm="1">
        <f t="array" aca="1" ref="P408" ca="1">INDEX($L$2:$L$51, RANDBETWEEN(1,50))</f>
        <v>250</v>
      </c>
      <c r="Q408" s="19" t="b">
        <f ca="1">O408 &gt; P408</f>
        <v>1</v>
      </c>
      <c r="R408" s="19" t="b">
        <f ca="1">P408 &gt; O408</f>
        <v>0</v>
      </c>
    </row>
    <row r="409" spans="14:18" x14ac:dyDescent="0.15">
      <c r="N409" s="19">
        <v>0.37190968653741746</v>
      </c>
      <c r="O409" s="19">
        <f t="shared" si="13"/>
        <v>230.02307680370609</v>
      </c>
      <c r="P409" s="32" cm="1">
        <f t="array" aca="1" ref="P409" ca="1">INDEX($L$2:$L$51, RANDBETWEEN(1,50))</f>
        <v>100</v>
      </c>
      <c r="Q409" s="19" t="b">
        <f ca="1">O409 &gt; P409</f>
        <v>1</v>
      </c>
      <c r="R409" s="19" t="b">
        <f ca="1">P409 &gt; O409</f>
        <v>0</v>
      </c>
    </row>
    <row r="410" spans="14:18" x14ac:dyDescent="0.15">
      <c r="N410" s="19">
        <v>0.68610163437486704</v>
      </c>
      <c r="O410" s="19">
        <f t="shared" si="13"/>
        <v>279.8362583024475</v>
      </c>
      <c r="P410" s="32" cm="1">
        <f t="array" aca="1" ref="P410" ca="1">INDEX($L$2:$L$51, RANDBETWEEN(1,50))</f>
        <v>150</v>
      </c>
      <c r="Q410" s="19" t="b">
        <f ca="1">O410 &gt; P410</f>
        <v>1</v>
      </c>
      <c r="R410" s="19" t="b">
        <f ca="1">P410 &gt; O410</f>
        <v>0</v>
      </c>
    </row>
    <row r="411" spans="14:18" x14ac:dyDescent="0.15">
      <c r="N411" s="19">
        <v>0.31016893839005799</v>
      </c>
      <c r="O411" s="19">
        <f t="shared" si="13"/>
        <v>221.86457726196809</v>
      </c>
      <c r="P411" s="32" cm="1">
        <f t="array" aca="1" ref="P411" ca="1">INDEX($L$2:$L$51, RANDBETWEEN(1,50))</f>
        <v>250</v>
      </c>
      <c r="Q411" s="19" t="b">
        <f ca="1">O411 &gt; P411</f>
        <v>0</v>
      </c>
      <c r="R411" s="19" t="b">
        <f ca="1">P411 &gt; O411</f>
        <v>1</v>
      </c>
    </row>
    <row r="412" spans="14:18" x14ac:dyDescent="0.15">
      <c r="N412" s="19">
        <v>9.3475217043177787E-3</v>
      </c>
      <c r="O412" s="19">
        <f t="shared" si="13"/>
        <v>178.03105844579608</v>
      </c>
      <c r="P412" s="32" cm="1">
        <f t="array" aca="1" ref="P412" ca="1">INDEX($L$2:$L$51, RANDBETWEEN(1,50))</f>
        <v>300</v>
      </c>
      <c r="Q412" s="19" t="b">
        <f ca="1">O412 &gt; P412</f>
        <v>0</v>
      </c>
      <c r="R412" s="19" t="b">
        <f ca="1">P412 &gt; O412</f>
        <v>1</v>
      </c>
    </row>
    <row r="413" spans="14:18" x14ac:dyDescent="0.15">
      <c r="N413" s="19">
        <v>0.10379728446891405</v>
      </c>
      <c r="O413" s="19">
        <f t="shared" si="13"/>
        <v>196.7619368289275</v>
      </c>
      <c r="P413" s="32" cm="1">
        <f t="array" aca="1" ref="P413" ca="1">INDEX($L$2:$L$51, RANDBETWEEN(1,50))</f>
        <v>100</v>
      </c>
      <c r="Q413" s="19" t="b">
        <f ca="1">O413 &gt; P413</f>
        <v>1</v>
      </c>
      <c r="R413" s="19" t="b">
        <f ca="1">P413 &gt; O413</f>
        <v>0</v>
      </c>
    </row>
    <row r="414" spans="14:18" x14ac:dyDescent="0.15">
      <c r="N414" s="19">
        <v>0.52096006903842096</v>
      </c>
      <c r="O414" s="19">
        <f t="shared" si="13"/>
        <v>251.55527350480708</v>
      </c>
      <c r="P414" s="32" cm="1">
        <f t="array" aca="1" ref="P414" ca="1">INDEX($L$2:$L$51, RANDBETWEEN(1,50))</f>
        <v>150</v>
      </c>
      <c r="Q414" s="19" t="b">
        <f ca="1">O414 &gt; P414</f>
        <v>1</v>
      </c>
      <c r="R414" s="19" t="b">
        <f ca="1">P414 &gt; O414</f>
        <v>0</v>
      </c>
    </row>
    <row r="415" spans="14:18" x14ac:dyDescent="0.15">
      <c r="N415" s="19">
        <v>0.77588032874086887</v>
      </c>
      <c r="O415" s="19">
        <f t="shared" si="13"/>
        <v>298.46426797466802</v>
      </c>
      <c r="P415" s="32" cm="1">
        <f t="array" aca="1" ref="P415" ca="1">INDEX($L$2:$L$51, RANDBETWEEN(1,50))</f>
        <v>250</v>
      </c>
      <c r="Q415" s="19" t="b">
        <f ca="1">O415 &gt; P415</f>
        <v>1</v>
      </c>
      <c r="R415" s="19" t="b">
        <f ca="1">P415 &gt; O415</f>
        <v>0</v>
      </c>
    </row>
    <row r="416" spans="14:18" x14ac:dyDescent="0.15">
      <c r="N416" s="19">
        <v>0.22068514778310672</v>
      </c>
      <c r="O416" s="19">
        <f t="shared" si="13"/>
        <v>210.66304322193966</v>
      </c>
      <c r="P416" s="32" cm="1">
        <f t="array" aca="1" ref="P416" ca="1">INDEX($L$2:$L$51, RANDBETWEEN(1,50))</f>
        <v>300</v>
      </c>
      <c r="Q416" s="19" t="b">
        <f ca="1">O416 &gt; P416</f>
        <v>0</v>
      </c>
      <c r="R416" s="19" t="b">
        <f ca="1">P416 &gt; O416</f>
        <v>1</v>
      </c>
    </row>
    <row r="417" spans="14:18" x14ac:dyDescent="0.15">
      <c r="N417" s="19">
        <v>5.5278790674767826E-2</v>
      </c>
      <c r="O417" s="19">
        <f t="shared" si="13"/>
        <v>189.53007054917873</v>
      </c>
      <c r="P417" s="32" cm="1">
        <f t="array" aca="1" ref="P417" ca="1">INDEX($L$2:$L$51, RANDBETWEEN(1,50))</f>
        <v>100</v>
      </c>
      <c r="Q417" s="19" t="b">
        <f ca="1">O417 &gt; P417</f>
        <v>1</v>
      </c>
      <c r="R417" s="19" t="b">
        <f ca="1">P417 &gt; O417</f>
        <v>0</v>
      </c>
    </row>
    <row r="418" spans="14:18" x14ac:dyDescent="0.15">
      <c r="N418" s="19">
        <v>7.0634870822837051E-2</v>
      </c>
      <c r="O418" s="19">
        <f t="shared" si="13"/>
        <v>192.07669831921376</v>
      </c>
      <c r="P418" s="32" cm="1">
        <f t="array" aca="1" ref="P418" ca="1">INDEX($L$2:$L$51, RANDBETWEEN(1,50))</f>
        <v>250</v>
      </c>
      <c r="Q418" s="19" t="b">
        <f ca="1">O418 &gt; P418</f>
        <v>0</v>
      </c>
      <c r="R418" s="19" t="b">
        <f ca="1">P418 &gt; O418</f>
        <v>1</v>
      </c>
    </row>
    <row r="419" spans="14:18" x14ac:dyDescent="0.15">
      <c r="N419" s="19">
        <v>0.16027391942230701</v>
      </c>
      <c r="O419" s="19">
        <f t="shared" si="13"/>
        <v>203.4614549087791</v>
      </c>
      <c r="P419" s="32" cm="1">
        <f t="array" aca="1" ref="P419" ca="1">INDEX($L$2:$L$51, RANDBETWEEN(1,50))</f>
        <v>150</v>
      </c>
      <c r="Q419" s="19" t="b">
        <f ca="1">O419 &gt; P419</f>
        <v>1</v>
      </c>
      <c r="R419" s="19" t="b">
        <f ca="1">P419 &gt; O419</f>
        <v>0</v>
      </c>
    </row>
    <row r="420" spans="14:18" x14ac:dyDescent="0.15">
      <c r="N420" s="19">
        <v>0.72376373071398759</v>
      </c>
      <c r="O420" s="19">
        <f t="shared" si="13"/>
        <v>287.27525388293583</v>
      </c>
      <c r="P420" s="32" cm="1">
        <f t="array" aca="1" ref="P420" ca="1">INDEX($L$2:$L$51, RANDBETWEEN(1,50))</f>
        <v>300</v>
      </c>
      <c r="Q420" s="19" t="b">
        <f ca="1">O420 &gt; P420</f>
        <v>0</v>
      </c>
      <c r="R420" s="19" t="b">
        <f ca="1">P420 &gt; O420</f>
        <v>1</v>
      </c>
    </row>
    <row r="421" spans="14:18" x14ac:dyDescent="0.15">
      <c r="N421" s="19">
        <v>0.29702210998955281</v>
      </c>
      <c r="O421" s="19">
        <f t="shared" si="13"/>
        <v>220.17513258595025</v>
      </c>
      <c r="P421" s="32" cm="1">
        <f t="array" aca="1" ref="P421" ca="1">INDEX($L$2:$L$51, RANDBETWEEN(1,50))</f>
        <v>300</v>
      </c>
      <c r="Q421" s="19" t="b">
        <f ca="1">O421 &gt; P421</f>
        <v>0</v>
      </c>
      <c r="R421" s="19" t="b">
        <f ca="1">P421 &gt; O421</f>
        <v>1</v>
      </c>
    </row>
    <row r="422" spans="14:18" x14ac:dyDescent="0.15">
      <c r="N422" s="19">
        <v>5.0602594414075185E-2</v>
      </c>
      <c r="O422" s="19">
        <f t="shared" si="13"/>
        <v>188.6857673499677</v>
      </c>
      <c r="P422" s="32" cm="1">
        <f t="array" aca="1" ref="P422" ca="1">INDEX($L$2:$L$51, RANDBETWEEN(1,50))</f>
        <v>300</v>
      </c>
      <c r="Q422" s="19" t="b">
        <f ca="1">O422 &gt; P422</f>
        <v>0</v>
      </c>
      <c r="R422" s="19" t="b">
        <f ca="1">P422 &gt; O422</f>
        <v>1</v>
      </c>
    </row>
    <row r="423" spans="14:18" x14ac:dyDescent="0.15">
      <c r="N423" s="19">
        <v>0.47780431736158407</v>
      </c>
      <c r="O423" s="19">
        <f t="shared" si="13"/>
        <v>245.01289924201066</v>
      </c>
      <c r="P423" s="32" cm="1">
        <f t="array" aca="1" ref="P423" ca="1">INDEX($L$2:$L$51, RANDBETWEEN(1,50))</f>
        <v>100</v>
      </c>
      <c r="Q423" s="19" t="b">
        <f ca="1">O423 &gt; P423</f>
        <v>1</v>
      </c>
      <c r="R423" s="19" t="b">
        <f ca="1">P423 &gt; O423</f>
        <v>0</v>
      </c>
    </row>
    <row r="424" spans="14:18" x14ac:dyDescent="0.15">
      <c r="N424" s="19">
        <v>0.45716189614364966</v>
      </c>
      <c r="O424" s="19">
        <f t="shared" si="13"/>
        <v>241.97926472328984</v>
      </c>
      <c r="P424" s="32" cm="1">
        <f t="array" aca="1" ref="P424" ca="1">INDEX($L$2:$L$51, RANDBETWEEN(1,50))</f>
        <v>250</v>
      </c>
      <c r="Q424" s="19" t="b">
        <f ca="1">O424 &gt; P424</f>
        <v>0</v>
      </c>
      <c r="R424" s="19" t="b">
        <f ca="1">P424 &gt; O424</f>
        <v>1</v>
      </c>
    </row>
    <row r="425" spans="14:18" x14ac:dyDescent="0.15">
      <c r="N425" s="19">
        <v>0.51998848631977501</v>
      </c>
      <c r="O425" s="19">
        <f t="shared" si="13"/>
        <v>251.40481289997865</v>
      </c>
      <c r="P425" s="32" cm="1">
        <f t="array" aca="1" ref="P425" ca="1">INDEX($L$2:$L$51, RANDBETWEEN(1,50))</f>
        <v>200</v>
      </c>
      <c r="Q425" s="19" t="b">
        <f ca="1">O425 &gt; P425</f>
        <v>1</v>
      </c>
      <c r="R425" s="19" t="b">
        <f ca="1">P425 &gt; O425</f>
        <v>0</v>
      </c>
    </row>
    <row r="426" spans="14:18" x14ac:dyDescent="0.15">
      <c r="N426" s="19">
        <v>0.44648957645822762</v>
      </c>
      <c r="O426" s="19">
        <f t="shared" si="13"/>
        <v>240.4334637747578</v>
      </c>
      <c r="P426" s="32" cm="1">
        <f t="array" aca="1" ref="P426" ca="1">INDEX($L$2:$L$51, RANDBETWEEN(1,50))</f>
        <v>300</v>
      </c>
      <c r="Q426" s="19" t="b">
        <f ca="1">O426 &gt; P426</f>
        <v>0</v>
      </c>
      <c r="R426" s="19" t="b">
        <f ca="1">P426 &gt; O426</f>
        <v>1</v>
      </c>
    </row>
    <row r="427" spans="14:18" x14ac:dyDescent="0.15">
      <c r="N427" s="19">
        <v>0.15031153343166762</v>
      </c>
      <c r="O427" s="19">
        <f t="shared" si="13"/>
        <v>202.29904031051521</v>
      </c>
      <c r="P427" s="32" cm="1">
        <f t="array" aca="1" ref="P427" ca="1">INDEX($L$2:$L$51, RANDBETWEEN(1,50))</f>
        <v>300</v>
      </c>
      <c r="Q427" s="19" t="b">
        <f ca="1">O427 &gt; P427</f>
        <v>0</v>
      </c>
      <c r="R427" s="19" t="b">
        <f ca="1">P427 &gt; O427</f>
        <v>1</v>
      </c>
    </row>
    <row r="428" spans="14:18" x14ac:dyDescent="0.15">
      <c r="N428" s="19">
        <v>0.28594238603764327</v>
      </c>
      <c r="O428" s="19">
        <f t="shared" si="13"/>
        <v>218.76355156241775</v>
      </c>
      <c r="P428" s="32" cm="1">
        <f t="array" aca="1" ref="P428" ca="1">INDEX($L$2:$L$51, RANDBETWEEN(1,50))</f>
        <v>150</v>
      </c>
      <c r="Q428" s="19" t="b">
        <f ca="1">O428 &gt; P428</f>
        <v>1</v>
      </c>
      <c r="R428" s="19" t="b">
        <f ca="1">P428 &gt; O428</f>
        <v>0</v>
      </c>
    </row>
    <row r="429" spans="14:18" x14ac:dyDescent="0.15">
      <c r="N429" s="19">
        <v>0.83368213467005736</v>
      </c>
      <c r="O429" s="19">
        <f t="shared" si="13"/>
        <v>312.53216702594398</v>
      </c>
      <c r="P429" s="32" cm="1">
        <f t="array" aca="1" ref="P429" ca="1">INDEX($L$2:$L$51, RANDBETWEEN(1,50))</f>
        <v>200</v>
      </c>
      <c r="Q429" s="19" t="b">
        <f ca="1">O429 &gt; P429</f>
        <v>1</v>
      </c>
      <c r="R429" s="19" t="b">
        <f ca="1">P429 &gt; O429</f>
        <v>0</v>
      </c>
    </row>
    <row r="430" spans="14:18" x14ac:dyDescent="0.15">
      <c r="N430" s="19">
        <v>0.69563739965466664</v>
      </c>
      <c r="O430" s="19">
        <f t="shared" si="13"/>
        <v>281.67553247157485</v>
      </c>
      <c r="P430" s="32" cm="1">
        <f t="array" aca="1" ref="P430" ca="1">INDEX($L$2:$L$51, RANDBETWEEN(1,50))</f>
        <v>250</v>
      </c>
      <c r="Q430" s="19" t="b">
        <f ca="1">O430 &gt; P430</f>
        <v>1</v>
      </c>
      <c r="R430" s="19" t="b">
        <f ca="1">P430 &gt; O430</f>
        <v>0</v>
      </c>
    </row>
    <row r="431" spans="14:18" x14ac:dyDescent="0.15">
      <c r="N431" s="19">
        <v>0.5777759959817752</v>
      </c>
      <c r="O431" s="19">
        <f t="shared" si="13"/>
        <v>260.63607287092424</v>
      </c>
      <c r="P431" s="32" cm="1">
        <f t="array" aca="1" ref="P431" ca="1">INDEX($L$2:$L$51, RANDBETWEEN(1,50))</f>
        <v>250</v>
      </c>
      <c r="Q431" s="19" t="b">
        <f ca="1">O431 &gt; P431</f>
        <v>1</v>
      </c>
      <c r="R431" s="19" t="b">
        <f ca="1">P431 &gt; O431</f>
        <v>0</v>
      </c>
    </row>
    <row r="432" spans="14:18" x14ac:dyDescent="0.15">
      <c r="N432" s="19">
        <v>0.68116446569616185</v>
      </c>
      <c r="O432" s="19">
        <f t="shared" si="13"/>
        <v>278.89494404453399</v>
      </c>
      <c r="P432" s="32" cm="1">
        <f t="array" aca="1" ref="P432" ca="1">INDEX($L$2:$L$51, RANDBETWEEN(1,50))</f>
        <v>300</v>
      </c>
      <c r="Q432" s="19" t="b">
        <f ca="1">O432 &gt; P432</f>
        <v>0</v>
      </c>
      <c r="R432" s="19" t="b">
        <f ca="1">P432 &gt; O432</f>
        <v>1</v>
      </c>
    </row>
    <row r="433" spans="14:18" x14ac:dyDescent="0.15">
      <c r="N433" s="19">
        <v>0.33117495539187219</v>
      </c>
      <c r="O433" s="19">
        <f t="shared" si="13"/>
        <v>224.59774216968049</v>
      </c>
      <c r="P433" s="32" cm="1">
        <f t="array" aca="1" ref="P433" ca="1">INDEX($L$2:$L$51, RANDBETWEEN(1,50))</f>
        <v>200</v>
      </c>
      <c r="Q433" s="19" t="b">
        <f ca="1">O433 &gt; P433</f>
        <v>1</v>
      </c>
      <c r="R433" s="19" t="b">
        <f ca="1">P433 &gt; O433</f>
        <v>0</v>
      </c>
    </row>
    <row r="434" spans="14:18" x14ac:dyDescent="0.15">
      <c r="N434" s="19">
        <v>5.7475271195860239E-2</v>
      </c>
      <c r="O434" s="19">
        <f t="shared" si="13"/>
        <v>189.91430067191504</v>
      </c>
      <c r="P434" s="32" cm="1">
        <f t="array" aca="1" ref="P434" ca="1">INDEX($L$2:$L$51, RANDBETWEEN(1,50))</f>
        <v>150</v>
      </c>
      <c r="Q434" s="19" t="b">
        <f ca="1">O434 &gt; P434</f>
        <v>1</v>
      </c>
      <c r="R434" s="19" t="b">
        <f ca="1">P434 &gt; O434</f>
        <v>0</v>
      </c>
    </row>
    <row r="435" spans="14:18" x14ac:dyDescent="0.15">
      <c r="N435" s="19">
        <v>0.98688298882305758</v>
      </c>
      <c r="O435" s="19">
        <f t="shared" si="13"/>
        <v>375.4361543291904</v>
      </c>
      <c r="P435" s="32" cm="1">
        <f t="array" aca="1" ref="P435" ca="1">INDEX($L$2:$L$51, RANDBETWEEN(1,50))</f>
        <v>100</v>
      </c>
      <c r="Q435" s="19" t="b">
        <f ca="1">O435 &gt; P435</f>
        <v>1</v>
      </c>
      <c r="R435" s="19" t="b">
        <f ca="1">P435 &gt; O435</f>
        <v>0</v>
      </c>
    </row>
    <row r="436" spans="14:18" x14ac:dyDescent="0.15">
      <c r="N436" s="19">
        <v>0.54239314912929815</v>
      </c>
      <c r="O436" s="19">
        <f t="shared" si="13"/>
        <v>254.91411116151824</v>
      </c>
      <c r="P436" s="32" cm="1">
        <f t="array" aca="1" ref="P436" ca="1">INDEX($L$2:$L$51, RANDBETWEEN(1,50))</f>
        <v>200</v>
      </c>
      <c r="Q436" s="19" t="b">
        <f ca="1">O436 &gt; P436</f>
        <v>1</v>
      </c>
      <c r="R436" s="19" t="b">
        <f ca="1">P436 &gt; O436</f>
        <v>0</v>
      </c>
    </row>
    <row r="437" spans="14:18" x14ac:dyDescent="0.15">
      <c r="N437" s="19">
        <v>1.6574161134927609E-3</v>
      </c>
      <c r="O437" s="19">
        <f t="shared" si="13"/>
        <v>173.38174085096716</v>
      </c>
      <c r="P437" s="32" cm="1">
        <f t="array" aca="1" ref="P437" ca="1">INDEX($L$2:$L$51, RANDBETWEEN(1,50))</f>
        <v>250</v>
      </c>
      <c r="Q437" s="19" t="b">
        <f ca="1">O437 &gt; P437</f>
        <v>0</v>
      </c>
      <c r="R437" s="19" t="b">
        <f ca="1">P437 &gt; O437</f>
        <v>1</v>
      </c>
    </row>
    <row r="438" spans="14:18" x14ac:dyDescent="0.15">
      <c r="N438" s="19">
        <v>0.85619261947283176</v>
      </c>
      <c r="O438" s="19">
        <f t="shared" si="13"/>
        <v>318.66649211887056</v>
      </c>
      <c r="P438" s="32" cm="1">
        <f t="array" aca="1" ref="P438" ca="1">INDEX($L$2:$L$51, RANDBETWEEN(1,50))</f>
        <v>200</v>
      </c>
      <c r="Q438" s="19" t="b">
        <f ca="1">O438 &gt; P438</f>
        <v>1</v>
      </c>
      <c r="R438" s="19" t="b">
        <f ca="1">P438 &gt; O438</f>
        <v>0</v>
      </c>
    </row>
    <row r="439" spans="14:18" x14ac:dyDescent="0.15">
      <c r="N439" s="19">
        <v>2.9355479883661252E-2</v>
      </c>
      <c r="O439" s="19">
        <f t="shared" si="13"/>
        <v>184.23210494611612</v>
      </c>
      <c r="P439" s="32" cm="1">
        <f t="array" aca="1" ref="P439" ca="1">INDEX($L$2:$L$51, RANDBETWEEN(1,50))</f>
        <v>100</v>
      </c>
      <c r="Q439" s="19" t="b">
        <f ca="1">O439 &gt; P439</f>
        <v>1</v>
      </c>
      <c r="R439" s="19" t="b">
        <f ca="1">P439 &gt; O439</f>
        <v>0</v>
      </c>
    </row>
    <row r="440" spans="14:18" x14ac:dyDescent="0.15">
      <c r="N440" s="19">
        <v>0.37755040469465329</v>
      </c>
      <c r="O440" s="19">
        <f t="shared" si="13"/>
        <v>230.78805779719343</v>
      </c>
      <c r="P440" s="32" cm="1">
        <f t="array" aca="1" ref="P440" ca="1">INDEX($L$2:$L$51, RANDBETWEEN(1,50))</f>
        <v>250</v>
      </c>
      <c r="Q440" s="19" t="b">
        <f ca="1">O440 &gt; P440</f>
        <v>0</v>
      </c>
      <c r="R440" s="19" t="b">
        <f ca="1">P440 &gt; O440</f>
        <v>1</v>
      </c>
    </row>
    <row r="441" spans="14:18" x14ac:dyDescent="0.15">
      <c r="N441" s="19">
        <v>0.48965170303809069</v>
      </c>
      <c r="O441" s="19">
        <f t="shared" si="13"/>
        <v>246.78113151361603</v>
      </c>
      <c r="P441" s="32" cm="1">
        <f t="array" aca="1" ref="P441" ca="1">INDEX($L$2:$L$51, RANDBETWEEN(1,50))</f>
        <v>250</v>
      </c>
      <c r="Q441" s="19" t="b">
        <f ca="1">O441 &gt; P441</f>
        <v>0</v>
      </c>
      <c r="R441" s="19" t="b">
        <f ca="1">P441 &gt; O441</f>
        <v>1</v>
      </c>
    </row>
    <row r="442" spans="14:18" x14ac:dyDescent="0.15">
      <c r="N442" s="19">
        <v>0.57617296119042349</v>
      </c>
      <c r="O442" s="19">
        <f t="shared" si="13"/>
        <v>260.37176580203948</v>
      </c>
      <c r="P442" s="32" cm="1">
        <f t="array" aca="1" ref="P442" ca="1">INDEX($L$2:$L$51, RANDBETWEEN(1,50))</f>
        <v>300</v>
      </c>
      <c r="Q442" s="19" t="b">
        <f ca="1">O442 &gt; P442</f>
        <v>0</v>
      </c>
      <c r="R442" s="19" t="b">
        <f ca="1">P442 &gt; O442</f>
        <v>1</v>
      </c>
    </row>
    <row r="443" spans="14:18" x14ac:dyDescent="0.15">
      <c r="N443" s="19">
        <v>0.73895872744683122</v>
      </c>
      <c r="O443" s="19">
        <f t="shared" si="13"/>
        <v>290.41944270334375</v>
      </c>
      <c r="P443" s="32" cm="1">
        <f t="array" aca="1" ref="P443" ca="1">INDEX($L$2:$L$51, RANDBETWEEN(1,50))</f>
        <v>300</v>
      </c>
      <c r="Q443" s="19" t="b">
        <f ca="1">O443 &gt; P443</f>
        <v>0</v>
      </c>
      <c r="R443" s="19" t="b">
        <f ca="1">P443 &gt; O443</f>
        <v>1</v>
      </c>
    </row>
    <row r="444" spans="14:18" x14ac:dyDescent="0.15">
      <c r="N444" s="19">
        <v>0.67933219889147778</v>
      </c>
      <c r="O444" s="19">
        <f t="shared" si="13"/>
        <v>278.54746255844623</v>
      </c>
      <c r="P444" s="32" cm="1">
        <f t="array" aca="1" ref="P444" ca="1">INDEX($L$2:$L$51, RANDBETWEEN(1,50))</f>
        <v>150</v>
      </c>
      <c r="Q444" s="19" t="b">
        <f ca="1">O444 &gt; P444</f>
        <v>1</v>
      </c>
      <c r="R444" s="19" t="b">
        <f ca="1">P444 &gt; O444</f>
        <v>0</v>
      </c>
    </row>
    <row r="445" spans="14:18" x14ac:dyDescent="0.15">
      <c r="N445" s="19">
        <v>0.53626676906657722</v>
      </c>
      <c r="O445" s="19">
        <f t="shared" si="13"/>
        <v>253.9461447857762</v>
      </c>
      <c r="P445" s="32" cm="1">
        <f t="array" aca="1" ref="P445" ca="1">INDEX($L$2:$L$51, RANDBETWEEN(1,50))</f>
        <v>300</v>
      </c>
      <c r="Q445" s="19" t="b">
        <f ca="1">O445 &gt; P445</f>
        <v>0</v>
      </c>
      <c r="R445" s="19" t="b">
        <f ca="1">P445 &gt; O445</f>
        <v>1</v>
      </c>
    </row>
    <row r="446" spans="14:18" x14ac:dyDescent="0.15">
      <c r="N446" s="19">
        <v>3.5587701963068777E-2</v>
      </c>
      <c r="O446" s="19">
        <f t="shared" si="13"/>
        <v>185.67019921842649</v>
      </c>
      <c r="P446" s="32" cm="1">
        <f t="array" aca="1" ref="P446" ca="1">INDEX($L$2:$L$51, RANDBETWEEN(1,50))</f>
        <v>150</v>
      </c>
      <c r="Q446" s="19" t="b">
        <f ca="1">O446 &gt; P446</f>
        <v>1</v>
      </c>
      <c r="R446" s="19" t="b">
        <f ca="1">P446 &gt; O446</f>
        <v>0</v>
      </c>
    </row>
    <row r="447" spans="14:18" x14ac:dyDescent="0.15">
      <c r="N447" s="19">
        <v>0.12250689329696209</v>
      </c>
      <c r="O447" s="19">
        <f t="shared" si="13"/>
        <v>199.07400150906369</v>
      </c>
      <c r="P447" s="32" cm="1">
        <f t="array" aca="1" ref="P447" ca="1">INDEX($L$2:$L$51, RANDBETWEEN(1,50))</f>
        <v>250</v>
      </c>
      <c r="Q447" s="19" t="b">
        <f ca="1">O447 &gt; P447</f>
        <v>0</v>
      </c>
      <c r="R447" s="19" t="b">
        <f ca="1">P447 &gt; O447</f>
        <v>1</v>
      </c>
    </row>
    <row r="448" spans="14:18" x14ac:dyDescent="0.15">
      <c r="N448" s="19">
        <v>0.97335564204182268</v>
      </c>
      <c r="O448" s="19">
        <f t="shared" si="13"/>
        <v>364.99085168022282</v>
      </c>
      <c r="P448" s="32" cm="1">
        <f t="array" aca="1" ref="P448" ca="1">INDEX($L$2:$L$51, RANDBETWEEN(1,50))</f>
        <v>200</v>
      </c>
      <c r="Q448" s="19" t="b">
        <f ca="1">O448 &gt; P448</f>
        <v>1</v>
      </c>
      <c r="R448" s="19" t="b">
        <f ca="1">P448 &gt; O448</f>
        <v>0</v>
      </c>
    </row>
    <row r="449" spans="14:18" x14ac:dyDescent="0.15">
      <c r="N449" s="19">
        <v>0.18827579691460161</v>
      </c>
      <c r="O449" s="19">
        <f t="shared" si="13"/>
        <v>206.76616926136271</v>
      </c>
      <c r="P449" s="32" cm="1">
        <f t="array" aca="1" ref="P449" ca="1">INDEX($L$2:$L$51, RANDBETWEEN(1,50))</f>
        <v>300</v>
      </c>
      <c r="Q449" s="19" t="b">
        <f ca="1">O449 &gt; P449</f>
        <v>0</v>
      </c>
      <c r="R449" s="19" t="b">
        <f ca="1">P449 &gt; O449</f>
        <v>1</v>
      </c>
    </row>
    <row r="450" spans="14:18" x14ac:dyDescent="0.15">
      <c r="N450" s="19">
        <v>0.35131874370915755</v>
      </c>
      <c r="O450" s="19">
        <f t="shared" si="13"/>
        <v>227.25933371270463</v>
      </c>
      <c r="P450" s="32" cm="1">
        <f t="array" aca="1" ref="P450" ca="1">INDEX($L$2:$L$51, RANDBETWEEN(1,50))</f>
        <v>250</v>
      </c>
      <c r="Q450" s="19" t="b">
        <f ca="1">O450 &gt; P450</f>
        <v>0</v>
      </c>
      <c r="R450" s="19" t="b">
        <f ca="1">P450 &gt; O450</f>
        <v>1</v>
      </c>
    </row>
    <row r="451" spans="14:18" x14ac:dyDescent="0.15">
      <c r="N451" s="19">
        <v>0.6141255198112342</v>
      </c>
      <c r="O451" s="19">
        <f t="shared" ref="O451:O501" si="14">IF(N451&lt;(200-170)/(400-170),
    170 + SQRT(N451*(400-170)*(200-170)),
    400 - SQRT((1-N451)*(400-170)*(400-200))
  )</f>
        <v>266.77002556225113</v>
      </c>
      <c r="P451" s="32" cm="1">
        <f t="array" aca="1" ref="P451" ca="1">INDEX($L$2:$L$51, RANDBETWEEN(1,50))</f>
        <v>300</v>
      </c>
      <c r="Q451" s="19" t="b">
        <f ca="1">O451 &gt; P451</f>
        <v>0</v>
      </c>
      <c r="R451" s="19" t="b">
        <f ca="1">P451 &gt; O451</f>
        <v>1</v>
      </c>
    </row>
    <row r="452" spans="14:18" x14ac:dyDescent="0.15">
      <c r="N452" s="19">
        <v>0.60761146741342331</v>
      </c>
      <c r="O452" s="19">
        <f t="shared" si="14"/>
        <v>265.65018608504693</v>
      </c>
      <c r="P452" s="32" cm="1">
        <f t="array" aca="1" ref="P452" ca="1">INDEX($L$2:$L$51, RANDBETWEEN(1,50))</f>
        <v>250</v>
      </c>
      <c r="Q452" s="19" t="b">
        <f ca="1">O452 &gt; P452</f>
        <v>1</v>
      </c>
      <c r="R452" s="19" t="b">
        <f ca="1">P452 &gt; O452</f>
        <v>0</v>
      </c>
    </row>
    <row r="453" spans="14:18" x14ac:dyDescent="0.15">
      <c r="N453" s="19">
        <v>0.12593281740598977</v>
      </c>
      <c r="O453" s="19">
        <f t="shared" si="14"/>
        <v>199.47772786531095</v>
      </c>
      <c r="P453" s="32" cm="1">
        <f t="array" aca="1" ref="P453" ca="1">INDEX($L$2:$L$51, RANDBETWEEN(1,50))</f>
        <v>200</v>
      </c>
      <c r="Q453" s="19" t="b">
        <f ca="1">O453 &gt; P453</f>
        <v>0</v>
      </c>
      <c r="R453" s="19" t="b">
        <f ca="1">P453 &gt; O453</f>
        <v>1</v>
      </c>
    </row>
    <row r="454" spans="14:18" x14ac:dyDescent="0.15">
      <c r="N454" s="19">
        <v>0.55286214247013543</v>
      </c>
      <c r="O454" s="19">
        <f t="shared" si="14"/>
        <v>256.58332925920445</v>
      </c>
      <c r="P454" s="32" cm="1">
        <f t="array" aca="1" ref="P454" ca="1">INDEX($L$2:$L$51, RANDBETWEEN(1,50))</f>
        <v>150</v>
      </c>
      <c r="Q454" s="19" t="b">
        <f ca="1">O454 &gt; P454</f>
        <v>1</v>
      </c>
      <c r="R454" s="19" t="b">
        <f ca="1">P454 &gt; O454</f>
        <v>0</v>
      </c>
    </row>
    <row r="455" spans="14:18" x14ac:dyDescent="0.15">
      <c r="N455" s="19">
        <v>0.95402849556600144</v>
      </c>
      <c r="O455" s="19">
        <f t="shared" si="14"/>
        <v>354.01424999019878</v>
      </c>
      <c r="P455" s="32" cm="1">
        <f t="array" aca="1" ref="P455" ca="1">INDEX($L$2:$L$51, RANDBETWEEN(1,50))</f>
        <v>250</v>
      </c>
      <c r="Q455" s="19" t="b">
        <f ca="1">O455 &gt; P455</f>
        <v>1</v>
      </c>
      <c r="R455" s="19" t="b">
        <f ca="1">P455 &gt; O455</f>
        <v>0</v>
      </c>
    </row>
    <row r="456" spans="14:18" x14ac:dyDescent="0.15">
      <c r="N456" s="19">
        <v>0.3569249777854071</v>
      </c>
      <c r="O456" s="19">
        <f t="shared" si="14"/>
        <v>228.00740997975734</v>
      </c>
      <c r="P456" s="32" cm="1">
        <f t="array" aca="1" ref="P456" ca="1">INDEX($L$2:$L$51, RANDBETWEEN(1,50))</f>
        <v>150</v>
      </c>
      <c r="Q456" s="19" t="b">
        <f ca="1">O456 &gt; P456</f>
        <v>1</v>
      </c>
      <c r="R456" s="19" t="b">
        <f ca="1">P456 &gt; O456</f>
        <v>0</v>
      </c>
    </row>
    <row r="457" spans="14:18" x14ac:dyDescent="0.15">
      <c r="N457" s="19">
        <v>0.8381016393369537</v>
      </c>
      <c r="O457" s="19">
        <f t="shared" si="14"/>
        <v>313.70211711461207</v>
      </c>
      <c r="P457" s="32" cm="1">
        <f t="array" aca="1" ref="P457" ca="1">INDEX($L$2:$L$51, RANDBETWEEN(1,50))</f>
        <v>200</v>
      </c>
      <c r="Q457" s="19" t="b">
        <f ca="1">O457 &gt; P457</f>
        <v>1</v>
      </c>
      <c r="R457" s="19" t="b">
        <f ca="1">P457 &gt; O457</f>
        <v>0</v>
      </c>
    </row>
    <row r="458" spans="14:18" x14ac:dyDescent="0.15">
      <c r="N458" s="19">
        <v>0.97425233618088636</v>
      </c>
      <c r="O458" s="19">
        <f t="shared" si="14"/>
        <v>365.58499548628203</v>
      </c>
      <c r="P458" s="32" cm="1">
        <f t="array" aca="1" ref="P458" ca="1">INDEX($L$2:$L$51, RANDBETWEEN(1,50))</f>
        <v>300</v>
      </c>
      <c r="Q458" s="19" t="b">
        <f ca="1">O458 &gt; P458</f>
        <v>1</v>
      </c>
      <c r="R458" s="19" t="b">
        <f ca="1">P458 &gt; O458</f>
        <v>0</v>
      </c>
    </row>
    <row r="459" spans="14:18" x14ac:dyDescent="0.15">
      <c r="N459" s="19">
        <v>0.25901419215789728</v>
      </c>
      <c r="O459" s="19">
        <f t="shared" si="14"/>
        <v>215.37782592349117</v>
      </c>
      <c r="P459" s="32" cm="1">
        <f t="array" aca="1" ref="P459" ca="1">INDEX($L$2:$L$51, RANDBETWEEN(1,50))</f>
        <v>250</v>
      </c>
      <c r="Q459" s="19" t="b">
        <f ca="1">O459 &gt; P459</f>
        <v>0</v>
      </c>
      <c r="R459" s="19" t="b">
        <f ca="1">P459 &gt; O459</f>
        <v>1</v>
      </c>
    </row>
    <row r="460" spans="14:18" x14ac:dyDescent="0.15">
      <c r="N460" s="19">
        <v>0.25152759777918809</v>
      </c>
      <c r="O460" s="19">
        <f t="shared" si="14"/>
        <v>214.44749933736449</v>
      </c>
      <c r="P460" s="32" cm="1">
        <f t="array" aca="1" ref="P460" ca="1">INDEX($L$2:$L$51, RANDBETWEEN(1,50))</f>
        <v>300</v>
      </c>
      <c r="Q460" s="19" t="b">
        <f ca="1">O460 &gt; P460</f>
        <v>0</v>
      </c>
      <c r="R460" s="19" t="b">
        <f ca="1">P460 &gt; O460</f>
        <v>1</v>
      </c>
    </row>
    <row r="461" spans="14:18" x14ac:dyDescent="0.15">
      <c r="N461" s="19">
        <v>0.42433587481469653</v>
      </c>
      <c r="O461" s="19">
        <f t="shared" si="14"/>
        <v>237.27154594686289</v>
      </c>
      <c r="P461" s="32" cm="1">
        <f t="array" aca="1" ref="P461" ca="1">INDEX($L$2:$L$51, RANDBETWEEN(1,50))</f>
        <v>250</v>
      </c>
      <c r="Q461" s="19" t="b">
        <f ca="1">O461 &gt; P461</f>
        <v>0</v>
      </c>
      <c r="R461" s="19" t="b">
        <f ca="1">P461 &gt; O461</f>
        <v>1</v>
      </c>
    </row>
    <row r="462" spans="14:18" x14ac:dyDescent="0.15">
      <c r="N462" s="19">
        <v>0.81304801060494414</v>
      </c>
      <c r="O462" s="19">
        <f t="shared" si="14"/>
        <v>307.26493914288636</v>
      </c>
      <c r="P462" s="32" cm="1">
        <f t="array" aca="1" ref="P462" ca="1">INDEX($L$2:$L$51, RANDBETWEEN(1,50))</f>
        <v>250</v>
      </c>
      <c r="Q462" s="19" t="b">
        <f ca="1">O462 &gt; P462</f>
        <v>1</v>
      </c>
      <c r="R462" s="19" t="b">
        <f ca="1">P462 &gt; O462</f>
        <v>0</v>
      </c>
    </row>
    <row r="463" spans="14:18" x14ac:dyDescent="0.15">
      <c r="N463" s="19">
        <v>0.89791423729523745</v>
      </c>
      <c r="O463" s="19">
        <f t="shared" si="14"/>
        <v>331.47303388870131</v>
      </c>
      <c r="P463" s="32" cm="1">
        <f t="array" aca="1" ref="P463" ca="1">INDEX($L$2:$L$51, RANDBETWEEN(1,50))</f>
        <v>150</v>
      </c>
      <c r="Q463" s="19" t="b">
        <f ca="1">O463 &gt; P463</f>
        <v>1</v>
      </c>
      <c r="R463" s="19" t="b">
        <f ca="1">P463 &gt; O463</f>
        <v>0</v>
      </c>
    </row>
    <row r="464" spans="14:18" x14ac:dyDescent="0.15">
      <c r="N464" s="19">
        <v>0.24458622105633199</v>
      </c>
      <c r="O464" s="19">
        <f t="shared" si="14"/>
        <v>213.58907266093888</v>
      </c>
      <c r="P464" s="32" cm="1">
        <f t="array" aca="1" ref="P464" ca="1">INDEX($L$2:$L$51, RANDBETWEEN(1,50))</f>
        <v>250</v>
      </c>
      <c r="Q464" s="19" t="b">
        <f ca="1">O464 &gt; P464</f>
        <v>0</v>
      </c>
      <c r="R464" s="19" t="b">
        <f ca="1">P464 &gt; O464</f>
        <v>1</v>
      </c>
    </row>
    <row r="465" spans="14:18" x14ac:dyDescent="0.15">
      <c r="N465" s="19">
        <v>0.76061729377164378</v>
      </c>
      <c r="O465" s="19">
        <f t="shared" si="14"/>
        <v>295.06380754713661</v>
      </c>
      <c r="P465" s="32" cm="1">
        <f t="array" aca="1" ref="P465" ca="1">INDEX($L$2:$L$51, RANDBETWEEN(1,50))</f>
        <v>250</v>
      </c>
      <c r="Q465" s="19" t="b">
        <f ca="1">O465 &gt; P465</f>
        <v>1</v>
      </c>
      <c r="R465" s="19" t="b">
        <f ca="1">P465 &gt; O465</f>
        <v>0</v>
      </c>
    </row>
    <row r="466" spans="14:18" x14ac:dyDescent="0.15">
      <c r="N466" s="19">
        <v>0.69485642001724635</v>
      </c>
      <c r="O466" s="19">
        <f t="shared" si="14"/>
        <v>281.52382231348503</v>
      </c>
      <c r="P466" s="32" cm="1">
        <f t="array" aca="1" ref="P466" ca="1">INDEX($L$2:$L$51, RANDBETWEEN(1,50))</f>
        <v>300</v>
      </c>
      <c r="Q466" s="19" t="b">
        <f ca="1">O466 &gt; P466</f>
        <v>0</v>
      </c>
      <c r="R466" s="19" t="b">
        <f ca="1">P466 &gt; O466</f>
        <v>1</v>
      </c>
    </row>
    <row r="467" spans="14:18" x14ac:dyDescent="0.15">
      <c r="N467" s="19">
        <v>0.45185122985944676</v>
      </c>
      <c r="O467" s="19">
        <f t="shared" si="14"/>
        <v>241.20817581983181</v>
      </c>
      <c r="P467" s="32" cm="1">
        <f t="array" aca="1" ref="P467" ca="1">INDEX($L$2:$L$51, RANDBETWEEN(1,50))</f>
        <v>250</v>
      </c>
      <c r="Q467" s="19" t="b">
        <f ca="1">O467 &gt; P467</f>
        <v>0</v>
      </c>
      <c r="R467" s="19" t="b">
        <f ca="1">P467 &gt; O467</f>
        <v>1</v>
      </c>
    </row>
    <row r="468" spans="14:18" x14ac:dyDescent="0.15">
      <c r="N468" s="19">
        <v>0.26362024772149523</v>
      </c>
      <c r="O468" s="19">
        <f t="shared" si="14"/>
        <v>215.95253708673076</v>
      </c>
      <c r="P468" s="32" cm="1">
        <f t="array" aca="1" ref="P468" ca="1">INDEX($L$2:$L$51, RANDBETWEEN(1,50))</f>
        <v>250</v>
      </c>
      <c r="Q468" s="19" t="b">
        <f ca="1">O468 &gt; P468</f>
        <v>0</v>
      </c>
      <c r="R468" s="19" t="b">
        <f ca="1">P468 &gt; O468</f>
        <v>1</v>
      </c>
    </row>
    <row r="469" spans="14:18" x14ac:dyDescent="0.15">
      <c r="N469" s="19">
        <v>0.66550345517019904</v>
      </c>
      <c r="O469" s="19">
        <f t="shared" si="14"/>
        <v>275.95629374220209</v>
      </c>
      <c r="P469" s="32" cm="1">
        <f t="array" aca="1" ref="P469" ca="1">INDEX($L$2:$L$51, RANDBETWEEN(1,50))</f>
        <v>250</v>
      </c>
      <c r="Q469" s="19" t="b">
        <f ca="1">O469 &gt; P469</f>
        <v>1</v>
      </c>
      <c r="R469" s="19" t="b">
        <f ca="1">P469 &gt; O469</f>
        <v>0</v>
      </c>
    </row>
    <row r="470" spans="14:18" x14ac:dyDescent="0.15">
      <c r="N470" s="19">
        <v>0.11657104553495116</v>
      </c>
      <c r="O470" s="19">
        <f t="shared" si="14"/>
        <v>198.36089233770974</v>
      </c>
      <c r="P470" s="32" cm="1">
        <f t="array" aca="1" ref="P470" ca="1">INDEX($L$2:$L$51, RANDBETWEEN(1,50))</f>
        <v>300</v>
      </c>
      <c r="Q470" s="19" t="b">
        <f ca="1">O470 &gt; P470</f>
        <v>0</v>
      </c>
      <c r="R470" s="19" t="b">
        <f ca="1">P470 &gt; O470</f>
        <v>1</v>
      </c>
    </row>
    <row r="471" spans="14:18" x14ac:dyDescent="0.15">
      <c r="N471" s="19">
        <v>0.20956230592427882</v>
      </c>
      <c r="O471" s="19">
        <f t="shared" si="14"/>
        <v>209.31666583709219</v>
      </c>
      <c r="P471" s="32" cm="1">
        <f t="array" aca="1" ref="P471" ca="1">INDEX($L$2:$L$51, RANDBETWEEN(1,50))</f>
        <v>250</v>
      </c>
      <c r="Q471" s="19" t="b">
        <f ca="1">O471 &gt; P471</f>
        <v>0</v>
      </c>
      <c r="R471" s="19" t="b">
        <f ca="1">P471 &gt; O471</f>
        <v>1</v>
      </c>
    </row>
    <row r="472" spans="14:18" x14ac:dyDescent="0.15">
      <c r="N472" s="19">
        <v>0.11367566935423561</v>
      </c>
      <c r="O472" s="19">
        <f t="shared" si="14"/>
        <v>198.0064656560628</v>
      </c>
      <c r="P472" s="32" cm="1">
        <f t="array" aca="1" ref="P472" ca="1">INDEX($L$2:$L$51, RANDBETWEEN(1,50))</f>
        <v>100</v>
      </c>
      <c r="Q472" s="19" t="b">
        <f ca="1">O472 &gt; P472</f>
        <v>1</v>
      </c>
      <c r="R472" s="19" t="b">
        <f ca="1">P472 &gt; O472</f>
        <v>0</v>
      </c>
    </row>
    <row r="473" spans="14:18" x14ac:dyDescent="0.15">
      <c r="N473" s="19">
        <v>0.54697483663771995</v>
      </c>
      <c r="O473" s="19">
        <f t="shared" si="14"/>
        <v>255.64225855651216</v>
      </c>
      <c r="P473" s="32" cm="1">
        <f t="array" aca="1" ref="P473" ca="1">INDEX($L$2:$L$51, RANDBETWEEN(1,50))</f>
        <v>300</v>
      </c>
      <c r="Q473" s="19" t="b">
        <f ca="1">O473 &gt; P473</f>
        <v>0</v>
      </c>
      <c r="R473" s="19" t="b">
        <f ca="1">P473 &gt; O473</f>
        <v>1</v>
      </c>
    </row>
    <row r="474" spans="14:18" x14ac:dyDescent="0.15">
      <c r="N474" s="19">
        <v>6.0793701587614464E-3</v>
      </c>
      <c r="O474" s="19">
        <f t="shared" si="14"/>
        <v>176.47670086505883</v>
      </c>
      <c r="P474" s="32" cm="1">
        <f t="array" aca="1" ref="P474" ca="1">INDEX($L$2:$L$51, RANDBETWEEN(1,50))</f>
        <v>200</v>
      </c>
      <c r="Q474" s="19" t="b">
        <f ca="1">O474 &gt; P474</f>
        <v>0</v>
      </c>
      <c r="R474" s="19" t="b">
        <f ca="1">P474 &gt; O474</f>
        <v>1</v>
      </c>
    </row>
    <row r="475" spans="14:18" x14ac:dyDescent="0.15">
      <c r="N475" s="19">
        <v>0.17597425830363028</v>
      </c>
      <c r="O475" s="19">
        <f t="shared" si="14"/>
        <v>205.30746260312645</v>
      </c>
      <c r="P475" s="32" cm="1">
        <f t="array" aca="1" ref="P475" ca="1">INDEX($L$2:$L$51, RANDBETWEEN(1,50))</f>
        <v>300</v>
      </c>
      <c r="Q475" s="19" t="b">
        <f ca="1">O475 &gt; P475</f>
        <v>0</v>
      </c>
      <c r="R475" s="19" t="b">
        <f ca="1">P475 &gt; O475</f>
        <v>1</v>
      </c>
    </row>
    <row r="476" spans="14:18" x14ac:dyDescent="0.15">
      <c r="N476" s="19">
        <v>0.59935930911421742</v>
      </c>
      <c r="O476" s="19">
        <f t="shared" si="14"/>
        <v>264.24480937825615</v>
      </c>
      <c r="P476" s="32" cm="1">
        <f t="array" aca="1" ref="P476" ca="1">INDEX($L$2:$L$51, RANDBETWEEN(1,50))</f>
        <v>100</v>
      </c>
      <c r="Q476" s="19" t="b">
        <f ca="1">O476 &gt; P476</f>
        <v>1</v>
      </c>
      <c r="R476" s="19" t="b">
        <f ca="1">P476 &gt; O476</f>
        <v>0</v>
      </c>
    </row>
    <row r="477" spans="14:18" x14ac:dyDescent="0.15">
      <c r="N477" s="19">
        <v>0.43190828265245457</v>
      </c>
      <c r="O477" s="19">
        <f t="shared" si="14"/>
        <v>238.3453712447828</v>
      </c>
      <c r="P477" s="32" cm="1">
        <f t="array" aca="1" ref="P477" ca="1">INDEX($L$2:$L$51, RANDBETWEEN(1,50))</f>
        <v>100</v>
      </c>
      <c r="Q477" s="19" t="b">
        <f ca="1">O477 &gt; P477</f>
        <v>1</v>
      </c>
      <c r="R477" s="19" t="b">
        <f ca="1">P477 &gt; O477</f>
        <v>0</v>
      </c>
    </row>
    <row r="478" spans="14:18" x14ac:dyDescent="0.15">
      <c r="N478" s="19">
        <v>8.2506539804165502E-2</v>
      </c>
      <c r="O478" s="19">
        <f t="shared" si="14"/>
        <v>193.85990621626041</v>
      </c>
      <c r="P478" s="32" cm="1">
        <f t="array" aca="1" ref="P478" ca="1">INDEX($L$2:$L$51, RANDBETWEEN(1,50))</f>
        <v>300</v>
      </c>
      <c r="Q478" s="19" t="b">
        <f ca="1">O478 &gt; P478</f>
        <v>0</v>
      </c>
      <c r="R478" s="19" t="b">
        <f ca="1">P478 &gt; O478</f>
        <v>1</v>
      </c>
    </row>
    <row r="479" spans="14:18" x14ac:dyDescent="0.15">
      <c r="N479" s="19">
        <v>0.68741448860960752</v>
      </c>
      <c r="O479" s="19">
        <f t="shared" si="14"/>
        <v>280.08780911034086</v>
      </c>
      <c r="P479" s="32" cm="1">
        <f t="array" aca="1" ref="P479" ca="1">INDEX($L$2:$L$51, RANDBETWEEN(1,50))</f>
        <v>150</v>
      </c>
      <c r="Q479" s="19" t="b">
        <f ca="1">O479 &gt; P479</f>
        <v>1</v>
      </c>
      <c r="R479" s="19" t="b">
        <f ca="1">P479 &gt; O479</f>
        <v>0</v>
      </c>
    </row>
    <row r="480" spans="14:18" x14ac:dyDescent="0.15">
      <c r="N480" s="19">
        <v>0.3753100616742438</v>
      </c>
      <c r="O480" s="19">
        <f t="shared" si="14"/>
        <v>230.48381445128967</v>
      </c>
      <c r="P480" s="32" cm="1">
        <f t="array" aca="1" ref="P480" ca="1">INDEX($L$2:$L$51, RANDBETWEEN(1,50))</f>
        <v>200</v>
      </c>
      <c r="Q480" s="19" t="b">
        <f ca="1">O480 &gt; P480</f>
        <v>1</v>
      </c>
      <c r="R480" s="19" t="b">
        <f ca="1">P480 &gt; O480</f>
        <v>0</v>
      </c>
    </row>
    <row r="481" spans="14:18" x14ac:dyDescent="0.15">
      <c r="N481" s="19">
        <v>0.8362065590155342</v>
      </c>
      <c r="O481" s="19">
        <f t="shared" si="14"/>
        <v>313.19851219428654</v>
      </c>
      <c r="P481" s="32" cm="1">
        <f t="array" aca="1" ref="P481" ca="1">INDEX($L$2:$L$51, RANDBETWEEN(1,50))</f>
        <v>300</v>
      </c>
      <c r="Q481" s="19" t="b">
        <f ca="1">O481 &gt; P481</f>
        <v>1</v>
      </c>
      <c r="R481" s="19" t="b">
        <f ca="1">P481 &gt; O481</f>
        <v>0</v>
      </c>
    </row>
    <row r="482" spans="14:18" x14ac:dyDescent="0.15">
      <c r="N482" s="19">
        <v>0.12363737408241135</v>
      </c>
      <c r="O482" s="19">
        <f t="shared" si="14"/>
        <v>199.20783937864351</v>
      </c>
      <c r="P482" s="32" cm="1">
        <f t="array" aca="1" ref="P482" ca="1">INDEX($L$2:$L$51, RANDBETWEEN(1,50))</f>
        <v>250</v>
      </c>
      <c r="Q482" s="19" t="b">
        <f ca="1">O482 &gt; P482</f>
        <v>0</v>
      </c>
      <c r="R482" s="19" t="b">
        <f ca="1">P482 &gt; O482</f>
        <v>1</v>
      </c>
    </row>
    <row r="483" spans="14:18" x14ac:dyDescent="0.15">
      <c r="N483" s="19">
        <v>0.97334620308752462</v>
      </c>
      <c r="O483" s="19">
        <f t="shared" si="14"/>
        <v>364.98465110877993</v>
      </c>
      <c r="P483" s="32" cm="1">
        <f t="array" aca="1" ref="P483" ca="1">INDEX($L$2:$L$51, RANDBETWEEN(1,50))</f>
        <v>250</v>
      </c>
      <c r="Q483" s="19" t="b">
        <f ca="1">O483 &gt; P483</f>
        <v>1</v>
      </c>
      <c r="R483" s="19" t="b">
        <f ca="1">P483 &gt; O483</f>
        <v>0</v>
      </c>
    </row>
    <row r="484" spans="14:18" x14ac:dyDescent="0.15">
      <c r="N484" s="19">
        <v>2.9635292026044473E-2</v>
      </c>
      <c r="O484" s="19">
        <f t="shared" si="14"/>
        <v>184.29977324924096</v>
      </c>
      <c r="P484" s="32" cm="1">
        <f t="array" aca="1" ref="P484" ca="1">INDEX($L$2:$L$51, RANDBETWEEN(1,50))</f>
        <v>250</v>
      </c>
      <c r="Q484" s="19" t="b">
        <f ca="1">O484 &gt; P484</f>
        <v>0</v>
      </c>
      <c r="R484" s="19" t="b">
        <f ca="1">P484 &gt; O484</f>
        <v>1</v>
      </c>
    </row>
    <row r="485" spans="14:18" x14ac:dyDescent="0.15">
      <c r="N485" s="19">
        <v>8.0353081729427484E-2</v>
      </c>
      <c r="O485" s="19">
        <f t="shared" si="14"/>
        <v>193.54647030731039</v>
      </c>
      <c r="P485" s="32" cm="1">
        <f t="array" aca="1" ref="P485" ca="1">INDEX($L$2:$L$51, RANDBETWEEN(1,50))</f>
        <v>100</v>
      </c>
      <c r="Q485" s="19" t="b">
        <f ca="1">O485 &gt; P485</f>
        <v>1</v>
      </c>
      <c r="R485" s="19" t="b">
        <f ca="1">P485 &gt; O485</f>
        <v>0</v>
      </c>
    </row>
    <row r="486" spans="14:18" x14ac:dyDescent="0.15">
      <c r="N486" s="19">
        <v>0.49424462648771916</v>
      </c>
      <c r="O486" s="19">
        <f t="shared" si="14"/>
        <v>247.47214293262715</v>
      </c>
      <c r="P486" s="32" cm="1">
        <f t="array" aca="1" ref="P486" ca="1">INDEX($L$2:$L$51, RANDBETWEEN(1,50))</f>
        <v>300</v>
      </c>
      <c r="Q486" s="19" t="b">
        <f ca="1">O486 &gt; P486</f>
        <v>0</v>
      </c>
      <c r="R486" s="19" t="b">
        <f ca="1">P486 &gt; O486</f>
        <v>1</v>
      </c>
    </row>
    <row r="487" spans="14:18" x14ac:dyDescent="0.15">
      <c r="N487" s="19">
        <v>0.76943737909637266</v>
      </c>
      <c r="O487" s="19">
        <f t="shared" si="14"/>
        <v>297.01514401832247</v>
      </c>
      <c r="P487" s="32" cm="1">
        <f t="array" aca="1" ref="P487" ca="1">INDEX($L$2:$L$51, RANDBETWEEN(1,50))</f>
        <v>200</v>
      </c>
      <c r="Q487" s="19" t="b">
        <f ca="1">O487 &gt; P487</f>
        <v>1</v>
      </c>
      <c r="R487" s="19" t="b">
        <f ca="1">P487 &gt; O487</f>
        <v>0</v>
      </c>
    </row>
    <row r="488" spans="14:18" x14ac:dyDescent="0.15">
      <c r="N488" s="19">
        <v>0.93403047273588857</v>
      </c>
      <c r="O488" s="19">
        <f t="shared" si="14"/>
        <v>344.91281225049579</v>
      </c>
      <c r="P488" s="32" cm="1">
        <f t="array" aca="1" ref="P488" ca="1">INDEX($L$2:$L$51, RANDBETWEEN(1,50))</f>
        <v>200</v>
      </c>
      <c r="Q488" s="19" t="b">
        <f ca="1">O488 &gt; P488</f>
        <v>1</v>
      </c>
      <c r="R488" s="19" t="b">
        <f ca="1">P488 &gt; O488</f>
        <v>0</v>
      </c>
    </row>
    <row r="489" spans="14:18" x14ac:dyDescent="0.15">
      <c r="N489" s="19">
        <v>0.25015527207877269</v>
      </c>
      <c r="O489" s="19">
        <f t="shared" si="14"/>
        <v>214.2774717909094</v>
      </c>
      <c r="P489" s="32" cm="1">
        <f t="array" aca="1" ref="P489" ca="1">INDEX($L$2:$L$51, RANDBETWEEN(1,50))</f>
        <v>300</v>
      </c>
      <c r="Q489" s="19" t="b">
        <f ca="1">O489 &gt; P489</f>
        <v>0</v>
      </c>
      <c r="R489" s="19" t="b">
        <f ca="1">P489 &gt; O489</f>
        <v>1</v>
      </c>
    </row>
    <row r="490" spans="14:18" x14ac:dyDescent="0.15">
      <c r="N490" s="19">
        <v>0.35965782793222828</v>
      </c>
      <c r="O490" s="19">
        <f t="shared" si="14"/>
        <v>228.37325407991474</v>
      </c>
      <c r="P490" s="32" cm="1">
        <f t="array" aca="1" ref="P490" ca="1">INDEX($L$2:$L$51, RANDBETWEEN(1,50))</f>
        <v>300</v>
      </c>
      <c r="Q490" s="19" t="b">
        <f ca="1">O490 &gt; P490</f>
        <v>0</v>
      </c>
      <c r="R490" s="19" t="b">
        <f ca="1">P490 &gt; O490</f>
        <v>1</v>
      </c>
    </row>
    <row r="491" spans="14:18" x14ac:dyDescent="0.15">
      <c r="N491" s="19">
        <v>0.76911405696026702</v>
      </c>
      <c r="O491" s="19">
        <f t="shared" si="14"/>
        <v>296.94296055180064</v>
      </c>
      <c r="P491" s="32" cm="1">
        <f t="array" aca="1" ref="P491" ca="1">INDEX($L$2:$L$51, RANDBETWEEN(1,50))</f>
        <v>200</v>
      </c>
      <c r="Q491" s="19" t="b">
        <f ca="1">O491 &gt; P491</f>
        <v>1</v>
      </c>
      <c r="R491" s="19" t="b">
        <f ca="1">P491 &gt; O491</f>
        <v>0</v>
      </c>
    </row>
    <row r="492" spans="14:18" x14ac:dyDescent="0.15">
      <c r="N492" s="19">
        <v>0.49995533120816354</v>
      </c>
      <c r="O492" s="19">
        <f t="shared" si="14"/>
        <v>248.33571691256876</v>
      </c>
      <c r="P492" s="32" cm="1">
        <f t="array" aca="1" ref="P492" ca="1">INDEX($L$2:$L$51, RANDBETWEEN(1,50))</f>
        <v>300</v>
      </c>
      <c r="Q492" s="19" t="b">
        <f ca="1">O492 &gt; P492</f>
        <v>0</v>
      </c>
      <c r="R492" s="19" t="b">
        <f ca="1">P492 &gt; O492</f>
        <v>1</v>
      </c>
    </row>
    <row r="493" spans="14:18" x14ac:dyDescent="0.15">
      <c r="N493" s="19">
        <v>0.74925161560496856</v>
      </c>
      <c r="O493" s="19">
        <f t="shared" si="14"/>
        <v>292.60155642574961</v>
      </c>
      <c r="P493" s="32" cm="1">
        <f t="array" aca="1" ref="P493" ca="1">INDEX($L$2:$L$51, RANDBETWEEN(1,50))</f>
        <v>150</v>
      </c>
      <c r="Q493" s="19" t="b">
        <f ca="1">O493 &gt; P493</f>
        <v>1</v>
      </c>
      <c r="R493" s="19" t="b">
        <f ca="1">P493 &gt; O493</f>
        <v>0</v>
      </c>
    </row>
    <row r="494" spans="14:18" x14ac:dyDescent="0.15">
      <c r="N494" s="19">
        <v>0.67190347270663053</v>
      </c>
      <c r="O494" s="19">
        <f t="shared" si="14"/>
        <v>277.14870674064923</v>
      </c>
      <c r="P494" s="32" cm="1">
        <f t="array" aca="1" ref="P494" ca="1">INDEX($L$2:$L$51, RANDBETWEEN(1,50))</f>
        <v>100</v>
      </c>
      <c r="Q494" s="19" t="b">
        <f ca="1">O494 &gt; P494</f>
        <v>1</v>
      </c>
      <c r="R494" s="19" t="b">
        <f ca="1">P494 &gt; O494</f>
        <v>0</v>
      </c>
    </row>
    <row r="495" spans="14:18" x14ac:dyDescent="0.15">
      <c r="N495" s="19">
        <v>0.68166578034016578</v>
      </c>
      <c r="O495" s="19">
        <f t="shared" si="14"/>
        <v>278.99019004910235</v>
      </c>
      <c r="P495" s="32" cm="1">
        <f t="array" aca="1" ref="P495" ca="1">INDEX($L$2:$L$51, RANDBETWEEN(1,50))</f>
        <v>300</v>
      </c>
      <c r="Q495" s="19" t="b">
        <f ca="1">O495 &gt; P495</f>
        <v>0</v>
      </c>
      <c r="R495" s="19" t="b">
        <f ca="1">P495 &gt; O495</f>
        <v>1</v>
      </c>
    </row>
    <row r="496" spans="14:18" x14ac:dyDescent="0.15">
      <c r="N496" s="19">
        <v>0.75677017716540496</v>
      </c>
      <c r="O496" s="19">
        <f t="shared" si="14"/>
        <v>294.22395426945013</v>
      </c>
      <c r="P496" s="32" cm="1">
        <f t="array" aca="1" ref="P496" ca="1">INDEX($L$2:$L$51, RANDBETWEEN(1,50))</f>
        <v>300</v>
      </c>
      <c r="Q496" s="19" t="b">
        <f ca="1">O496 &gt; P496</f>
        <v>0</v>
      </c>
      <c r="R496" s="19" t="b">
        <f ca="1">P496 &gt; O496</f>
        <v>1</v>
      </c>
    </row>
    <row r="497" spans="14:18" x14ac:dyDescent="0.15">
      <c r="N497" s="19">
        <v>3.6367618961430911E-2</v>
      </c>
      <c r="O497" s="19">
        <f t="shared" si="14"/>
        <v>185.84097758453919</v>
      </c>
      <c r="P497" s="32" cm="1">
        <f t="array" aca="1" ref="P497" ca="1">INDEX($L$2:$L$51, RANDBETWEEN(1,50))</f>
        <v>300</v>
      </c>
      <c r="Q497" s="19" t="b">
        <f ca="1">O497 &gt; P497</f>
        <v>0</v>
      </c>
      <c r="R497" s="19" t="b">
        <f ca="1">P497 &gt; O497</f>
        <v>1</v>
      </c>
    </row>
    <row r="498" spans="14:18" x14ac:dyDescent="0.15">
      <c r="N498" s="19">
        <v>0.23057188476928131</v>
      </c>
      <c r="O498" s="19">
        <f t="shared" si="14"/>
        <v>211.86788338879228</v>
      </c>
      <c r="P498" s="32" cm="1">
        <f t="array" aca="1" ref="P498" ca="1">INDEX($L$2:$L$51, RANDBETWEEN(1,50))</f>
        <v>250</v>
      </c>
      <c r="Q498" s="19" t="b">
        <f ca="1">O498 &gt; P498</f>
        <v>0</v>
      </c>
      <c r="R498" s="19" t="b">
        <f ca="1">P498 &gt; O498</f>
        <v>1</v>
      </c>
    </row>
    <row r="499" spans="14:18" x14ac:dyDescent="0.15">
      <c r="N499" s="19">
        <v>0.22166731731112455</v>
      </c>
      <c r="O499" s="19">
        <f t="shared" si="14"/>
        <v>210.78239140162384</v>
      </c>
      <c r="P499" s="32" cm="1">
        <f t="array" aca="1" ref="P499" ca="1">INDEX($L$2:$L$51, RANDBETWEEN(1,50))</f>
        <v>150</v>
      </c>
      <c r="Q499" s="19" t="b">
        <f ca="1">O499 &gt; P499</f>
        <v>1</v>
      </c>
      <c r="R499" s="19" t="b">
        <f ca="1">P499 &gt; O499</f>
        <v>0</v>
      </c>
    </row>
    <row r="500" spans="14:18" x14ac:dyDescent="0.15">
      <c r="N500" s="19">
        <v>0.56260204807045033</v>
      </c>
      <c r="O500" s="19">
        <f t="shared" si="14"/>
        <v>258.15393629444884</v>
      </c>
      <c r="P500" s="32" cm="1">
        <f t="array" aca="1" ref="P500" ca="1">INDEX($L$2:$L$51, RANDBETWEEN(1,50))</f>
        <v>250</v>
      </c>
      <c r="Q500" s="19" t="b">
        <f ca="1">O500 &gt; P500</f>
        <v>1</v>
      </c>
      <c r="R500" s="19" t="b">
        <f ca="1">P500 &gt; O500</f>
        <v>0</v>
      </c>
    </row>
    <row r="501" spans="14:18" x14ac:dyDescent="0.15">
      <c r="N501" s="19">
        <v>0.65262192005879338</v>
      </c>
      <c r="O501" s="19">
        <f t="shared" si="14"/>
        <v>273.59038138932817</v>
      </c>
      <c r="P501" s="32" cm="1">
        <f t="array" aca="1" ref="P501" ca="1">INDEX($L$2:$L$51, RANDBETWEEN(1,50))</f>
        <v>300</v>
      </c>
      <c r="Q501" s="19" t="b">
        <f ca="1">O501 &gt; P501</f>
        <v>0</v>
      </c>
      <c r="R501" s="19" t="b">
        <f ca="1">P501 &gt; O501</f>
        <v>1</v>
      </c>
    </row>
    <row r="502" spans="14:18" x14ac:dyDescent="0.15">
      <c r="O502" s="27" t="str">
        <f ca="1">_xlfn.FORMULATEXT(O501)</f>
        <v>=IF(N501&lt;(200-170)/(400-170),
    170 + SQRT(N501*(400-170)*(200-170)),
    400 - SQRT((1-N501)*(400-170)*(400-200))
  )</v>
      </c>
    </row>
  </sheetData>
  <mergeCells count="2">
    <mergeCell ref="A62:B62"/>
    <mergeCell ref="A66:B66"/>
  </mergeCells>
  <printOptions headings="1"/>
  <pageMargins left="0.43307086614173229" right="7.874015748031496E-2" top="0.43307086614173229" bottom="7.874015748031496E-2" header="7.874015748031496E-2" footer="7.874015748031496E-2"/>
  <pageSetup paperSize="9" scale="34" fitToHeight="10" orientation="landscape" blackAndWhite="1"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01FC7ADD27A134B92D0C21C975B5030" ma:contentTypeVersion="8" ma:contentTypeDescription="Create a new document." ma:contentTypeScope="" ma:versionID="29b2d8f5016614ee7db90ae61d94d5a1">
  <xsd:schema xmlns:xsd="http://www.w3.org/2001/XMLSchema" xmlns:xs="http://www.w3.org/2001/XMLSchema" xmlns:p="http://schemas.microsoft.com/office/2006/metadata/properties" xmlns:ns2="89c7a8c3-a03a-420b-ac21-90cd38a91df7" targetNamespace="http://schemas.microsoft.com/office/2006/metadata/properties" ma:root="true" ma:fieldsID="230fff80464bdb34158622049499dd70" ns2:_="">
    <xsd:import namespace="89c7a8c3-a03a-420b-ac21-90cd38a91d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7a8c3-a03a-420b-ac21-90cd38a91d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5F9252-95B8-4BBF-88F9-B52CF037EEEA}">
  <ds:schemaRefs>
    <ds:schemaRef ds:uri="http://www.w3.org/XML/1998/namespace"/>
    <ds:schemaRef ds:uri="http://purl.org/dc/dcmitype/"/>
    <ds:schemaRef ds:uri="http://purl.org/dc/elements/1.1/"/>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89c7a8c3-a03a-420b-ac21-90cd38a91df7"/>
    <ds:schemaRef ds:uri="http://schemas.microsoft.com/office/2006/metadata/properties"/>
  </ds:schemaRefs>
</ds:datastoreItem>
</file>

<file path=customXml/itemProps2.xml><?xml version="1.0" encoding="utf-8"?>
<ds:datastoreItem xmlns:ds="http://schemas.openxmlformats.org/officeDocument/2006/customXml" ds:itemID="{897A6AE6-D068-4320-B002-DD4A04E895B3}">
  <ds:schemaRefs>
    <ds:schemaRef ds:uri="http://schemas.microsoft.com/sharepoint/v3/contenttype/forms"/>
  </ds:schemaRefs>
</ds:datastoreItem>
</file>

<file path=customXml/itemProps3.xml><?xml version="1.0" encoding="utf-8"?>
<ds:datastoreItem xmlns:ds="http://schemas.openxmlformats.org/officeDocument/2006/customXml" ds:itemID="{6B57490A-3751-4D79-9C38-10D161AAA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c7a8c3-a03a-420b-ac21-90cd38a91d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เวิร์กชีต</vt:lpstr>
      </vt:variant>
      <vt:variant>
        <vt:i4>7</vt:i4>
      </vt:variant>
    </vt:vector>
  </HeadingPairs>
  <TitlesOfParts>
    <vt:vector size="7" baseType="lpstr">
      <vt:lpstr>Stdev</vt:lpstr>
      <vt:lpstr>Basic</vt:lpstr>
      <vt:lpstr>Binomial</vt:lpstr>
      <vt:lpstr>Empirical</vt:lpstr>
      <vt:lpstr>Monte Carlo Simulation</vt:lpstr>
      <vt:lpstr>Investing a</vt:lpstr>
      <vt:lpstr>HW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Bunthit Watanapa</dc:creator>
  <cp:keywords/>
  <dc:description/>
  <cp:lastModifiedBy>KRISSANA PIPUTPRUEDTIGUL</cp:lastModifiedBy>
  <cp:revision/>
  <cp:lastPrinted>2025-05-09T12:37:06Z</cp:lastPrinted>
  <dcterms:created xsi:type="dcterms:W3CDTF">2021-10-16T10:15:20Z</dcterms:created>
  <dcterms:modified xsi:type="dcterms:W3CDTF">2025-05-09T16:06:07Z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0x010100501FC7ADD27A134B92D0C21C975B5030</vt:lpwstr>
  </property>
</Properties>
</file>