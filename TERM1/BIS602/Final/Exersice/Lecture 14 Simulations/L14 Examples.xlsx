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4 Simulations/"/>
    </mc:Choice>
  </mc:AlternateContent>
  <xr:revisionPtr revIDLastSave="8" documentId="13_ncr:1_{B412C9AE-D8FE-8948-9E3F-145171046CDA}" xr6:coauthVersionLast="47" xr6:coauthVersionMax="47" xr10:uidLastSave="{2C5C2220-679E-394B-8AF0-5B0B273078CC}"/>
  <bookViews>
    <workbookView xWindow="0" yWindow="760" windowWidth="30240" windowHeight="17660" activeTab="2" xr2:uid="{58FBB06B-7D2D-FF4D-908E-0486683475D2}"/>
  </bookViews>
  <sheets>
    <sheet name="Risk" sheetId="4" r:id="rId1"/>
    <sheet name="Customer reaction" sheetId="2" r:id="rId2"/>
    <sheet name="Medical supp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N2" i="3"/>
  <c r="L3" i="3"/>
  <c r="L4" i="3"/>
  <c r="L5" i="3"/>
  <c r="L2" i="3"/>
  <c r="F5" i="3"/>
  <c r="F4" i="3"/>
  <c r="F3" i="3"/>
  <c r="E3" i="3"/>
  <c r="C2" i="2"/>
  <c r="C3" i="2"/>
  <c r="C4" i="2"/>
  <c r="C5" i="2"/>
  <c r="C6" i="2"/>
  <c r="C7" i="2"/>
  <c r="C8" i="2"/>
  <c r="C9" i="2"/>
  <c r="C10" i="2"/>
  <c r="C11" i="2"/>
  <c r="C1" i="2"/>
  <c r="C7" i="4"/>
  <c r="D7" i="4"/>
  <c r="B7" i="4"/>
  <c r="D5" i="4"/>
  <c r="B5" i="4"/>
  <c r="C5" i="4"/>
  <c r="C3" i="4"/>
  <c r="D3" i="4"/>
  <c r="B3" i="4"/>
  <c r="B6" i="3"/>
  <c r="D2" i="3"/>
  <c r="F2" i="3"/>
  <c r="D4" i="3"/>
  <c r="D5" i="3"/>
  <c r="D3" i="3"/>
  <c r="E4" i="3"/>
  <c r="E5" i="3"/>
  <c r="J57" i="3"/>
  <c r="J27" i="3"/>
  <c r="J91" i="3"/>
  <c r="J42" i="3"/>
  <c r="J3" i="3"/>
  <c r="J53" i="3"/>
  <c r="J60" i="3"/>
  <c r="J54" i="3"/>
  <c r="J87" i="3"/>
  <c r="J72" i="3"/>
  <c r="J100" i="3"/>
  <c r="J63" i="3"/>
  <c r="J99" i="3"/>
  <c r="J50" i="3"/>
  <c r="J4" i="3"/>
  <c r="J84" i="3"/>
  <c r="J62" i="3"/>
  <c r="J95" i="3"/>
  <c r="J80" i="3"/>
  <c r="J7" i="3"/>
  <c r="J79" i="3"/>
  <c r="J9" i="3"/>
  <c r="J73" i="3"/>
  <c r="J43" i="3"/>
  <c r="J44" i="3"/>
  <c r="J58" i="3"/>
  <c r="J5" i="3"/>
  <c r="J69" i="3"/>
  <c r="J70" i="3"/>
  <c r="J16" i="3"/>
  <c r="J96" i="3"/>
  <c r="J32" i="3"/>
  <c r="J17" i="3"/>
  <c r="J81" i="3"/>
  <c r="J51" i="3"/>
  <c r="J66" i="3"/>
  <c r="J13" i="3"/>
  <c r="J77" i="3"/>
  <c r="J14" i="3"/>
  <c r="J78" i="3"/>
  <c r="J12" i="3"/>
  <c r="J23" i="3"/>
  <c r="J88" i="3"/>
  <c r="J25" i="3"/>
  <c r="J59" i="3"/>
  <c r="J10" i="3"/>
  <c r="J74" i="3"/>
  <c r="J21" i="3"/>
  <c r="J22" i="3"/>
  <c r="J86" i="3"/>
  <c r="J40" i="3"/>
  <c r="J20" i="3"/>
  <c r="J76" i="3"/>
  <c r="J33" i="3"/>
  <c r="J97" i="3"/>
  <c r="J18" i="3"/>
  <c r="J82" i="3"/>
  <c r="J29" i="3"/>
  <c r="J30" i="3"/>
  <c r="J94" i="3"/>
  <c r="J48" i="3"/>
  <c r="J28" i="3"/>
  <c r="J8" i="3"/>
  <c r="J41" i="3"/>
  <c r="J11" i="3"/>
  <c r="J26" i="3"/>
  <c r="J90" i="3"/>
  <c r="J37" i="3"/>
  <c r="J38" i="3"/>
  <c r="J56" i="3"/>
  <c r="J52" i="3"/>
  <c r="J49" i="3"/>
  <c r="J19" i="3"/>
  <c r="J34" i="3"/>
  <c r="J98" i="3"/>
  <c r="J45" i="3"/>
  <c r="J46" i="3"/>
  <c r="J71" i="3"/>
  <c r="J64" i="3"/>
  <c r="J55" i="3"/>
  <c r="J65" i="3"/>
  <c r="J35" i="3"/>
  <c r="J61" i="3"/>
  <c r="J6" i="3"/>
  <c r="J15" i="3"/>
  <c r="J92" i="3"/>
  <c r="J24" i="3"/>
  <c r="J89" i="3"/>
  <c r="J85" i="3"/>
  <c r="J31" i="3"/>
  <c r="J67" i="3"/>
  <c r="J93" i="3"/>
  <c r="J39" i="3"/>
  <c r="J75" i="3"/>
  <c r="J101" i="3"/>
  <c r="J47" i="3"/>
  <c r="J83" i="3"/>
  <c r="J36" i="3"/>
  <c r="J68" i="3"/>
  <c r="M2" i="3"/>
</calcChain>
</file>

<file path=xl/sharedStrings.xml><?xml version="1.0" encoding="utf-8"?>
<sst xmlns="http://schemas.openxmlformats.org/spreadsheetml/2006/main" count="26" uniqueCount="20">
  <si>
    <t>Frequency</t>
  </si>
  <si>
    <t>Ventilator demand</t>
  </si>
  <si>
    <t>Relative freq.</t>
  </si>
  <si>
    <t>Prob. Range (lower)</t>
  </si>
  <si>
    <t>Prob range (Upper)</t>
  </si>
  <si>
    <t>Week</t>
  </si>
  <si>
    <t>Random no.</t>
  </si>
  <si>
    <t>Simulated demand</t>
  </si>
  <si>
    <t>Mean</t>
  </si>
  <si>
    <t>Stdev.</t>
  </si>
  <si>
    <t>Worst</t>
  </si>
  <si>
    <t>Expected</t>
  </si>
  <si>
    <t>best</t>
  </si>
  <si>
    <t>Demand</t>
  </si>
  <si>
    <t>Sale price</t>
  </si>
  <si>
    <t>income</t>
  </si>
  <si>
    <t>Fixed cost</t>
  </si>
  <si>
    <t>Variable cost</t>
  </si>
  <si>
    <t>Profit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</si>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</sst>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"/>
  </numFmts>
  <fonts count="1" x14ac:knownFonts="1">
    <font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87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0" borderId="5" xfId="0" applyBorder="1"/>
    <xf numFmtId="0" fontId="0" fillId="0" borderId="3" xfId="0" applyBorder="1"/>
    <xf numFmtId="0" fontId="0" fillId="0" borderId="10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'Customer reaction'!$D$1:$D$11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'Customer reaction'!$C$1:$C$11</c:f>
              <c:numCache>
                <c:formatCode>General</c:formatCode>
                <c:ptCount val="11"/>
                <c:pt idx="0">
                  <c:v>4</c:v>
                </c:pt>
                <c:pt idx="1">
                  <c:v>17</c:v>
                </c:pt>
                <c:pt idx="2">
                  <c:v>18</c:v>
                </c:pt>
                <c:pt idx="3">
                  <c:v>27</c:v>
                </c:pt>
                <c:pt idx="4">
                  <c:v>22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0-3C4A-92FB-F580A9C9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038895"/>
        <c:axId val="762755951"/>
      </c:barChart>
      <c:catAx>
        <c:axId val="53103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762755951"/>
        <c:crosses val="autoZero"/>
        <c:auto val="1"/>
        <c:lblAlgn val="ctr"/>
        <c:lblOffset val="100"/>
        <c:noMultiLvlLbl val="0"/>
      </c:catAx>
      <c:valAx>
        <c:axId val="76275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53103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339298</xdr:colOff>
      <xdr:row>13</xdr:row>
      <xdr:rowOff>54780</xdr:rowOff>
    </xdr:from>
    <xdr:to>
      <xdr:col>6</xdr:col>
      <xdr:colOff>788537</xdr:colOff>
      <xdr:row>27</xdr:row>
      <xdr:rowOff>11562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006CF1-4267-8487-57BF-94D16097D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0A16-BC93-4140-B2AD-92DD88820CCA}">
  <dimension ref="A1:G7"/>
  <sheetViews>
    <sheetView workbookViewId="0">
      <selection activeCell="I32" sqref="I32"/>
    </sheetView>
  </sheetViews>
  <sheetFormatPr baseColWidth="10" defaultRowHeight="15" x14ac:dyDescent="0.15"/>
  <sheetData>
    <row r="1" spans="1:7" x14ac:dyDescent="0.15">
      <c r="A1" s="8"/>
      <c r="B1" s="9" t="s">
        <v>10</v>
      </c>
      <c r="C1" s="9" t="s">
        <v>11</v>
      </c>
      <c r="D1" s="10" t="s">
        <v>12</v>
      </c>
      <c r="F1" t="s">
        <v>14</v>
      </c>
      <c r="G1">
        <v>65</v>
      </c>
    </row>
    <row r="2" spans="1:7" x14ac:dyDescent="0.15">
      <c r="A2" s="7" t="s">
        <v>13</v>
      </c>
      <c r="B2" s="6">
        <v>2500</v>
      </c>
      <c r="C2" s="6">
        <v>3500</v>
      </c>
      <c r="D2" s="4">
        <v>5000</v>
      </c>
    </row>
    <row r="3" spans="1:7" x14ac:dyDescent="0.15">
      <c r="A3" s="7" t="s">
        <v>15</v>
      </c>
      <c r="B3" s="6">
        <f>B2*$G1</f>
        <v>162500</v>
      </c>
      <c r="C3" s="6">
        <f t="shared" ref="C3:D3" si="0">C2*$G1</f>
        <v>227500</v>
      </c>
      <c r="D3" s="4">
        <f t="shared" si="0"/>
        <v>325000</v>
      </c>
    </row>
    <row r="4" spans="1:7" x14ac:dyDescent="0.15">
      <c r="A4" s="7" t="s">
        <v>16</v>
      </c>
      <c r="B4" s="6">
        <v>52000</v>
      </c>
      <c r="C4" s="6">
        <v>43000</v>
      </c>
      <c r="D4" s="4">
        <v>31000</v>
      </c>
    </row>
    <row r="5" spans="1:7" x14ac:dyDescent="0.15">
      <c r="A5" s="7" t="s">
        <v>17</v>
      </c>
      <c r="B5" s="6">
        <f>46*B2</f>
        <v>115000</v>
      </c>
      <c r="C5" s="6">
        <f>40*C2</f>
        <v>140000</v>
      </c>
      <c r="D5" s="4">
        <f>35*D2</f>
        <v>175000</v>
      </c>
    </row>
    <row r="6" spans="1:7" ht="16" thickBot="1" x14ac:dyDescent="0.2">
      <c r="A6" s="7"/>
      <c r="B6" s="6"/>
      <c r="C6" s="6"/>
      <c r="D6" s="4"/>
    </row>
    <row r="7" spans="1:7" ht="16" thickBot="1" x14ac:dyDescent="0.2">
      <c r="A7" s="5" t="s">
        <v>18</v>
      </c>
      <c r="B7" s="11">
        <f>B3-B4-B5</f>
        <v>-4500</v>
      </c>
      <c r="C7" s="12">
        <f t="shared" ref="C7:D7" si="1">C3-C4-C5</f>
        <v>44500</v>
      </c>
      <c r="D7" s="13">
        <f t="shared" si="1"/>
        <v>119000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32F3-50BC-5540-9C21-15EC523D1F03}">
  <dimension ref="A1:D100"/>
  <sheetViews>
    <sheetView zoomScale="134" workbookViewId="0">
      <selection activeCell="H10" sqref="H10"/>
    </sheetView>
  </sheetViews>
  <sheetFormatPr baseColWidth="10" defaultRowHeight="15" x14ac:dyDescent="0.15"/>
  <sheetData>
    <row r="1" spans="1:4" x14ac:dyDescent="0.15">
      <c r="A1">
        <v>4</v>
      </c>
      <c r="C1">
        <f>COUNTIF(A$1:A$100,D1)</f>
        <v>4</v>
      </c>
      <c r="D1">
        <v>0</v>
      </c>
    </row>
    <row r="2" spans="1:4" x14ac:dyDescent="0.15">
      <c r="A2">
        <v>4</v>
      </c>
      <c r="C2">
        <f t="shared" ref="C2:C11" si="0">COUNTIF(A$1:A$100,D2)</f>
        <v>17</v>
      </c>
      <c r="D2">
        <v>1</v>
      </c>
    </row>
    <row r="3" spans="1:4" x14ac:dyDescent="0.15">
      <c r="A3">
        <v>1</v>
      </c>
      <c r="C3">
        <f t="shared" si="0"/>
        <v>18</v>
      </c>
      <c r="D3">
        <v>2</v>
      </c>
    </row>
    <row r="4" spans="1:4" x14ac:dyDescent="0.15">
      <c r="A4">
        <v>2</v>
      </c>
      <c r="C4">
        <f t="shared" si="0"/>
        <v>27</v>
      </c>
      <c r="D4">
        <v>3</v>
      </c>
    </row>
    <row r="5" spans="1:4" x14ac:dyDescent="0.15">
      <c r="A5">
        <v>3</v>
      </c>
      <c r="C5">
        <f t="shared" si="0"/>
        <v>22</v>
      </c>
      <c r="D5">
        <v>4</v>
      </c>
    </row>
    <row r="6" spans="1:4" x14ac:dyDescent="0.15">
      <c r="A6">
        <v>4</v>
      </c>
      <c r="C6">
        <f t="shared" si="0"/>
        <v>6</v>
      </c>
      <c r="D6">
        <v>5</v>
      </c>
    </row>
    <row r="7" spans="1:4" x14ac:dyDescent="0.15">
      <c r="A7">
        <v>3</v>
      </c>
      <c r="C7">
        <f t="shared" si="0"/>
        <v>4</v>
      </c>
      <c r="D7">
        <v>6</v>
      </c>
    </row>
    <row r="8" spans="1:4" x14ac:dyDescent="0.15">
      <c r="A8">
        <v>2</v>
      </c>
      <c r="C8">
        <f t="shared" si="0"/>
        <v>2</v>
      </c>
      <c r="D8">
        <v>7</v>
      </c>
    </row>
    <row r="9" spans="1:4" x14ac:dyDescent="0.15">
      <c r="A9">
        <v>2</v>
      </c>
      <c r="C9">
        <f t="shared" si="0"/>
        <v>0</v>
      </c>
      <c r="D9">
        <v>8</v>
      </c>
    </row>
    <row r="10" spans="1:4" x14ac:dyDescent="0.15">
      <c r="A10">
        <v>2</v>
      </c>
      <c r="C10">
        <f t="shared" si="0"/>
        <v>0</v>
      </c>
      <c r="D10">
        <v>9</v>
      </c>
    </row>
    <row r="11" spans="1:4" x14ac:dyDescent="0.15">
      <c r="A11">
        <v>4</v>
      </c>
      <c r="C11">
        <f t="shared" si="0"/>
        <v>0</v>
      </c>
      <c r="D11">
        <v>10</v>
      </c>
    </row>
    <row r="12" spans="1:4" x14ac:dyDescent="0.15">
      <c r="A12">
        <v>3</v>
      </c>
      <c r="D12" t="s">
        <v>19</v>
      </c>
    </row>
    <row r="13" spans="1:4" x14ac:dyDescent="0.15">
      <c r="A13">
        <v>6</v>
      </c>
      <c r="D13" t="s">
        <v>19</v>
      </c>
    </row>
    <row r="14" spans="1:4" x14ac:dyDescent="0.15">
      <c r="A14">
        <v>2</v>
      </c>
    </row>
    <row r="15" spans="1:4" x14ac:dyDescent="0.15">
      <c r="A15">
        <v>3</v>
      </c>
    </row>
    <row r="16" spans="1:4" x14ac:dyDescent="0.15">
      <c r="A16">
        <v>3</v>
      </c>
    </row>
    <row r="17" spans="1:1" x14ac:dyDescent="0.15">
      <c r="A17">
        <v>4</v>
      </c>
    </row>
    <row r="18" spans="1:1" x14ac:dyDescent="0.15">
      <c r="A18">
        <v>6</v>
      </c>
    </row>
    <row r="19" spans="1:1" x14ac:dyDescent="0.15">
      <c r="A19">
        <v>2</v>
      </c>
    </row>
    <row r="20" spans="1:1" x14ac:dyDescent="0.15">
      <c r="A20">
        <v>0</v>
      </c>
    </row>
    <row r="21" spans="1:1" x14ac:dyDescent="0.15">
      <c r="A21">
        <v>2</v>
      </c>
    </row>
    <row r="22" spans="1:1" x14ac:dyDescent="0.15">
      <c r="A22">
        <v>1</v>
      </c>
    </row>
    <row r="23" spans="1:1" x14ac:dyDescent="0.15">
      <c r="A23">
        <v>2</v>
      </c>
    </row>
    <row r="24" spans="1:1" x14ac:dyDescent="0.15">
      <c r="A24">
        <v>2</v>
      </c>
    </row>
    <row r="25" spans="1:1" x14ac:dyDescent="0.15">
      <c r="A25">
        <v>2</v>
      </c>
    </row>
    <row r="26" spans="1:1" x14ac:dyDescent="0.15">
      <c r="A26">
        <v>3</v>
      </c>
    </row>
    <row r="27" spans="1:1" x14ac:dyDescent="0.15">
      <c r="A27">
        <v>5</v>
      </c>
    </row>
    <row r="28" spans="1:1" x14ac:dyDescent="0.15">
      <c r="A28">
        <v>3</v>
      </c>
    </row>
    <row r="29" spans="1:1" x14ac:dyDescent="0.15">
      <c r="A29">
        <v>6</v>
      </c>
    </row>
    <row r="30" spans="1:1" x14ac:dyDescent="0.15">
      <c r="A30">
        <v>5</v>
      </c>
    </row>
    <row r="31" spans="1:1" x14ac:dyDescent="0.15">
      <c r="A31">
        <v>3</v>
      </c>
    </row>
    <row r="32" spans="1:1" x14ac:dyDescent="0.15">
      <c r="A32">
        <v>2</v>
      </c>
    </row>
    <row r="33" spans="1:1" x14ac:dyDescent="0.15">
      <c r="A33">
        <v>1</v>
      </c>
    </row>
    <row r="34" spans="1:1" x14ac:dyDescent="0.15">
      <c r="A34">
        <v>4</v>
      </c>
    </row>
    <row r="35" spans="1:1" x14ac:dyDescent="0.15">
      <c r="A35">
        <v>0</v>
      </c>
    </row>
    <row r="36" spans="1:1" x14ac:dyDescent="0.15">
      <c r="A36">
        <v>1</v>
      </c>
    </row>
    <row r="37" spans="1:1" x14ac:dyDescent="0.15">
      <c r="A37">
        <v>4</v>
      </c>
    </row>
    <row r="38" spans="1:1" x14ac:dyDescent="0.15">
      <c r="A38">
        <v>2</v>
      </c>
    </row>
    <row r="39" spans="1:1" x14ac:dyDescent="0.15">
      <c r="A39">
        <v>5</v>
      </c>
    </row>
    <row r="40" spans="1:1" x14ac:dyDescent="0.15">
      <c r="A40">
        <v>3</v>
      </c>
    </row>
    <row r="41" spans="1:1" x14ac:dyDescent="0.15">
      <c r="A41">
        <v>1</v>
      </c>
    </row>
    <row r="42" spans="1:1" x14ac:dyDescent="0.15">
      <c r="A42">
        <v>7</v>
      </c>
    </row>
    <row r="43" spans="1:1" x14ac:dyDescent="0.15">
      <c r="A43">
        <v>3</v>
      </c>
    </row>
    <row r="44" spans="1:1" x14ac:dyDescent="0.15">
      <c r="A44">
        <v>3</v>
      </c>
    </row>
    <row r="45" spans="1:1" x14ac:dyDescent="0.15">
      <c r="A45">
        <v>3</v>
      </c>
    </row>
    <row r="46" spans="1:1" x14ac:dyDescent="0.15">
      <c r="A46">
        <v>3</v>
      </c>
    </row>
    <row r="47" spans="1:1" x14ac:dyDescent="0.15">
      <c r="A47">
        <v>4</v>
      </c>
    </row>
    <row r="48" spans="1:1" x14ac:dyDescent="0.15">
      <c r="A48">
        <v>4</v>
      </c>
    </row>
    <row r="49" spans="1:1" x14ac:dyDescent="0.15">
      <c r="A49">
        <v>4</v>
      </c>
    </row>
    <row r="50" spans="1:1" x14ac:dyDescent="0.15">
      <c r="A50">
        <v>3</v>
      </c>
    </row>
    <row r="51" spans="1:1" x14ac:dyDescent="0.15">
      <c r="A51">
        <v>5</v>
      </c>
    </row>
    <row r="52" spans="1:1" x14ac:dyDescent="0.15">
      <c r="A52">
        <v>3</v>
      </c>
    </row>
    <row r="53" spans="1:1" x14ac:dyDescent="0.15">
      <c r="A53">
        <v>1</v>
      </c>
    </row>
    <row r="54" spans="1:1" x14ac:dyDescent="0.15">
      <c r="A54">
        <v>6</v>
      </c>
    </row>
    <row r="55" spans="1:1" x14ac:dyDescent="0.15">
      <c r="A55">
        <v>1</v>
      </c>
    </row>
    <row r="56" spans="1:1" x14ac:dyDescent="0.15">
      <c r="A56">
        <v>1</v>
      </c>
    </row>
    <row r="57" spans="1:1" x14ac:dyDescent="0.15">
      <c r="A57">
        <v>4</v>
      </c>
    </row>
    <row r="58" spans="1:1" x14ac:dyDescent="0.15">
      <c r="A58">
        <v>5</v>
      </c>
    </row>
    <row r="59" spans="1:1" x14ac:dyDescent="0.15">
      <c r="A59">
        <v>4</v>
      </c>
    </row>
    <row r="60" spans="1:1" x14ac:dyDescent="0.15">
      <c r="A60">
        <v>2</v>
      </c>
    </row>
    <row r="61" spans="1:1" x14ac:dyDescent="0.15">
      <c r="A61">
        <v>7</v>
      </c>
    </row>
    <row r="62" spans="1:1" x14ac:dyDescent="0.15">
      <c r="A62">
        <v>3</v>
      </c>
    </row>
    <row r="63" spans="1:1" x14ac:dyDescent="0.15">
      <c r="A63">
        <v>2</v>
      </c>
    </row>
    <row r="64" spans="1:1" x14ac:dyDescent="0.15">
      <c r="A64">
        <v>2</v>
      </c>
    </row>
    <row r="65" spans="1:1" x14ac:dyDescent="0.15">
      <c r="A65">
        <v>1</v>
      </c>
    </row>
    <row r="66" spans="1:1" x14ac:dyDescent="0.15">
      <c r="A66">
        <v>5</v>
      </c>
    </row>
    <row r="67" spans="1:1" x14ac:dyDescent="0.15">
      <c r="A67">
        <v>4</v>
      </c>
    </row>
    <row r="68" spans="1:1" x14ac:dyDescent="0.15">
      <c r="A68">
        <v>4</v>
      </c>
    </row>
    <row r="69" spans="1:1" x14ac:dyDescent="0.15">
      <c r="A69">
        <v>0</v>
      </c>
    </row>
    <row r="70" spans="1:1" x14ac:dyDescent="0.15">
      <c r="A70">
        <v>3</v>
      </c>
    </row>
    <row r="71" spans="1:1" x14ac:dyDescent="0.15">
      <c r="A71">
        <v>2</v>
      </c>
    </row>
    <row r="72" spans="1:1" x14ac:dyDescent="0.15">
      <c r="A72">
        <v>4</v>
      </c>
    </row>
    <row r="73" spans="1:1" x14ac:dyDescent="0.15">
      <c r="A73">
        <v>0</v>
      </c>
    </row>
    <row r="74" spans="1:1" x14ac:dyDescent="0.15">
      <c r="A74">
        <v>3</v>
      </c>
    </row>
    <row r="75" spans="1:1" x14ac:dyDescent="0.15">
      <c r="A75">
        <v>3</v>
      </c>
    </row>
    <row r="76" spans="1:1" x14ac:dyDescent="0.15">
      <c r="A76">
        <v>4</v>
      </c>
    </row>
    <row r="77" spans="1:1" x14ac:dyDescent="0.15">
      <c r="A77">
        <v>3</v>
      </c>
    </row>
    <row r="78" spans="1:1" x14ac:dyDescent="0.15">
      <c r="A78">
        <v>3</v>
      </c>
    </row>
    <row r="79" spans="1:1" x14ac:dyDescent="0.15">
      <c r="A79">
        <v>4</v>
      </c>
    </row>
    <row r="80" spans="1:1" x14ac:dyDescent="0.15">
      <c r="A80">
        <v>3</v>
      </c>
    </row>
    <row r="81" spans="1:1" x14ac:dyDescent="0.15">
      <c r="A81">
        <v>1</v>
      </c>
    </row>
    <row r="82" spans="1:1" x14ac:dyDescent="0.15">
      <c r="A82">
        <v>2</v>
      </c>
    </row>
    <row r="83" spans="1:1" x14ac:dyDescent="0.15">
      <c r="A83">
        <v>3</v>
      </c>
    </row>
    <row r="84" spans="1:1" x14ac:dyDescent="0.15">
      <c r="A84">
        <v>1</v>
      </c>
    </row>
    <row r="85" spans="1:1" x14ac:dyDescent="0.15">
      <c r="A85">
        <v>4</v>
      </c>
    </row>
    <row r="86" spans="1:1" x14ac:dyDescent="0.15">
      <c r="A86">
        <v>1</v>
      </c>
    </row>
    <row r="87" spans="1:1" x14ac:dyDescent="0.15">
      <c r="A87">
        <v>4</v>
      </c>
    </row>
    <row r="88" spans="1:1" x14ac:dyDescent="0.15">
      <c r="A88">
        <v>3</v>
      </c>
    </row>
    <row r="89" spans="1:1" x14ac:dyDescent="0.15">
      <c r="A89">
        <v>1</v>
      </c>
    </row>
    <row r="90" spans="1:1" x14ac:dyDescent="0.15">
      <c r="A90">
        <v>1</v>
      </c>
    </row>
    <row r="91" spans="1:1" x14ac:dyDescent="0.15">
      <c r="A91">
        <v>3</v>
      </c>
    </row>
    <row r="92" spans="1:1" x14ac:dyDescent="0.15">
      <c r="A92">
        <v>4</v>
      </c>
    </row>
    <row r="93" spans="1:1" x14ac:dyDescent="0.15">
      <c r="A93">
        <v>4</v>
      </c>
    </row>
    <row r="94" spans="1:1" x14ac:dyDescent="0.15">
      <c r="A94">
        <v>3</v>
      </c>
    </row>
    <row r="95" spans="1:1" x14ac:dyDescent="0.15">
      <c r="A95">
        <v>3</v>
      </c>
    </row>
    <row r="96" spans="1:1" x14ac:dyDescent="0.15">
      <c r="A96">
        <v>1</v>
      </c>
    </row>
    <row r="97" spans="1:1" x14ac:dyDescent="0.15">
      <c r="A97">
        <v>4</v>
      </c>
    </row>
    <row r="98" spans="1:1" x14ac:dyDescent="0.15">
      <c r="A98">
        <v>1</v>
      </c>
    </row>
    <row r="99" spans="1:1" x14ac:dyDescent="0.15">
      <c r="A99">
        <v>2</v>
      </c>
    </row>
    <row r="100" spans="1:1" x14ac:dyDescent="0.15">
      <c r="A100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5752-F51D-5943-BED2-9A1EAD6393D8}">
  <dimension ref="A1:P101"/>
  <sheetViews>
    <sheetView tabSelected="1" zoomScale="125" workbookViewId="0">
      <selection activeCell="J3" sqref="J3"/>
    </sheetView>
  </sheetViews>
  <sheetFormatPr baseColWidth="10" defaultRowHeight="15" x14ac:dyDescent="0.15"/>
  <cols>
    <col min="1" max="1" width="16.42578125" customWidth="1"/>
    <col min="3" max="3" width="3" customWidth="1"/>
    <col min="4" max="4" width="12.7109375" customWidth="1"/>
    <col min="7" max="7" width="3.140625" customWidth="1"/>
    <col min="10" max="10" width="15.7109375" bestFit="1" customWidth="1"/>
    <col min="11" max="11" width="3.140625" customWidth="1"/>
  </cols>
  <sheetData>
    <row r="1" spans="1:16" ht="48" x14ac:dyDescent="0.15">
      <c r="A1" s="2" t="s">
        <v>1</v>
      </c>
      <c r="B1" s="2" t="s">
        <v>0</v>
      </c>
      <c r="C1" s="2"/>
      <c r="D1" s="2" t="s">
        <v>2</v>
      </c>
      <c r="E1" s="1" t="s">
        <v>3</v>
      </c>
      <c r="F1" s="1" t="s">
        <v>4</v>
      </c>
      <c r="G1" s="2"/>
      <c r="H1" s="2" t="s">
        <v>5</v>
      </c>
      <c r="I1" s="1" t="s">
        <v>6</v>
      </c>
      <c r="J1" s="1" t="s">
        <v>7</v>
      </c>
      <c r="K1" s="2"/>
      <c r="L1" s="2" t="s">
        <v>0</v>
      </c>
      <c r="M1" s="2" t="s">
        <v>8</v>
      </c>
      <c r="N1" s="2" t="s">
        <v>9</v>
      </c>
    </row>
    <row r="2" spans="1:16" x14ac:dyDescent="0.15">
      <c r="A2" s="2">
        <v>100</v>
      </c>
      <c r="B2" s="2">
        <v>20</v>
      </c>
      <c r="C2" s="2"/>
      <c r="D2" s="3">
        <f>B2/B$6</f>
        <v>0.22222222222222221</v>
      </c>
      <c r="E2" s="2">
        <v>0</v>
      </c>
      <c r="F2" s="3">
        <f>D2</f>
        <v>0.22222222222222221</v>
      </c>
      <c r="G2" s="2"/>
      <c r="H2" s="2">
        <v>1</v>
      </c>
      <c r="I2">
        <v>7.8263692594256109E-6</v>
      </c>
      <c r="J2" s="2">
        <f>_xlfn.XLOOKUP(I2,F$2:F$5,A$2:A$5,,1,1)</f>
        <v>100</v>
      </c>
      <c r="K2" s="2" t="s">
        <v>19</v>
      </c>
      <c r="L2">
        <f>COUNTIF(J$2:J$101,A2)</f>
        <v>18</v>
      </c>
      <c r="M2" s="2">
        <f>AVERAGE(J2:J101)</f>
        <v>249</v>
      </c>
      <c r="N2" s="2">
        <f>_xlfn.STDEV.S(J2:J101)</f>
        <v>93.738298933086512</v>
      </c>
      <c r="O2" t="s">
        <v>19</v>
      </c>
    </row>
    <row r="3" spans="1:16" x14ac:dyDescent="0.15">
      <c r="A3" s="2">
        <v>200</v>
      </c>
      <c r="B3" s="2">
        <v>25</v>
      </c>
      <c r="C3" s="2"/>
      <c r="D3" s="3">
        <f t="shared" ref="D3:D5" si="0">B3/B$6</f>
        <v>0.27777777777777779</v>
      </c>
      <c r="E3" s="3">
        <f>F2</f>
        <v>0.22222222222222221</v>
      </c>
      <c r="F3" s="3">
        <f>E3+D3</f>
        <v>0.5</v>
      </c>
      <c r="G3" s="2"/>
      <c r="H3" s="2">
        <v>2</v>
      </c>
      <c r="I3">
        <v>0.13153778814316625</v>
      </c>
      <c r="J3" s="2">
        <f t="shared" ref="J3:J66" si="1">_xlfn.XLOOKUP(I3,F$2:F$5,A$2:A$5,,1,1)</f>
        <v>100</v>
      </c>
      <c r="K3" s="2"/>
      <c r="L3">
        <f t="shared" ref="L3:L5" si="2">COUNTIF(J$2:J$101,A3)</f>
        <v>28</v>
      </c>
      <c r="M3" s="2"/>
    </row>
    <row r="4" spans="1:16" x14ac:dyDescent="0.15">
      <c r="A4" s="2">
        <v>300</v>
      </c>
      <c r="B4" s="2">
        <v>35</v>
      </c>
      <c r="C4" s="2"/>
      <c r="D4" s="3">
        <f t="shared" si="0"/>
        <v>0.3888888888888889</v>
      </c>
      <c r="E4" s="3">
        <f>F3</f>
        <v>0.5</v>
      </c>
      <c r="F4" s="3">
        <f>E4+D4</f>
        <v>0.88888888888888884</v>
      </c>
      <c r="G4" s="2"/>
      <c r="H4" s="2">
        <v>3</v>
      </c>
      <c r="I4">
        <v>0.75560532219503318</v>
      </c>
      <c r="J4" s="2">
        <f t="shared" si="1"/>
        <v>300</v>
      </c>
      <c r="K4" s="2"/>
      <c r="L4">
        <f t="shared" si="2"/>
        <v>41</v>
      </c>
      <c r="M4" s="2"/>
    </row>
    <row r="5" spans="1:16" x14ac:dyDescent="0.15">
      <c r="A5" s="2">
        <v>400</v>
      </c>
      <c r="B5" s="2">
        <v>10</v>
      </c>
      <c r="C5" s="2"/>
      <c r="D5" s="3">
        <f t="shared" si="0"/>
        <v>0.1111111111111111</v>
      </c>
      <c r="E5" s="3">
        <f>F4</f>
        <v>0.88888888888888884</v>
      </c>
      <c r="F5" s="3">
        <f>E5+D5</f>
        <v>1</v>
      </c>
      <c r="G5" s="2"/>
      <c r="H5" s="2">
        <v>4</v>
      </c>
      <c r="I5">
        <v>0.45865013192344928</v>
      </c>
      <c r="J5" s="2">
        <f t="shared" si="1"/>
        <v>200</v>
      </c>
      <c r="K5" s="2"/>
      <c r="L5">
        <f t="shared" si="2"/>
        <v>13</v>
      </c>
      <c r="M5" s="2"/>
    </row>
    <row r="6" spans="1:16" x14ac:dyDescent="0.15">
      <c r="A6" s="2"/>
      <c r="B6" s="2">
        <f>SUM(B2:B5)</f>
        <v>90</v>
      </c>
      <c r="C6" s="2"/>
      <c r="D6" s="2"/>
      <c r="E6" s="2"/>
      <c r="F6" s="2"/>
      <c r="G6" s="2"/>
      <c r="H6" s="2">
        <v>5</v>
      </c>
      <c r="I6">
        <v>0.53276723741216925</v>
      </c>
      <c r="J6" s="2">
        <f t="shared" si="1"/>
        <v>300</v>
      </c>
      <c r="K6" s="2"/>
      <c r="L6" s="2"/>
      <c r="M6" s="2"/>
    </row>
    <row r="7" spans="1:16" x14ac:dyDescent="0.15">
      <c r="A7" s="2"/>
      <c r="B7" s="2"/>
      <c r="C7" s="2"/>
      <c r="D7" s="2"/>
      <c r="E7" s="2"/>
      <c r="F7" s="2"/>
      <c r="G7" s="2"/>
      <c r="H7" s="2">
        <v>6</v>
      </c>
      <c r="I7">
        <v>0.21895918632809036</v>
      </c>
      <c r="J7" s="2">
        <f t="shared" si="1"/>
        <v>100</v>
      </c>
      <c r="K7" s="2"/>
      <c r="L7" s="2"/>
      <c r="M7" s="2"/>
    </row>
    <row r="8" spans="1:16" x14ac:dyDescent="0.15">
      <c r="A8" s="2"/>
      <c r="B8" s="2"/>
      <c r="C8" s="2"/>
      <c r="D8" s="2"/>
      <c r="E8" s="2"/>
      <c r="F8" s="2"/>
      <c r="G8" s="2"/>
      <c r="H8" s="2">
        <v>7</v>
      </c>
      <c r="I8">
        <v>4.7044616214486128E-2</v>
      </c>
      <c r="J8" s="2">
        <f t="shared" si="1"/>
        <v>100</v>
      </c>
      <c r="K8" s="2"/>
      <c r="L8" s="2"/>
      <c r="M8" s="2"/>
    </row>
    <row r="9" spans="1:16" x14ac:dyDescent="0.15">
      <c r="A9" s="2"/>
      <c r="B9" s="2"/>
      <c r="C9" s="2"/>
      <c r="D9" s="2"/>
      <c r="E9" s="2"/>
      <c r="F9" s="2"/>
      <c r="G9" s="2"/>
      <c r="H9" s="2">
        <v>8</v>
      </c>
      <c r="I9">
        <v>0.67886471686831895</v>
      </c>
      <c r="J9" s="2">
        <f t="shared" si="1"/>
        <v>300</v>
      </c>
      <c r="K9" s="2"/>
      <c r="L9" s="2"/>
      <c r="M9" s="2"/>
    </row>
    <row r="10" spans="1:16" x14ac:dyDescent="0.15">
      <c r="A10" s="2"/>
      <c r="B10" s="2"/>
      <c r="C10" s="2"/>
      <c r="D10" s="2"/>
      <c r="E10" s="2"/>
      <c r="F10" s="2"/>
      <c r="G10" s="2"/>
      <c r="H10" s="2">
        <v>9</v>
      </c>
      <c r="I10">
        <v>0.67929640583661222</v>
      </c>
      <c r="J10" s="2">
        <f t="shared" si="1"/>
        <v>300</v>
      </c>
      <c r="K10" s="2"/>
      <c r="L10" s="2"/>
      <c r="M10" s="2"/>
    </row>
    <row r="11" spans="1:16" x14ac:dyDescent="0.15">
      <c r="A11" s="2"/>
      <c r="B11" s="2"/>
      <c r="C11" s="2"/>
      <c r="D11" s="2"/>
      <c r="E11" s="2"/>
      <c r="F11" s="2"/>
      <c r="G11" s="2"/>
      <c r="H11" s="2">
        <v>10</v>
      </c>
      <c r="I11">
        <v>0.93469289594082761</v>
      </c>
      <c r="J11" s="2">
        <f t="shared" si="1"/>
        <v>400</v>
      </c>
      <c r="K11" s="2"/>
      <c r="L11" s="2"/>
      <c r="M11" s="2"/>
    </row>
    <row r="12" spans="1:16" x14ac:dyDescent="0.15">
      <c r="A12" s="2"/>
      <c r="B12" s="2"/>
      <c r="C12" s="2"/>
      <c r="D12" s="2"/>
      <c r="E12" s="2"/>
      <c r="F12" s="2"/>
      <c r="G12" s="2"/>
      <c r="H12" s="2">
        <v>11</v>
      </c>
      <c r="I12">
        <v>0.38350207748985948</v>
      </c>
      <c r="J12" s="2">
        <f t="shared" si="1"/>
        <v>200</v>
      </c>
      <c r="K12" s="2"/>
      <c r="L12" s="2"/>
      <c r="M12" s="2"/>
      <c r="P12" t="s">
        <v>19</v>
      </c>
    </row>
    <row r="13" spans="1:16" x14ac:dyDescent="0.15">
      <c r="A13" s="2"/>
      <c r="B13" s="2"/>
      <c r="C13" s="2"/>
      <c r="D13" s="2"/>
      <c r="E13" s="2"/>
      <c r="F13" s="2"/>
      <c r="G13" s="2"/>
      <c r="H13" s="2">
        <v>12</v>
      </c>
      <c r="I13">
        <v>0.51941637206795455</v>
      </c>
      <c r="J13" s="2">
        <f t="shared" si="1"/>
        <v>300</v>
      </c>
      <c r="K13" s="2"/>
      <c r="L13" s="2"/>
      <c r="M13" s="2"/>
    </row>
    <row r="14" spans="1:16" x14ac:dyDescent="0.15">
      <c r="A14" s="2"/>
      <c r="B14" s="2"/>
      <c r="C14" s="2"/>
      <c r="D14" s="2"/>
      <c r="E14" s="2"/>
      <c r="F14" s="2"/>
      <c r="G14" s="2"/>
      <c r="H14" s="2">
        <v>13</v>
      </c>
      <c r="I14">
        <v>0.8309653461123655</v>
      </c>
      <c r="J14" s="2">
        <f t="shared" si="1"/>
        <v>300</v>
      </c>
      <c r="K14" s="2"/>
      <c r="L14" s="2"/>
      <c r="M14" s="2"/>
    </row>
    <row r="15" spans="1:16" x14ac:dyDescent="0.15">
      <c r="A15" s="2"/>
      <c r="B15" s="2"/>
      <c r="C15" s="2"/>
      <c r="D15" s="2"/>
      <c r="E15" s="2"/>
      <c r="F15" s="2"/>
      <c r="G15" s="2"/>
      <c r="H15" s="2">
        <v>14</v>
      </c>
      <c r="I15">
        <v>3.4572110527461446E-2</v>
      </c>
      <c r="J15" s="2">
        <f t="shared" si="1"/>
        <v>100</v>
      </c>
      <c r="K15" s="2"/>
      <c r="L15" s="2"/>
      <c r="M15" s="2"/>
    </row>
    <row r="16" spans="1:16" x14ac:dyDescent="0.15">
      <c r="A16" s="2"/>
      <c r="B16" s="2"/>
      <c r="C16" s="2"/>
      <c r="D16" s="2"/>
      <c r="E16" s="2"/>
      <c r="F16" s="2"/>
      <c r="G16" s="2"/>
      <c r="H16" s="2">
        <v>15</v>
      </c>
      <c r="I16">
        <v>5.346163504452521E-2</v>
      </c>
      <c r="J16" s="2">
        <f t="shared" si="1"/>
        <v>100</v>
      </c>
      <c r="K16" s="2"/>
      <c r="L16" s="2"/>
      <c r="M16" s="2"/>
    </row>
    <row r="17" spans="1:15" x14ac:dyDescent="0.15">
      <c r="A17" s="2"/>
      <c r="B17" s="2"/>
      <c r="C17" s="2"/>
      <c r="D17" s="2"/>
      <c r="E17" s="2"/>
      <c r="F17" s="2"/>
      <c r="G17" s="2"/>
      <c r="H17" s="2">
        <v>16</v>
      </c>
      <c r="I17">
        <v>0.52970019333516261</v>
      </c>
      <c r="J17" s="2">
        <f t="shared" si="1"/>
        <v>300</v>
      </c>
      <c r="K17" s="2"/>
      <c r="L17" s="2"/>
      <c r="M17" s="2"/>
    </row>
    <row r="18" spans="1:15" x14ac:dyDescent="0.15">
      <c r="A18" s="2"/>
      <c r="B18" s="2"/>
      <c r="C18" s="2"/>
      <c r="D18" s="2"/>
      <c r="E18" s="2"/>
      <c r="F18" s="2"/>
      <c r="G18" s="2"/>
      <c r="H18" s="2">
        <v>17</v>
      </c>
      <c r="I18">
        <v>0.67114938407724234</v>
      </c>
      <c r="J18" s="2">
        <f t="shared" si="1"/>
        <v>300</v>
      </c>
      <c r="K18" s="2"/>
      <c r="L18" s="2"/>
      <c r="M18" s="2"/>
    </row>
    <row r="19" spans="1:15" x14ac:dyDescent="0.15">
      <c r="A19" s="2"/>
      <c r="B19" s="2"/>
      <c r="C19" s="2"/>
      <c r="D19" s="2"/>
      <c r="E19" s="2"/>
      <c r="F19" s="2"/>
      <c r="G19" s="2"/>
      <c r="H19" s="2">
        <v>18</v>
      </c>
      <c r="I19">
        <v>7.6981862111474321E-3</v>
      </c>
      <c r="J19" s="2">
        <f t="shared" si="1"/>
        <v>100</v>
      </c>
      <c r="K19" s="2"/>
      <c r="L19" s="2"/>
      <c r="M19" s="2"/>
    </row>
    <row r="20" spans="1:15" x14ac:dyDescent="0.15">
      <c r="A20" s="2"/>
      <c r="B20" s="2"/>
      <c r="C20" s="2"/>
      <c r="D20" s="2"/>
      <c r="E20" s="2"/>
      <c r="F20" s="2"/>
      <c r="G20" s="2"/>
      <c r="H20" s="2">
        <v>19</v>
      </c>
      <c r="I20">
        <v>0.38341565075489492</v>
      </c>
      <c r="J20" s="2">
        <f t="shared" si="1"/>
        <v>200</v>
      </c>
      <c r="K20" s="2"/>
      <c r="L20" s="2"/>
      <c r="M20" s="2"/>
    </row>
    <row r="21" spans="1:15" x14ac:dyDescent="0.15">
      <c r="A21" s="2"/>
      <c r="B21" s="2"/>
      <c r="C21" s="2"/>
      <c r="D21" s="2"/>
      <c r="E21" s="2"/>
      <c r="F21" s="2"/>
      <c r="G21" s="2"/>
      <c r="H21" s="2">
        <v>20</v>
      </c>
      <c r="I21">
        <v>6.6842237518561179E-2</v>
      </c>
      <c r="J21" s="2">
        <f t="shared" si="1"/>
        <v>100</v>
      </c>
      <c r="K21" s="2"/>
      <c r="L21" s="2"/>
      <c r="M21" s="2"/>
    </row>
    <row r="22" spans="1:15" x14ac:dyDescent="0.15">
      <c r="A22" s="2"/>
      <c r="B22" s="2"/>
      <c r="C22" s="2"/>
      <c r="D22" s="2"/>
      <c r="E22" s="2"/>
      <c r="F22" s="2"/>
      <c r="G22" s="2"/>
      <c r="H22" s="2">
        <v>21</v>
      </c>
      <c r="I22">
        <v>0.41748597445780689</v>
      </c>
      <c r="J22" s="2">
        <f t="shared" si="1"/>
        <v>200</v>
      </c>
      <c r="K22" s="2"/>
      <c r="L22" s="2"/>
      <c r="M22" s="2"/>
      <c r="O22" t="s">
        <v>19</v>
      </c>
    </row>
    <row r="23" spans="1:15" x14ac:dyDescent="0.15">
      <c r="A23" s="2"/>
      <c r="B23" s="2"/>
      <c r="C23" s="2"/>
      <c r="D23" s="2"/>
      <c r="E23" s="2"/>
      <c r="F23" s="2"/>
      <c r="G23" s="2"/>
      <c r="H23" s="2">
        <v>22</v>
      </c>
      <c r="I23">
        <v>0.68677271236049608</v>
      </c>
      <c r="J23" s="2">
        <f t="shared" si="1"/>
        <v>300</v>
      </c>
      <c r="K23" s="2"/>
      <c r="L23" s="2"/>
      <c r="M23" s="2"/>
    </row>
    <row r="24" spans="1:15" x14ac:dyDescent="0.15">
      <c r="A24" s="2"/>
      <c r="B24" s="2"/>
      <c r="C24" s="2"/>
      <c r="D24" s="2"/>
      <c r="E24" s="2"/>
      <c r="F24" s="2"/>
      <c r="G24" s="2"/>
      <c r="H24" s="2">
        <v>23</v>
      </c>
      <c r="I24">
        <v>0.58897664285682916</v>
      </c>
      <c r="J24" s="2">
        <f t="shared" si="1"/>
        <v>300</v>
      </c>
      <c r="K24" s="2"/>
      <c r="L24" s="2"/>
      <c r="M24" s="2"/>
    </row>
    <row r="25" spans="1:15" x14ac:dyDescent="0.15">
      <c r="A25" s="2"/>
      <c r="B25" s="2"/>
      <c r="C25" s="2"/>
      <c r="D25" s="2"/>
      <c r="E25" s="2"/>
      <c r="F25" s="2"/>
      <c r="G25" s="2"/>
      <c r="H25" s="2">
        <v>24</v>
      </c>
      <c r="I25">
        <v>0.93043649472782231</v>
      </c>
      <c r="J25" s="2">
        <f t="shared" si="1"/>
        <v>400</v>
      </c>
      <c r="K25" s="2"/>
      <c r="L25" s="2"/>
      <c r="M25" s="2"/>
    </row>
    <row r="26" spans="1:15" x14ac:dyDescent="0.15">
      <c r="A26" s="2"/>
      <c r="B26" s="2"/>
      <c r="C26" s="2"/>
      <c r="D26" s="2"/>
      <c r="E26" s="2"/>
      <c r="F26" s="2"/>
      <c r="G26" s="2"/>
      <c r="H26" s="2">
        <v>25</v>
      </c>
      <c r="I26">
        <v>0.84616689050857297</v>
      </c>
      <c r="J26" s="2">
        <f t="shared" si="1"/>
        <v>300</v>
      </c>
      <c r="K26" s="2"/>
      <c r="L26" s="2"/>
      <c r="M26" s="2"/>
    </row>
    <row r="27" spans="1:15" x14ac:dyDescent="0.15">
      <c r="A27" s="2"/>
      <c r="B27" s="2"/>
      <c r="C27" s="2"/>
      <c r="D27" s="2"/>
      <c r="E27" s="2"/>
      <c r="F27" s="2"/>
      <c r="G27" s="2"/>
      <c r="H27" s="2">
        <v>26</v>
      </c>
      <c r="I27">
        <v>0.52692877758616985</v>
      </c>
      <c r="J27" s="2">
        <f t="shared" si="1"/>
        <v>300</v>
      </c>
      <c r="K27" s="2"/>
      <c r="L27" s="2"/>
      <c r="M27" s="2"/>
    </row>
    <row r="28" spans="1:15" x14ac:dyDescent="0.15">
      <c r="A28" s="2"/>
      <c r="B28" s="2"/>
      <c r="C28" s="2"/>
      <c r="D28" s="2"/>
      <c r="E28" s="2"/>
      <c r="F28" s="2"/>
      <c r="G28" s="2"/>
      <c r="H28" s="2">
        <v>27</v>
      </c>
      <c r="I28">
        <v>9.1964890757559287E-2</v>
      </c>
      <c r="J28" s="2">
        <f t="shared" si="1"/>
        <v>100</v>
      </c>
      <c r="K28" s="2"/>
      <c r="L28" s="2"/>
      <c r="M28" s="2"/>
    </row>
    <row r="29" spans="1:15" x14ac:dyDescent="0.15">
      <c r="A29" s="2"/>
      <c r="B29" s="2"/>
      <c r="C29" s="2"/>
      <c r="D29" s="2"/>
      <c r="E29" s="2"/>
      <c r="F29" s="2"/>
      <c r="G29" s="2"/>
      <c r="H29" s="2">
        <v>28</v>
      </c>
      <c r="I29">
        <v>0.65391896229885471</v>
      </c>
      <c r="J29" s="2">
        <f t="shared" si="1"/>
        <v>300</v>
      </c>
      <c r="K29" s="2"/>
      <c r="L29" s="2"/>
      <c r="M29" s="2"/>
    </row>
    <row r="30" spans="1:15" x14ac:dyDescent="0.15">
      <c r="A30" s="2"/>
      <c r="B30" s="2"/>
      <c r="C30" s="2"/>
      <c r="D30" s="2"/>
      <c r="E30" s="2"/>
      <c r="F30" s="2"/>
      <c r="G30" s="2"/>
      <c r="H30" s="2">
        <v>29</v>
      </c>
      <c r="I30">
        <v>0.41599935685098144</v>
      </c>
      <c r="J30" s="2">
        <f t="shared" si="1"/>
        <v>200</v>
      </c>
      <c r="K30" s="2"/>
      <c r="L30" s="2"/>
      <c r="M30" s="2"/>
    </row>
    <row r="31" spans="1:15" x14ac:dyDescent="0.15">
      <c r="A31" s="2"/>
      <c r="B31" s="2"/>
      <c r="C31" s="2"/>
      <c r="D31" s="2"/>
      <c r="E31" s="2"/>
      <c r="F31" s="2"/>
      <c r="G31" s="2"/>
      <c r="H31" s="2">
        <v>30</v>
      </c>
      <c r="I31">
        <v>0.70119059444460585</v>
      </c>
      <c r="J31" s="2">
        <f t="shared" si="1"/>
        <v>300</v>
      </c>
      <c r="K31" s="2"/>
      <c r="L31" s="2"/>
      <c r="M31" s="2"/>
    </row>
    <row r="32" spans="1:15" x14ac:dyDescent="0.15">
      <c r="A32" s="2"/>
      <c r="B32" s="2"/>
      <c r="C32" s="2"/>
      <c r="D32" s="2"/>
      <c r="E32" s="2"/>
      <c r="F32" s="2"/>
      <c r="G32" s="2"/>
      <c r="H32" s="2">
        <v>31</v>
      </c>
      <c r="I32">
        <v>0.91032083048965817</v>
      </c>
      <c r="J32" s="2">
        <f t="shared" si="1"/>
        <v>400</v>
      </c>
      <c r="K32" s="2"/>
      <c r="L32" s="2"/>
      <c r="M32" s="2"/>
    </row>
    <row r="33" spans="1:13" x14ac:dyDescent="0.15">
      <c r="A33" s="2"/>
      <c r="B33" s="2"/>
      <c r="C33" s="2"/>
      <c r="D33" s="2"/>
      <c r="E33" s="2"/>
      <c r="F33" s="2"/>
      <c r="G33" s="2"/>
      <c r="H33" s="2">
        <v>32</v>
      </c>
      <c r="I33">
        <v>0.76219803968546818</v>
      </c>
      <c r="J33" s="2">
        <f t="shared" si="1"/>
        <v>300</v>
      </c>
      <c r="K33" s="2"/>
      <c r="L33" s="2"/>
      <c r="M33" s="2"/>
    </row>
    <row r="34" spans="1:13" x14ac:dyDescent="0.15">
      <c r="A34" s="2"/>
      <c r="B34" s="2"/>
      <c r="C34" s="2"/>
      <c r="D34" s="2"/>
      <c r="E34" s="2"/>
      <c r="F34" s="2"/>
      <c r="G34" s="2"/>
      <c r="H34" s="2">
        <v>33</v>
      </c>
      <c r="I34">
        <v>0.26245299366417013</v>
      </c>
      <c r="J34" s="2">
        <f t="shared" si="1"/>
        <v>200</v>
      </c>
      <c r="K34" s="2"/>
      <c r="L34" s="2"/>
      <c r="M34" s="2"/>
    </row>
    <row r="35" spans="1:13" x14ac:dyDescent="0.15">
      <c r="A35" s="2"/>
      <c r="B35" s="2"/>
      <c r="C35" s="2"/>
      <c r="D35" s="2"/>
      <c r="E35" s="2"/>
      <c r="F35" s="2"/>
      <c r="G35" s="2"/>
      <c r="H35" s="2">
        <v>34</v>
      </c>
      <c r="I35">
        <v>4.7464513707656655E-2</v>
      </c>
      <c r="J35" s="2">
        <f t="shared" si="1"/>
        <v>100</v>
      </c>
      <c r="K35" s="2"/>
      <c r="L35" s="2"/>
      <c r="M35" s="2"/>
    </row>
    <row r="36" spans="1:13" x14ac:dyDescent="0.15">
      <c r="A36" s="2"/>
      <c r="B36" s="2"/>
      <c r="C36" s="2"/>
      <c r="D36" s="2"/>
      <c r="E36" s="2"/>
      <c r="F36" s="2"/>
      <c r="G36" s="2"/>
      <c r="H36" s="2">
        <v>35</v>
      </c>
      <c r="I36">
        <v>0.73608188458535906</v>
      </c>
      <c r="J36" s="2">
        <f t="shared" si="1"/>
        <v>300</v>
      </c>
      <c r="K36" s="2"/>
      <c r="L36" s="2"/>
      <c r="M36" s="2"/>
    </row>
    <row r="37" spans="1:13" x14ac:dyDescent="0.15">
      <c r="A37" s="2"/>
      <c r="B37" s="2"/>
      <c r="C37" s="2"/>
      <c r="D37" s="2"/>
      <c r="E37" s="2"/>
      <c r="F37" s="2"/>
      <c r="G37" s="2"/>
      <c r="H37" s="2">
        <v>36</v>
      </c>
      <c r="I37">
        <v>0.32823422613005815</v>
      </c>
      <c r="J37" s="2">
        <f t="shared" si="1"/>
        <v>200</v>
      </c>
      <c r="K37" s="2"/>
      <c r="L37" s="2"/>
      <c r="M37" s="2"/>
    </row>
    <row r="38" spans="1:13" x14ac:dyDescent="0.15">
      <c r="A38" s="2"/>
      <c r="B38" s="2"/>
      <c r="C38" s="2"/>
      <c r="D38" s="2"/>
      <c r="E38" s="2"/>
      <c r="F38" s="2"/>
      <c r="G38" s="2"/>
      <c r="H38" s="2">
        <v>37</v>
      </c>
      <c r="I38">
        <v>0.63263856788754391</v>
      </c>
      <c r="J38" s="2">
        <f t="shared" si="1"/>
        <v>300</v>
      </c>
      <c r="K38" s="2"/>
      <c r="L38" s="2"/>
      <c r="M38" s="2"/>
    </row>
    <row r="39" spans="1:13" x14ac:dyDescent="0.15">
      <c r="A39" s="2"/>
      <c r="B39" s="2"/>
      <c r="C39" s="2"/>
      <c r="D39" s="2"/>
      <c r="E39" s="2"/>
      <c r="F39" s="2"/>
      <c r="G39" s="2"/>
      <c r="H39" s="2">
        <v>38</v>
      </c>
      <c r="I39">
        <v>0.75641048595142113</v>
      </c>
      <c r="J39" s="2">
        <f t="shared" si="1"/>
        <v>300</v>
      </c>
      <c r="K39" s="2"/>
      <c r="L39" s="2"/>
      <c r="M39" s="2"/>
    </row>
    <row r="40" spans="1:13" x14ac:dyDescent="0.15">
      <c r="A40" s="2"/>
      <c r="B40" s="2"/>
      <c r="C40" s="2"/>
      <c r="D40" s="2"/>
      <c r="E40" s="2"/>
      <c r="F40" s="2"/>
      <c r="G40" s="2"/>
      <c r="H40" s="2">
        <v>39</v>
      </c>
      <c r="I40">
        <v>0.99103738553404686</v>
      </c>
      <c r="J40" s="2">
        <f t="shared" si="1"/>
        <v>400</v>
      </c>
      <c r="K40" s="2"/>
      <c r="L40" s="2"/>
      <c r="M40" s="2"/>
    </row>
    <row r="41" spans="1:13" x14ac:dyDescent="0.15">
      <c r="A41" s="2"/>
      <c r="B41" s="2"/>
      <c r="C41" s="2"/>
      <c r="D41" s="2"/>
      <c r="E41" s="2"/>
      <c r="F41" s="2"/>
      <c r="G41" s="2"/>
      <c r="H41" s="2">
        <v>40</v>
      </c>
      <c r="I41">
        <v>0.36533867072562626</v>
      </c>
      <c r="J41" s="2">
        <f t="shared" si="1"/>
        <v>200</v>
      </c>
      <c r="K41" s="2"/>
      <c r="L41" s="2"/>
      <c r="M41" s="2"/>
    </row>
    <row r="42" spans="1:13" x14ac:dyDescent="0.15">
      <c r="A42" s="2"/>
      <c r="B42" s="2"/>
      <c r="C42" s="2"/>
      <c r="D42" s="2"/>
      <c r="E42" s="2"/>
      <c r="F42" s="2"/>
      <c r="G42" s="2"/>
      <c r="H42" s="2">
        <v>41</v>
      </c>
      <c r="I42">
        <v>0.24703888560041734</v>
      </c>
      <c r="J42" s="2">
        <f t="shared" si="1"/>
        <v>200</v>
      </c>
      <c r="K42" s="2"/>
      <c r="L42" s="2"/>
      <c r="M42" s="2"/>
    </row>
    <row r="43" spans="1:13" x14ac:dyDescent="0.15">
      <c r="A43" s="2"/>
      <c r="B43" s="2"/>
      <c r="C43" s="2"/>
      <c r="D43" s="2"/>
      <c r="E43" s="2"/>
      <c r="F43" s="2"/>
      <c r="G43" s="2"/>
      <c r="H43" s="2">
        <v>42</v>
      </c>
      <c r="I43">
        <v>0.98255028621412366</v>
      </c>
      <c r="J43" s="2">
        <f t="shared" si="1"/>
        <v>400</v>
      </c>
      <c r="K43" s="2"/>
      <c r="L43" s="2"/>
      <c r="M43" s="2"/>
    </row>
    <row r="44" spans="1:13" x14ac:dyDescent="0.15">
      <c r="A44" s="2"/>
      <c r="B44" s="2"/>
      <c r="C44" s="2"/>
      <c r="D44" s="2"/>
      <c r="E44" s="2"/>
      <c r="F44" s="2"/>
      <c r="G44" s="2"/>
      <c r="H44" s="2">
        <v>43</v>
      </c>
      <c r="I44">
        <v>0.7226604007755687</v>
      </c>
      <c r="J44" s="2">
        <f t="shared" si="1"/>
        <v>300</v>
      </c>
      <c r="K44" s="2"/>
      <c r="L44" s="2"/>
      <c r="M44" s="2"/>
    </row>
    <row r="45" spans="1:13" x14ac:dyDescent="0.15">
      <c r="A45" s="2"/>
      <c r="B45" s="2"/>
      <c r="C45" s="2"/>
      <c r="D45" s="2"/>
      <c r="E45" s="2"/>
      <c r="F45" s="2"/>
      <c r="G45" s="2"/>
      <c r="H45" s="2">
        <v>44</v>
      </c>
      <c r="I45">
        <v>0.75335583498392056</v>
      </c>
      <c r="J45" s="2">
        <f t="shared" si="1"/>
        <v>300</v>
      </c>
      <c r="K45" s="2"/>
      <c r="L45" s="2"/>
      <c r="M45" s="2"/>
    </row>
    <row r="46" spans="1:13" x14ac:dyDescent="0.15">
      <c r="A46" s="2"/>
      <c r="B46" s="2"/>
      <c r="C46" s="2"/>
      <c r="D46" s="2"/>
      <c r="E46" s="2"/>
      <c r="F46" s="2"/>
      <c r="G46" s="2"/>
      <c r="H46" s="2">
        <v>45</v>
      </c>
      <c r="I46">
        <v>0.65151857475355202</v>
      </c>
      <c r="J46" s="2">
        <f t="shared" si="1"/>
        <v>300</v>
      </c>
      <c r="K46" s="2"/>
      <c r="L46" s="2"/>
      <c r="M46" s="2"/>
    </row>
    <row r="47" spans="1:13" x14ac:dyDescent="0.15">
      <c r="A47" s="2"/>
      <c r="B47" s="2"/>
      <c r="C47" s="2"/>
      <c r="D47" s="2"/>
      <c r="E47" s="2"/>
      <c r="F47" s="2"/>
      <c r="G47" s="2"/>
      <c r="H47" s="2">
        <v>46</v>
      </c>
      <c r="I47">
        <v>7.2685882948658381E-2</v>
      </c>
      <c r="J47" s="2">
        <f t="shared" si="1"/>
        <v>100</v>
      </c>
      <c r="K47" s="2"/>
      <c r="L47" s="2"/>
      <c r="M47" s="2"/>
    </row>
    <row r="48" spans="1:13" x14ac:dyDescent="0.15">
      <c r="A48" s="2"/>
      <c r="B48" s="2"/>
      <c r="C48" s="2"/>
      <c r="D48" s="2"/>
      <c r="E48" s="2"/>
      <c r="F48" s="2"/>
      <c r="G48" s="2"/>
      <c r="H48" s="2">
        <v>47</v>
      </c>
      <c r="I48">
        <v>0.63163471810130156</v>
      </c>
      <c r="J48" s="2">
        <f t="shared" si="1"/>
        <v>300</v>
      </c>
      <c r="K48" s="2"/>
      <c r="L48" s="2"/>
      <c r="M48" s="2"/>
    </row>
    <row r="49" spans="1:13" x14ac:dyDescent="0.15">
      <c r="A49" s="2"/>
      <c r="B49" s="2"/>
      <c r="C49" s="2"/>
      <c r="D49" s="2"/>
      <c r="E49" s="2"/>
      <c r="F49" s="2"/>
      <c r="G49" s="2"/>
      <c r="H49" s="2">
        <v>48</v>
      </c>
      <c r="I49">
        <v>0.88470712857540101</v>
      </c>
      <c r="J49" s="2">
        <f t="shared" si="1"/>
        <v>300</v>
      </c>
      <c r="K49" s="2"/>
      <c r="L49" s="2"/>
      <c r="M49" s="2"/>
    </row>
    <row r="50" spans="1:13" x14ac:dyDescent="0.15">
      <c r="A50" s="2"/>
      <c r="B50" s="2"/>
      <c r="C50" s="2"/>
      <c r="D50" s="2"/>
      <c r="E50" s="2"/>
      <c r="F50" s="2"/>
      <c r="G50" s="2"/>
      <c r="H50" s="2">
        <v>49</v>
      </c>
      <c r="I50">
        <v>0.27270996676418463</v>
      </c>
      <c r="J50" s="2">
        <f t="shared" si="1"/>
        <v>200</v>
      </c>
      <c r="K50" s="2"/>
      <c r="L50" s="2"/>
      <c r="M50" s="2"/>
    </row>
    <row r="51" spans="1:13" x14ac:dyDescent="0.15">
      <c r="A51" s="2"/>
      <c r="B51" s="2"/>
      <c r="C51" s="2"/>
      <c r="D51" s="2"/>
      <c r="E51" s="2"/>
      <c r="F51" s="2"/>
      <c r="G51" s="2"/>
      <c r="H51" s="2">
        <v>50</v>
      </c>
      <c r="I51">
        <v>0.43641140565109038</v>
      </c>
      <c r="J51" s="2">
        <f t="shared" si="1"/>
        <v>200</v>
      </c>
      <c r="K51" s="2"/>
      <c r="L51" s="2"/>
      <c r="M51" s="2"/>
    </row>
    <row r="52" spans="1:13" x14ac:dyDescent="0.15">
      <c r="A52" s="2"/>
      <c r="B52" s="2"/>
      <c r="C52" s="2"/>
      <c r="D52" s="2"/>
      <c r="E52" s="2"/>
      <c r="F52" s="2"/>
      <c r="G52" s="2"/>
      <c r="H52" s="2">
        <v>51</v>
      </c>
      <c r="I52">
        <v>0.76649477787618281</v>
      </c>
      <c r="J52" s="2">
        <f t="shared" si="1"/>
        <v>300</v>
      </c>
      <c r="K52" s="2"/>
      <c r="L52" s="2"/>
      <c r="M52" s="2"/>
    </row>
    <row r="53" spans="1:13" x14ac:dyDescent="0.15">
      <c r="A53" s="2"/>
      <c r="B53" s="2"/>
      <c r="C53" s="2"/>
      <c r="D53" s="2"/>
      <c r="E53" s="2"/>
      <c r="F53" s="2"/>
      <c r="G53" s="2"/>
      <c r="H53" s="2">
        <v>52</v>
      </c>
      <c r="I53">
        <v>0.47773176500468134</v>
      </c>
      <c r="J53" s="2">
        <f t="shared" si="1"/>
        <v>200</v>
      </c>
      <c r="K53" s="2"/>
      <c r="L53" s="2"/>
      <c r="M53" s="2"/>
    </row>
    <row r="54" spans="1:13" x14ac:dyDescent="0.15">
      <c r="A54" s="2"/>
      <c r="B54" s="2"/>
      <c r="C54" s="2"/>
      <c r="D54" s="2"/>
      <c r="E54" s="2"/>
      <c r="F54" s="2"/>
      <c r="G54" s="2"/>
      <c r="H54" s="2">
        <v>53</v>
      </c>
      <c r="I54">
        <v>0.23777443367884235</v>
      </c>
      <c r="J54" s="2">
        <f t="shared" si="1"/>
        <v>200</v>
      </c>
      <c r="K54" s="2"/>
      <c r="L54" s="2"/>
      <c r="M54" s="2"/>
    </row>
    <row r="55" spans="1:13" x14ac:dyDescent="0.15">
      <c r="A55" s="2"/>
      <c r="B55" s="2"/>
      <c r="C55" s="2"/>
      <c r="D55" s="2"/>
      <c r="E55" s="2"/>
      <c r="F55" s="2"/>
      <c r="G55" s="2"/>
      <c r="H55" s="2">
        <v>54</v>
      </c>
      <c r="I55">
        <v>0.27490684030340373</v>
      </c>
      <c r="J55" s="2">
        <f t="shared" si="1"/>
        <v>200</v>
      </c>
      <c r="K55" s="2"/>
      <c r="L55" s="2"/>
      <c r="M55" s="2"/>
    </row>
    <row r="56" spans="1:13" x14ac:dyDescent="0.15">
      <c r="A56" s="2"/>
      <c r="B56" s="2"/>
      <c r="C56" s="2"/>
      <c r="D56" s="2"/>
      <c r="E56" s="2"/>
      <c r="F56" s="2"/>
      <c r="G56" s="2"/>
      <c r="H56" s="2">
        <v>55</v>
      </c>
      <c r="I56">
        <v>0.35926497930626616</v>
      </c>
      <c r="J56" s="2">
        <f t="shared" si="1"/>
        <v>200</v>
      </c>
      <c r="K56" s="2"/>
      <c r="L56" s="2"/>
      <c r="M56" s="2"/>
    </row>
    <row r="57" spans="1:13" x14ac:dyDescent="0.15">
      <c r="A57" s="2"/>
      <c r="B57" s="2"/>
      <c r="C57" s="2"/>
      <c r="D57" s="2"/>
      <c r="E57" s="2"/>
      <c r="F57" s="2"/>
      <c r="G57" s="2"/>
      <c r="H57" s="2">
        <v>56</v>
      </c>
      <c r="I57">
        <v>0.16650720041548236</v>
      </c>
      <c r="J57" s="2">
        <f t="shared" si="1"/>
        <v>100</v>
      </c>
      <c r="K57" s="2"/>
      <c r="L57" s="2"/>
      <c r="M57" s="2"/>
    </row>
    <row r="58" spans="1:13" x14ac:dyDescent="0.15">
      <c r="A58" s="2"/>
      <c r="B58" s="2"/>
      <c r="C58" s="2"/>
      <c r="D58" s="2"/>
      <c r="E58" s="2"/>
      <c r="F58" s="2"/>
      <c r="G58" s="2"/>
      <c r="H58" s="2">
        <v>57</v>
      </c>
      <c r="I58">
        <v>0.48651738301223024</v>
      </c>
      <c r="J58" s="2">
        <f t="shared" si="1"/>
        <v>200</v>
      </c>
      <c r="K58" s="2"/>
      <c r="L58" s="2"/>
      <c r="M58" s="2"/>
    </row>
    <row r="59" spans="1:13" x14ac:dyDescent="0.15">
      <c r="A59" s="2"/>
      <c r="B59" s="2"/>
      <c r="C59" s="2"/>
      <c r="D59" s="2"/>
      <c r="E59" s="2"/>
      <c r="F59" s="2"/>
      <c r="G59" s="2"/>
      <c r="H59" s="2">
        <v>58</v>
      </c>
      <c r="I59">
        <v>0.89765628655331964</v>
      </c>
      <c r="J59" s="2">
        <f t="shared" si="1"/>
        <v>400</v>
      </c>
      <c r="K59" s="2"/>
      <c r="L59" s="2"/>
      <c r="M59" s="2"/>
    </row>
    <row r="60" spans="1:13" x14ac:dyDescent="0.15">
      <c r="A60" s="2"/>
      <c r="B60" s="2"/>
      <c r="C60" s="2"/>
      <c r="D60" s="2"/>
      <c r="E60" s="2"/>
      <c r="F60" s="2"/>
      <c r="G60" s="2"/>
      <c r="H60" s="2">
        <v>59</v>
      </c>
      <c r="I60">
        <v>0.90920810164381194</v>
      </c>
      <c r="J60" s="2">
        <f t="shared" si="1"/>
        <v>400</v>
      </c>
      <c r="K60" s="2"/>
      <c r="L60" s="2"/>
      <c r="M60" s="2"/>
    </row>
    <row r="61" spans="1:13" x14ac:dyDescent="0.15">
      <c r="A61" s="2"/>
      <c r="B61" s="2"/>
      <c r="C61" s="2"/>
      <c r="D61" s="2"/>
      <c r="E61" s="2"/>
      <c r="F61" s="2"/>
      <c r="G61" s="2"/>
      <c r="H61" s="2">
        <v>60</v>
      </c>
      <c r="I61">
        <v>6.0564327547589468E-2</v>
      </c>
      <c r="J61" s="2">
        <f t="shared" si="1"/>
        <v>100</v>
      </c>
      <c r="K61" s="2"/>
      <c r="L61" s="2"/>
      <c r="M61" s="2"/>
    </row>
    <row r="62" spans="1:13" x14ac:dyDescent="0.15">
      <c r="A62" s="2"/>
      <c r="B62" s="2"/>
      <c r="C62" s="2"/>
      <c r="D62" s="2"/>
      <c r="E62" s="2"/>
      <c r="F62" s="2"/>
      <c r="G62" s="2"/>
      <c r="H62" s="2">
        <v>61</v>
      </c>
      <c r="I62">
        <v>0.90465309233621372</v>
      </c>
      <c r="J62" s="2">
        <f t="shared" si="1"/>
        <v>400</v>
      </c>
      <c r="K62" s="2"/>
      <c r="L62" s="2"/>
      <c r="M62" s="2"/>
    </row>
    <row r="63" spans="1:13" x14ac:dyDescent="0.15">
      <c r="A63" s="2"/>
      <c r="B63" s="2"/>
      <c r="C63" s="2"/>
      <c r="D63" s="2"/>
      <c r="E63" s="2"/>
      <c r="F63" s="2"/>
      <c r="G63" s="2"/>
      <c r="H63" s="2">
        <v>62</v>
      </c>
      <c r="I63">
        <v>0.50452289474407341</v>
      </c>
      <c r="J63" s="2">
        <f t="shared" si="1"/>
        <v>300</v>
      </c>
      <c r="K63" s="2"/>
      <c r="L63" s="2"/>
      <c r="M63" s="2"/>
    </row>
    <row r="64" spans="1:13" x14ac:dyDescent="0.15">
      <c r="A64" s="2"/>
      <c r="B64" s="2"/>
      <c r="C64" s="2"/>
      <c r="D64" s="2"/>
      <c r="E64" s="2"/>
      <c r="F64" s="2"/>
      <c r="G64" s="2"/>
      <c r="H64" s="2">
        <v>63</v>
      </c>
      <c r="I64">
        <v>0.51629196364259899</v>
      </c>
      <c r="J64" s="2">
        <f t="shared" si="1"/>
        <v>300</v>
      </c>
      <c r="K64" s="2"/>
      <c r="L64" s="2"/>
      <c r="M64" s="2"/>
    </row>
    <row r="65" spans="1:13" x14ac:dyDescent="0.15">
      <c r="A65" s="2"/>
      <c r="B65" s="2"/>
      <c r="C65" s="2"/>
      <c r="D65" s="2"/>
      <c r="E65" s="2"/>
      <c r="F65" s="2"/>
      <c r="G65" s="2"/>
      <c r="H65" s="2">
        <v>64</v>
      </c>
      <c r="I65">
        <v>0.31903294116213587</v>
      </c>
      <c r="J65" s="2">
        <f t="shared" si="1"/>
        <v>200</v>
      </c>
      <c r="K65" s="2"/>
      <c r="L65" s="2"/>
      <c r="M65" s="2"/>
    </row>
    <row r="66" spans="1:13" x14ac:dyDescent="0.15">
      <c r="A66" s="2"/>
      <c r="B66" s="2"/>
      <c r="C66" s="2"/>
      <c r="D66" s="2"/>
      <c r="E66" s="2"/>
      <c r="F66" s="2"/>
      <c r="G66" s="2"/>
      <c r="H66" s="2">
        <v>65</v>
      </c>
      <c r="I66">
        <v>0.98664211201790819</v>
      </c>
      <c r="J66" s="2">
        <f t="shared" si="1"/>
        <v>400</v>
      </c>
      <c r="K66" s="2"/>
      <c r="L66" s="2"/>
      <c r="M66" s="2"/>
    </row>
    <row r="67" spans="1:13" x14ac:dyDescent="0.15">
      <c r="A67" s="2"/>
      <c r="B67" s="2"/>
      <c r="C67" s="2"/>
      <c r="D67" s="2"/>
      <c r="E67" s="2"/>
      <c r="F67" s="2"/>
      <c r="G67" s="2"/>
      <c r="H67" s="2">
        <v>66</v>
      </c>
      <c r="I67">
        <v>0.49397668498287756</v>
      </c>
      <c r="J67" s="2">
        <f t="shared" ref="J67:J101" si="3">_xlfn.XLOOKUP(I67,F$2:F$5,A$2:A$5,,1,1)</f>
        <v>200</v>
      </c>
      <c r="K67" s="2"/>
      <c r="L67" s="2"/>
      <c r="M67" s="2"/>
    </row>
    <row r="68" spans="1:13" x14ac:dyDescent="0.15">
      <c r="A68" s="2"/>
      <c r="B68" s="2"/>
      <c r="C68" s="2"/>
      <c r="D68" s="2"/>
      <c r="E68" s="2"/>
      <c r="F68" s="2"/>
      <c r="G68" s="2"/>
      <c r="H68" s="2">
        <v>67</v>
      </c>
      <c r="I68">
        <v>0.26614450722287619</v>
      </c>
      <c r="J68" s="2">
        <f t="shared" si="3"/>
        <v>200</v>
      </c>
      <c r="K68" s="2"/>
      <c r="L68" s="2"/>
      <c r="M68" s="2"/>
    </row>
    <row r="69" spans="1:13" x14ac:dyDescent="0.15">
      <c r="A69" s="2"/>
      <c r="B69" s="2"/>
      <c r="C69" s="2"/>
      <c r="D69" s="2"/>
      <c r="E69" s="2"/>
      <c r="F69" s="2"/>
      <c r="G69" s="2"/>
      <c r="H69" s="2">
        <v>68</v>
      </c>
      <c r="I69">
        <v>9.0732894880107093E-2</v>
      </c>
      <c r="J69" s="2">
        <f t="shared" si="3"/>
        <v>100</v>
      </c>
      <c r="K69" s="2"/>
      <c r="L69" s="2"/>
      <c r="M69" s="2"/>
    </row>
    <row r="70" spans="1:13" x14ac:dyDescent="0.15">
      <c r="A70" s="2"/>
      <c r="B70" s="2"/>
      <c r="C70" s="2"/>
      <c r="D70" s="2"/>
      <c r="E70" s="2"/>
      <c r="F70" s="2"/>
      <c r="G70" s="2"/>
      <c r="H70" s="2">
        <v>69</v>
      </c>
      <c r="I70">
        <v>0.94776424995985076</v>
      </c>
      <c r="J70" s="2">
        <f t="shared" si="3"/>
        <v>400</v>
      </c>
      <c r="K70" s="2"/>
      <c r="L70" s="2"/>
      <c r="M70" s="2"/>
    </row>
    <row r="71" spans="1:13" x14ac:dyDescent="0.15">
      <c r="A71" s="2"/>
      <c r="B71" s="2"/>
      <c r="C71" s="2"/>
      <c r="D71" s="2"/>
      <c r="E71" s="2"/>
      <c r="F71" s="2"/>
      <c r="G71" s="2"/>
      <c r="H71" s="2">
        <v>70</v>
      </c>
      <c r="I71">
        <v>7.374907521239904E-2</v>
      </c>
      <c r="J71" s="2">
        <f t="shared" si="3"/>
        <v>100</v>
      </c>
      <c r="K71" s="2"/>
      <c r="L71" s="2"/>
      <c r="M71" s="2"/>
    </row>
    <row r="72" spans="1:13" x14ac:dyDescent="0.15">
      <c r="A72" s="2"/>
      <c r="B72" s="2"/>
      <c r="C72" s="2"/>
      <c r="D72" s="2"/>
      <c r="E72" s="2"/>
      <c r="F72" s="2"/>
      <c r="G72" s="2"/>
      <c r="H72" s="2">
        <v>71</v>
      </c>
      <c r="I72">
        <v>0.50070709479074327</v>
      </c>
      <c r="J72" s="2">
        <f t="shared" si="3"/>
        <v>300</v>
      </c>
      <c r="K72" s="2"/>
      <c r="L72" s="2"/>
      <c r="M72" s="2"/>
    </row>
    <row r="73" spans="1:13" x14ac:dyDescent="0.15">
      <c r="A73" s="2"/>
      <c r="B73" s="2"/>
      <c r="C73" s="2"/>
      <c r="D73" s="2"/>
      <c r="E73" s="2"/>
      <c r="F73" s="2"/>
      <c r="G73" s="2"/>
      <c r="H73" s="2">
        <v>72</v>
      </c>
      <c r="I73">
        <v>0.38414214802167479</v>
      </c>
      <c r="J73" s="2">
        <f t="shared" si="3"/>
        <v>200</v>
      </c>
      <c r="K73" s="2"/>
      <c r="L73" s="2"/>
      <c r="M73" s="2"/>
    </row>
    <row r="74" spans="1:13" x14ac:dyDescent="0.15">
      <c r="A74" s="2"/>
      <c r="B74" s="2"/>
      <c r="C74" s="2"/>
      <c r="D74" s="2"/>
      <c r="E74" s="2"/>
      <c r="F74" s="2"/>
      <c r="G74" s="2"/>
      <c r="H74" s="2">
        <v>73</v>
      </c>
      <c r="I74">
        <v>0.27708180028809321</v>
      </c>
      <c r="J74" s="2">
        <f t="shared" si="3"/>
        <v>200</v>
      </c>
      <c r="K74" s="2"/>
      <c r="L74" s="2"/>
      <c r="M74" s="2"/>
    </row>
    <row r="75" spans="1:13" x14ac:dyDescent="0.15">
      <c r="A75" s="2"/>
      <c r="B75" s="2"/>
      <c r="C75" s="2"/>
      <c r="D75" s="2"/>
      <c r="E75" s="2"/>
      <c r="F75" s="2"/>
      <c r="G75" s="2"/>
      <c r="H75" s="2">
        <v>74</v>
      </c>
      <c r="I75">
        <v>0.91381744198213211</v>
      </c>
      <c r="J75" s="2">
        <f t="shared" si="3"/>
        <v>400</v>
      </c>
      <c r="K75" s="2"/>
      <c r="L75" s="2"/>
      <c r="M75" s="2"/>
    </row>
    <row r="76" spans="1:13" x14ac:dyDescent="0.15">
      <c r="A76" s="2"/>
      <c r="B76" s="2"/>
      <c r="C76" s="2"/>
      <c r="D76" s="2"/>
      <c r="E76" s="2"/>
      <c r="F76" s="2"/>
      <c r="G76" s="2"/>
      <c r="H76" s="2">
        <v>75</v>
      </c>
      <c r="I76">
        <v>0.52974739369458868</v>
      </c>
      <c r="J76" s="2">
        <f t="shared" si="3"/>
        <v>300</v>
      </c>
      <c r="K76" s="2"/>
      <c r="L76" s="2"/>
      <c r="M76" s="2"/>
    </row>
    <row r="77" spans="1:13" x14ac:dyDescent="0.15">
      <c r="A77" s="2"/>
      <c r="B77" s="2"/>
      <c r="C77" s="2"/>
      <c r="D77" s="2"/>
      <c r="E77" s="2"/>
      <c r="F77" s="2"/>
      <c r="G77" s="2"/>
      <c r="H77" s="2">
        <v>76</v>
      </c>
      <c r="I77">
        <v>0.46444582495114106</v>
      </c>
      <c r="J77" s="2">
        <f t="shared" si="3"/>
        <v>200</v>
      </c>
      <c r="K77" s="2"/>
      <c r="L77" s="2"/>
      <c r="M77" s="2"/>
    </row>
    <row r="78" spans="1:13" x14ac:dyDescent="0.15">
      <c r="A78" s="2"/>
      <c r="B78" s="2"/>
      <c r="C78" s="2"/>
      <c r="D78" s="2"/>
      <c r="E78" s="2"/>
      <c r="F78" s="2"/>
      <c r="G78" s="2"/>
      <c r="H78" s="2">
        <v>77</v>
      </c>
      <c r="I78">
        <v>0.94097995382779276</v>
      </c>
      <c r="J78" s="2">
        <f t="shared" si="3"/>
        <v>400</v>
      </c>
      <c r="K78" s="2"/>
      <c r="L78" s="2"/>
      <c r="M78" s="2"/>
    </row>
    <row r="79" spans="1:13" x14ac:dyDescent="0.15">
      <c r="A79" s="2"/>
      <c r="B79" s="2"/>
      <c r="C79" s="2"/>
      <c r="D79" s="2"/>
      <c r="E79" s="2"/>
      <c r="F79" s="2"/>
      <c r="G79" s="2"/>
      <c r="H79" s="2">
        <v>78</v>
      </c>
      <c r="I79">
        <v>5.0083983712868756E-2</v>
      </c>
      <c r="J79" s="2">
        <f t="shared" si="3"/>
        <v>100</v>
      </c>
      <c r="K79" s="2"/>
      <c r="L79" s="2"/>
      <c r="M79" s="2"/>
    </row>
    <row r="80" spans="1:13" x14ac:dyDescent="0.15">
      <c r="A80" s="2"/>
      <c r="B80" s="2"/>
      <c r="C80" s="2"/>
      <c r="D80" s="2"/>
      <c r="E80" s="2"/>
      <c r="F80" s="2"/>
      <c r="G80" s="2"/>
      <c r="H80" s="2">
        <v>79</v>
      </c>
      <c r="I80">
        <v>0.76151426218520579</v>
      </c>
      <c r="J80" s="2">
        <f t="shared" si="3"/>
        <v>300</v>
      </c>
      <c r="K80" s="2"/>
      <c r="L80" s="2"/>
      <c r="M80" s="2"/>
    </row>
    <row r="81" spans="1:13" x14ac:dyDescent="0.15">
      <c r="A81" s="2"/>
      <c r="B81" s="2"/>
      <c r="C81" s="2"/>
      <c r="D81" s="2"/>
      <c r="E81" s="2"/>
      <c r="F81" s="2"/>
      <c r="G81" s="2"/>
      <c r="H81" s="2">
        <v>80</v>
      </c>
      <c r="I81">
        <v>0.77020454675434369</v>
      </c>
      <c r="J81" s="2">
        <f t="shared" si="3"/>
        <v>300</v>
      </c>
      <c r="K81" s="2"/>
      <c r="L81" s="2"/>
      <c r="M81" s="2"/>
    </row>
    <row r="82" spans="1:13" x14ac:dyDescent="0.15">
      <c r="A82" s="2"/>
      <c r="B82" s="2"/>
      <c r="C82" s="2"/>
      <c r="D82" s="2"/>
      <c r="E82" s="2"/>
      <c r="F82" s="2"/>
      <c r="G82" s="2"/>
      <c r="H82" s="2">
        <v>81</v>
      </c>
      <c r="I82">
        <v>0.82781730025439393</v>
      </c>
      <c r="J82" s="2">
        <f t="shared" si="3"/>
        <v>300</v>
      </c>
      <c r="K82" s="2"/>
      <c r="L82" s="2"/>
      <c r="M82" s="2"/>
    </row>
    <row r="83" spans="1:13" x14ac:dyDescent="0.15">
      <c r="A83" s="2"/>
      <c r="B83" s="2"/>
      <c r="C83" s="2"/>
      <c r="D83" s="2"/>
      <c r="E83" s="2"/>
      <c r="F83" s="2"/>
      <c r="G83" s="2"/>
      <c r="H83" s="2">
        <v>82</v>
      </c>
      <c r="I83">
        <v>0.12536537559952837</v>
      </c>
      <c r="J83" s="2">
        <f t="shared" si="3"/>
        <v>100</v>
      </c>
      <c r="K83" s="2"/>
      <c r="L83" s="2"/>
      <c r="M83" s="2"/>
    </row>
    <row r="84" spans="1:13" x14ac:dyDescent="0.15">
      <c r="A84" s="2"/>
      <c r="B84" s="2"/>
      <c r="C84" s="2"/>
      <c r="D84" s="2"/>
      <c r="E84" s="2"/>
      <c r="F84" s="2"/>
      <c r="G84" s="2"/>
      <c r="H84" s="2">
        <v>83</v>
      </c>
      <c r="I84">
        <v>1.5867701273349907E-2</v>
      </c>
      <c r="J84" s="2">
        <f t="shared" si="3"/>
        <v>100</v>
      </c>
      <c r="K84" s="2"/>
      <c r="L84" s="2"/>
      <c r="M84" s="2"/>
    </row>
    <row r="85" spans="1:13" x14ac:dyDescent="0.15">
      <c r="A85" s="2"/>
      <c r="B85" s="2"/>
      <c r="C85" s="2"/>
      <c r="D85" s="2"/>
      <c r="E85" s="2"/>
      <c r="F85" s="2"/>
      <c r="G85" s="2"/>
      <c r="H85" s="2">
        <v>84</v>
      </c>
      <c r="I85">
        <v>0.68845530119186982</v>
      </c>
      <c r="J85" s="2">
        <f t="shared" si="3"/>
        <v>300</v>
      </c>
      <c r="K85" s="2"/>
      <c r="L85" s="2"/>
      <c r="M85" s="2"/>
    </row>
    <row r="86" spans="1:13" x14ac:dyDescent="0.15">
      <c r="A86" s="2"/>
      <c r="B86" s="2"/>
      <c r="C86" s="2"/>
      <c r="D86" s="2"/>
      <c r="E86" s="2"/>
      <c r="F86" s="2"/>
      <c r="G86" s="2"/>
      <c r="H86" s="2">
        <v>85</v>
      </c>
      <c r="I86">
        <v>0.86824713175569057</v>
      </c>
      <c r="J86" s="2">
        <f t="shared" si="3"/>
        <v>300</v>
      </c>
      <c r="K86" s="2"/>
      <c r="L86" s="2"/>
      <c r="M86" s="2"/>
    </row>
    <row r="87" spans="1:13" x14ac:dyDescent="0.15">
      <c r="A87" s="2"/>
      <c r="B87" s="2"/>
      <c r="C87" s="2"/>
      <c r="D87" s="2"/>
      <c r="E87" s="2"/>
      <c r="F87" s="2"/>
      <c r="G87" s="2"/>
      <c r="H87" s="2">
        <v>86</v>
      </c>
      <c r="I87">
        <v>0.62954341789220614</v>
      </c>
      <c r="J87" s="2">
        <f t="shared" si="3"/>
        <v>300</v>
      </c>
      <c r="K87" s="2"/>
      <c r="L87" s="2"/>
      <c r="M87" s="2"/>
    </row>
    <row r="88" spans="1:13" x14ac:dyDescent="0.15">
      <c r="A88" s="2"/>
      <c r="B88" s="2"/>
      <c r="C88" s="2"/>
      <c r="D88" s="2"/>
      <c r="E88" s="2"/>
      <c r="F88" s="2"/>
      <c r="G88" s="2"/>
      <c r="H88" s="2">
        <v>87</v>
      </c>
      <c r="I88">
        <v>0.73622451430942137</v>
      </c>
      <c r="J88" s="2">
        <f t="shared" si="3"/>
        <v>300</v>
      </c>
      <c r="K88" s="2"/>
      <c r="L88" s="2"/>
      <c r="M88" s="2"/>
    </row>
    <row r="89" spans="1:13" x14ac:dyDescent="0.15">
      <c r="A89" s="2"/>
      <c r="B89" s="2"/>
      <c r="C89" s="2"/>
      <c r="D89" s="2"/>
      <c r="E89" s="2"/>
      <c r="F89" s="2"/>
      <c r="G89" s="2"/>
      <c r="H89" s="2">
        <v>88</v>
      </c>
      <c r="I89">
        <v>0.7254119984458256</v>
      </c>
      <c r="J89" s="2">
        <f t="shared" si="3"/>
        <v>300</v>
      </c>
      <c r="K89" s="2"/>
      <c r="L89" s="2"/>
      <c r="M89" s="2"/>
    </row>
    <row r="90" spans="1:13" x14ac:dyDescent="0.15">
      <c r="A90" s="2"/>
      <c r="B90" s="2"/>
      <c r="C90" s="2"/>
      <c r="D90" s="2"/>
      <c r="E90" s="2"/>
      <c r="F90" s="2"/>
      <c r="G90" s="2"/>
      <c r="H90" s="2">
        <v>89</v>
      </c>
      <c r="I90">
        <v>0.99945787899170901</v>
      </c>
      <c r="J90" s="2">
        <f t="shared" si="3"/>
        <v>400</v>
      </c>
      <c r="K90" s="2"/>
      <c r="L90" s="2"/>
      <c r="M90" s="2"/>
    </row>
    <row r="91" spans="1:13" x14ac:dyDescent="0.15">
      <c r="A91" s="2"/>
      <c r="B91" s="2"/>
      <c r="C91" s="2"/>
      <c r="D91" s="2"/>
      <c r="E91" s="2"/>
      <c r="F91" s="2"/>
      <c r="G91" s="2"/>
      <c r="H91" s="2">
        <v>90</v>
      </c>
      <c r="I91">
        <v>0.88857221365374151</v>
      </c>
      <c r="J91" s="2">
        <f t="shared" si="3"/>
        <v>300</v>
      </c>
      <c r="K91" s="2"/>
      <c r="L91" s="2"/>
      <c r="M91" s="2"/>
    </row>
    <row r="92" spans="1:13" x14ac:dyDescent="0.15">
      <c r="A92" s="2"/>
      <c r="B92" s="2"/>
      <c r="C92" s="2"/>
      <c r="D92" s="2"/>
      <c r="E92" s="2"/>
      <c r="F92" s="2"/>
      <c r="G92" s="2"/>
      <c r="H92" s="2">
        <v>91</v>
      </c>
      <c r="I92">
        <v>0.23319487843345613</v>
      </c>
      <c r="J92" s="2">
        <f t="shared" si="3"/>
        <v>200</v>
      </c>
      <c r="K92" s="2"/>
      <c r="L92" s="2"/>
      <c r="M92" s="2"/>
    </row>
    <row r="93" spans="1:13" x14ac:dyDescent="0.15">
      <c r="A93" s="2"/>
      <c r="B93" s="2"/>
      <c r="C93" s="2"/>
      <c r="D93" s="2"/>
      <c r="E93" s="2"/>
      <c r="F93" s="2"/>
      <c r="G93" s="2"/>
      <c r="H93" s="2">
        <v>92</v>
      </c>
      <c r="I93">
        <v>0.30632183109704492</v>
      </c>
      <c r="J93" s="2">
        <f t="shared" si="3"/>
        <v>200</v>
      </c>
      <c r="K93" s="2"/>
      <c r="L93" s="2"/>
      <c r="M93" s="2"/>
    </row>
    <row r="94" spans="1:13" x14ac:dyDescent="0.15">
      <c r="A94" s="2"/>
      <c r="B94" s="2"/>
      <c r="C94" s="2"/>
      <c r="D94" s="2"/>
      <c r="E94" s="2"/>
      <c r="F94" s="2"/>
      <c r="G94" s="2"/>
      <c r="H94" s="2">
        <v>93</v>
      </c>
      <c r="I94">
        <v>0.35101524803369083</v>
      </c>
      <c r="J94" s="2">
        <f t="shared" si="3"/>
        <v>200</v>
      </c>
      <c r="K94" s="2"/>
      <c r="L94" s="2"/>
      <c r="M94" s="2"/>
    </row>
    <row r="95" spans="1:13" x14ac:dyDescent="0.15">
      <c r="A95" s="2"/>
      <c r="B95" s="2"/>
      <c r="C95" s="2"/>
      <c r="D95" s="2"/>
      <c r="E95" s="2"/>
      <c r="F95" s="2"/>
      <c r="G95" s="2"/>
      <c r="H95" s="2">
        <v>94</v>
      </c>
      <c r="I95">
        <v>0.51327370224207347</v>
      </c>
      <c r="J95" s="2">
        <f t="shared" si="3"/>
        <v>300</v>
      </c>
      <c r="K95" s="2"/>
      <c r="L95" s="2"/>
      <c r="M95" s="2"/>
    </row>
    <row r="96" spans="1:13" x14ac:dyDescent="0.15">
      <c r="A96" s="2"/>
      <c r="B96" s="2"/>
      <c r="C96" s="2"/>
      <c r="D96" s="2"/>
      <c r="E96" s="2"/>
      <c r="F96" s="2"/>
      <c r="G96" s="2"/>
      <c r="H96" s="2">
        <v>95</v>
      </c>
      <c r="I96">
        <v>0.59111358252871482</v>
      </c>
      <c r="J96" s="2">
        <f t="shared" si="3"/>
        <v>300</v>
      </c>
      <c r="K96" s="2"/>
      <c r="L96" s="2"/>
      <c r="M96" s="2"/>
    </row>
    <row r="97" spans="1:13" x14ac:dyDescent="0.15">
      <c r="A97" s="2"/>
      <c r="B97" s="2"/>
      <c r="C97" s="2"/>
      <c r="D97" s="2"/>
      <c r="E97" s="2"/>
      <c r="F97" s="2"/>
      <c r="G97" s="2"/>
      <c r="H97" s="2">
        <v>96</v>
      </c>
      <c r="I97">
        <v>0.84598156011010595</v>
      </c>
      <c r="J97" s="2">
        <f t="shared" si="3"/>
        <v>300</v>
      </c>
      <c r="K97" s="2"/>
      <c r="L97" s="2"/>
      <c r="M97" s="2"/>
    </row>
    <row r="98" spans="1:13" x14ac:dyDescent="0.15">
      <c r="A98" s="2"/>
      <c r="B98" s="2"/>
      <c r="C98" s="2"/>
      <c r="D98" s="2"/>
      <c r="E98" s="2"/>
      <c r="F98" s="2"/>
      <c r="G98" s="2"/>
      <c r="H98" s="2">
        <v>97</v>
      </c>
      <c r="I98">
        <v>0.41208077055033332</v>
      </c>
      <c r="J98" s="2">
        <f t="shared" si="3"/>
        <v>200</v>
      </c>
      <c r="K98" s="2"/>
      <c r="L98" s="2"/>
      <c r="M98" s="2"/>
    </row>
    <row r="99" spans="1:13" x14ac:dyDescent="0.15">
      <c r="A99" s="2"/>
      <c r="B99" s="2"/>
      <c r="C99" s="2"/>
      <c r="D99" s="2"/>
      <c r="E99" s="2"/>
      <c r="F99" s="2"/>
      <c r="G99" s="2"/>
      <c r="H99" s="2">
        <v>98</v>
      </c>
      <c r="I99">
        <v>0.84151063945214755</v>
      </c>
      <c r="J99" s="2">
        <f t="shared" si="3"/>
        <v>300</v>
      </c>
      <c r="K99" s="2"/>
      <c r="L99" s="2"/>
      <c r="M99" s="2"/>
    </row>
    <row r="100" spans="1:13" x14ac:dyDescent="0.15">
      <c r="A100" s="2"/>
      <c r="B100" s="2"/>
      <c r="C100" s="2"/>
      <c r="D100" s="2"/>
      <c r="E100" s="2"/>
      <c r="F100" s="2"/>
      <c r="G100" s="2"/>
      <c r="H100" s="2">
        <v>99</v>
      </c>
      <c r="I100">
        <v>0.2693172722446347</v>
      </c>
      <c r="J100" s="2">
        <f t="shared" si="3"/>
        <v>200</v>
      </c>
      <c r="K100" s="2"/>
      <c r="L100" s="2"/>
      <c r="M100" s="2"/>
    </row>
    <row r="101" spans="1:13" x14ac:dyDescent="0.15">
      <c r="A101" s="2"/>
      <c r="B101" s="2"/>
      <c r="C101" s="2"/>
      <c r="D101" s="2"/>
      <c r="E101" s="2"/>
      <c r="F101" s="2"/>
      <c r="G101" s="2"/>
      <c r="H101" s="2">
        <v>100</v>
      </c>
      <c r="I101">
        <v>0.41539461557538931</v>
      </c>
      <c r="J101" s="2">
        <f t="shared" si="3"/>
        <v>200</v>
      </c>
      <c r="K101" s="2"/>
      <c r="L101" s="2"/>
      <c r="M10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D85C8-B2E2-46AC-A14F-DE11A25E9BD4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89c7a8c3-a03a-420b-ac21-90cd38a91df7"/>
  </ds:schemaRefs>
</ds:datastoreItem>
</file>

<file path=customXml/itemProps2.xml><?xml version="1.0" encoding="utf-8"?>
<ds:datastoreItem xmlns:ds="http://schemas.openxmlformats.org/officeDocument/2006/customXml" ds:itemID="{A2A0D151-1120-45E4-A789-21B84C49C4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DFB21F-B1B6-4805-A78B-913E7C1A4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Risk</vt:lpstr>
      <vt:lpstr>Customer reaction</vt:lpstr>
      <vt:lpstr>Medical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BUNTHIT WATANAPA</dc:creator>
  <cp:lastModifiedBy>KRISSANA PIPUTPRUEDTIGUL</cp:lastModifiedBy>
  <dcterms:created xsi:type="dcterms:W3CDTF">2024-04-28T11:11:40Z</dcterms:created>
  <dcterms:modified xsi:type="dcterms:W3CDTF">2025-05-09T14:08:16Z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