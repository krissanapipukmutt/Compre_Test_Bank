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codeName="ThisWorkbook" hidePivotFieldList="1" defaultThemeVersion="124226"/>
  <mc:AlternateContent xmlns:mc="http://schemas.openxmlformats.org/markup-compatibility/2006">
    <mc:Choice Requires="x15">
      <x15ac:absPath xmlns:x15ac="http://schemas.microsoft.com/office/spreadsheetml/2010/11/ac" url="https://kmuttsit-my.sharepoint.com/personal/67130701930_ad_sit_kmutt_ac_th/Documents/KMUTT/TERM1/BIS602/Final/Exersice/Lecture 9 BI and Visualization/Homework L9/"/>
    </mc:Choice>
  </mc:AlternateContent>
  <xr:revisionPtr revIDLastSave="0" documentId="8_{C5E675C7-9447-40CD-8425-FC017079B246}" xr6:coauthVersionLast="47" xr6:coauthVersionMax="47" xr10:uidLastSave="{00000000-0000-0000-0000-000000000000}"/>
  <bookViews>
    <workbookView xWindow="-51200" yWindow="-2940" windowWidth="51200" windowHeight="28800" xr2:uid="{00000000-000D-0000-FFFF-FFFF00000000}"/>
  </bookViews>
  <sheets>
    <sheet name="Customer Relations" sheetId="3" r:id="rId1"/>
  </sheets>
  <externalReferences>
    <externalReference r:id="rId2"/>
  </externalReferences>
  <definedNames>
    <definedName name="_xlnm._FilterDatabase" localSheetId="0" hidden="1">'Customer Relations'!$B$1:$N$511</definedName>
    <definedName name="Breakeven_Quantity">#REF!</definedName>
    <definedName name="BudgetTab">#REF!</definedName>
    <definedName name="Capacity">#REF!</definedName>
    <definedName name="Contribution_Margin">#REF!</definedName>
    <definedName name="Currency_List">OFFSET([0]!Microsoft_Investor_Currency_Rates, 4, 0, ROWS([0]!Microsoft_Investor_Currency_Rates) - 12, 1)</definedName>
    <definedName name="Currency_List_Lookup">OFFSET([0]!Microsoft_Investor_Currency_Rates, 4, 0, ROWS([0]!Microsoft_Investor_Currency_Rates) - 12, 3)</definedName>
    <definedName name="Current_Fixed_Costs">#REF!</definedName>
    <definedName name="Firm_A">#REF!</definedName>
    <definedName name="Firm_B">#REF!</definedName>
    <definedName name="Firm_C">#REF!</definedName>
    <definedName name="Fixed_costs">#REF!</definedName>
    <definedName name="Increase_in">#REF!</definedName>
    <definedName name="Interest_Rate">#REF!</definedName>
    <definedName name="Loan_Amount">#REF!</definedName>
    <definedName name="Loan_Payment">#REF!</definedName>
    <definedName name="Loan_Term">#REF!</definedName>
    <definedName name="Margin">#REF!</definedName>
    <definedName name="Microsoft_Investor_Currency_Rates">#REF!</definedName>
    <definedName name="Net_operating">#REF!</definedName>
    <definedName name="New_Fixed_Costs">#REF!</definedName>
    <definedName name="Price">#REF!</definedName>
    <definedName name="_xlnm.Print_Titles" localSheetId="0">'Customer Relations'!$1:$1</definedName>
    <definedName name="Sales">#REF!</definedName>
    <definedName name="Sales_price">#REF!</definedName>
    <definedName name="sdf">[1]Formulas!$B$3</definedName>
    <definedName name="Store_A">#REF!</definedName>
    <definedName name="Store_B">#REF!</definedName>
    <definedName name="Store_C">#REF!</definedName>
    <definedName name="Total_sales">#REF!</definedName>
    <definedName name="Unit_price">#REF!</definedName>
    <definedName name="Unit_sales">#REF!</definedName>
    <definedName name="Units_Sold">#REF!</definedName>
    <definedName name="Variable_Costs">#REF!</definedName>
  </definedNames>
  <calcPr calcId="191028" calcOnSave="0" concurrentCalc="0"/>
  <pivotCaches>
    <pivotCache cacheId="3002" r:id="rId3"/>
    <pivotCache cacheId="3003"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11" i="3" l="1"/>
  <c r="G511" i="3"/>
  <c r="J511" i="3" s="1"/>
  <c r="N511" i="3" s="1"/>
  <c r="A511" i="3"/>
  <c r="I510" i="3"/>
  <c r="G510" i="3"/>
  <c r="J510" i="3" s="1"/>
  <c r="N510" i="3" s="1"/>
  <c r="A510" i="3"/>
  <c r="I509" i="3"/>
  <c r="G509" i="3"/>
  <c r="J509" i="3" s="1"/>
  <c r="N509" i="3" s="1"/>
  <c r="A509" i="3"/>
  <c r="I508" i="3"/>
  <c r="G508" i="3"/>
  <c r="J508" i="3" s="1"/>
  <c r="N508" i="3" s="1"/>
  <c r="A508" i="3"/>
  <c r="I507" i="3"/>
  <c r="G507" i="3"/>
  <c r="J507" i="3" s="1"/>
  <c r="N507" i="3" s="1"/>
  <c r="A507" i="3"/>
  <c r="I506" i="3"/>
  <c r="G506" i="3"/>
  <c r="J506" i="3" s="1"/>
  <c r="N506" i="3" s="1"/>
  <c r="A506" i="3"/>
  <c r="I505" i="3"/>
  <c r="G505" i="3"/>
  <c r="J505" i="3" s="1"/>
  <c r="N505" i="3" s="1"/>
  <c r="A505" i="3"/>
  <c r="I504" i="3"/>
  <c r="G504" i="3"/>
  <c r="J504" i="3" s="1"/>
  <c r="N504" i="3" s="1"/>
  <c r="A504" i="3"/>
  <c r="I503" i="3"/>
  <c r="G503" i="3"/>
  <c r="J503" i="3" s="1"/>
  <c r="N503" i="3" s="1"/>
  <c r="A503" i="3"/>
  <c r="I502" i="3"/>
  <c r="G502" i="3"/>
  <c r="J502" i="3" s="1"/>
  <c r="N502" i="3" s="1"/>
  <c r="A502" i="3"/>
  <c r="I501" i="3"/>
  <c r="G501" i="3"/>
  <c r="J501" i="3" s="1"/>
  <c r="N501" i="3" s="1"/>
  <c r="A501" i="3"/>
  <c r="I500" i="3"/>
  <c r="G500" i="3"/>
  <c r="J500" i="3" s="1"/>
  <c r="N500" i="3" s="1"/>
  <c r="A500" i="3"/>
  <c r="I499" i="3"/>
  <c r="G499" i="3"/>
  <c r="J499" i="3" s="1"/>
  <c r="N499" i="3" s="1"/>
  <c r="A499" i="3"/>
  <c r="I498" i="3"/>
  <c r="G498" i="3"/>
  <c r="J498" i="3" s="1"/>
  <c r="N498" i="3" s="1"/>
  <c r="A498" i="3"/>
  <c r="I497" i="3"/>
  <c r="G497" i="3"/>
  <c r="J497" i="3" s="1"/>
  <c r="N497" i="3" s="1"/>
  <c r="A497" i="3"/>
  <c r="I496" i="3"/>
  <c r="G496" i="3"/>
  <c r="J496" i="3" s="1"/>
  <c r="N496" i="3" s="1"/>
  <c r="A496" i="3"/>
  <c r="I495" i="3"/>
  <c r="G495" i="3"/>
  <c r="J495" i="3" s="1"/>
  <c r="N495" i="3" s="1"/>
  <c r="A495" i="3"/>
  <c r="I494" i="3"/>
  <c r="G494" i="3"/>
  <c r="J494" i="3" s="1"/>
  <c r="N494" i="3" s="1"/>
  <c r="A494" i="3"/>
  <c r="I493" i="3"/>
  <c r="G493" i="3"/>
  <c r="J493" i="3" s="1"/>
  <c r="N493" i="3" s="1"/>
  <c r="A493" i="3"/>
  <c r="I492" i="3"/>
  <c r="G492" i="3"/>
  <c r="J492" i="3" s="1"/>
  <c r="N492" i="3" s="1"/>
  <c r="A492" i="3"/>
  <c r="I491" i="3"/>
  <c r="G491" i="3"/>
  <c r="J491" i="3" s="1"/>
  <c r="N491" i="3" s="1"/>
  <c r="A491" i="3"/>
  <c r="I490" i="3"/>
  <c r="G490" i="3"/>
  <c r="J490" i="3" s="1"/>
  <c r="N490" i="3" s="1"/>
  <c r="A490" i="3"/>
  <c r="I489" i="3"/>
  <c r="G489" i="3"/>
  <c r="J489" i="3" s="1"/>
  <c r="N489" i="3" s="1"/>
  <c r="A489" i="3"/>
  <c r="I488" i="3"/>
  <c r="G488" i="3"/>
  <c r="J488" i="3" s="1"/>
  <c r="N488" i="3" s="1"/>
  <c r="A488" i="3"/>
  <c r="I487" i="3"/>
  <c r="G487" i="3"/>
  <c r="J487" i="3" s="1"/>
  <c r="N487" i="3" s="1"/>
  <c r="A487" i="3"/>
  <c r="I486" i="3"/>
  <c r="G486" i="3"/>
  <c r="J486" i="3" s="1"/>
  <c r="N486" i="3" s="1"/>
  <c r="A486" i="3"/>
  <c r="I485" i="3"/>
  <c r="G485" i="3"/>
  <c r="J485" i="3" s="1"/>
  <c r="N485" i="3" s="1"/>
  <c r="A485" i="3"/>
  <c r="I484" i="3"/>
  <c r="G484" i="3"/>
  <c r="J484" i="3" s="1"/>
  <c r="N484" i="3" s="1"/>
  <c r="A484" i="3"/>
  <c r="I483" i="3"/>
  <c r="G483" i="3"/>
  <c r="J483" i="3" s="1"/>
  <c r="N483" i="3" s="1"/>
  <c r="A483" i="3"/>
  <c r="I482" i="3"/>
  <c r="G482" i="3"/>
  <c r="J482" i="3" s="1"/>
  <c r="N482" i="3" s="1"/>
  <c r="A482" i="3"/>
  <c r="I481" i="3"/>
  <c r="G481" i="3"/>
  <c r="J481" i="3" s="1"/>
  <c r="N481" i="3" s="1"/>
  <c r="A481" i="3"/>
  <c r="I480" i="3"/>
  <c r="G480" i="3"/>
  <c r="J480" i="3" s="1"/>
  <c r="N480" i="3" s="1"/>
  <c r="A480" i="3"/>
  <c r="I479" i="3"/>
  <c r="G479" i="3"/>
  <c r="J479" i="3" s="1"/>
  <c r="N479" i="3" s="1"/>
  <c r="A479" i="3"/>
  <c r="I478" i="3"/>
  <c r="G478" i="3"/>
  <c r="J478" i="3" s="1"/>
  <c r="N478" i="3" s="1"/>
  <c r="A478" i="3"/>
  <c r="I477" i="3"/>
  <c r="G477" i="3"/>
  <c r="J477" i="3" s="1"/>
  <c r="N477" i="3" s="1"/>
  <c r="A477" i="3"/>
  <c r="I476" i="3"/>
  <c r="G476" i="3"/>
  <c r="J476" i="3" s="1"/>
  <c r="N476" i="3" s="1"/>
  <c r="A476" i="3"/>
  <c r="I475" i="3"/>
  <c r="G475" i="3"/>
  <c r="J475" i="3" s="1"/>
  <c r="N475" i="3" s="1"/>
  <c r="A475" i="3"/>
  <c r="I474" i="3"/>
  <c r="G474" i="3"/>
  <c r="J474" i="3" s="1"/>
  <c r="N474" i="3" s="1"/>
  <c r="A474" i="3"/>
  <c r="I473" i="3"/>
  <c r="G473" i="3"/>
  <c r="J473" i="3" s="1"/>
  <c r="N473" i="3" s="1"/>
  <c r="A473" i="3"/>
  <c r="I472" i="3"/>
  <c r="G472" i="3"/>
  <c r="J472" i="3" s="1"/>
  <c r="N472" i="3" s="1"/>
  <c r="A472" i="3"/>
  <c r="I471" i="3"/>
  <c r="G471" i="3"/>
  <c r="J471" i="3" s="1"/>
  <c r="N471" i="3" s="1"/>
  <c r="A471" i="3"/>
  <c r="I470" i="3"/>
  <c r="G470" i="3"/>
  <c r="J470" i="3" s="1"/>
  <c r="N470" i="3" s="1"/>
  <c r="A470" i="3"/>
  <c r="I469" i="3"/>
  <c r="G469" i="3"/>
  <c r="J469" i="3" s="1"/>
  <c r="N469" i="3" s="1"/>
  <c r="A469" i="3"/>
  <c r="I468" i="3"/>
  <c r="G468" i="3"/>
  <c r="J468" i="3" s="1"/>
  <c r="N468" i="3" s="1"/>
  <c r="A468" i="3"/>
  <c r="I467" i="3"/>
  <c r="G467" i="3"/>
  <c r="J467" i="3" s="1"/>
  <c r="N467" i="3" s="1"/>
  <c r="A467" i="3"/>
  <c r="I466" i="3"/>
  <c r="G466" i="3"/>
  <c r="J466" i="3" s="1"/>
  <c r="N466" i="3" s="1"/>
  <c r="A466" i="3"/>
  <c r="I465" i="3"/>
  <c r="G465" i="3"/>
  <c r="J465" i="3" s="1"/>
  <c r="N465" i="3" s="1"/>
  <c r="A465" i="3"/>
  <c r="I464" i="3"/>
  <c r="G464" i="3"/>
  <c r="J464" i="3" s="1"/>
  <c r="N464" i="3" s="1"/>
  <c r="A464" i="3"/>
  <c r="I463" i="3"/>
  <c r="G463" i="3"/>
  <c r="J463" i="3" s="1"/>
  <c r="N463" i="3" s="1"/>
  <c r="A463" i="3"/>
  <c r="I462" i="3"/>
  <c r="G462" i="3"/>
  <c r="J462" i="3" s="1"/>
  <c r="N462" i="3" s="1"/>
  <c r="A462" i="3"/>
  <c r="I461" i="3"/>
  <c r="G461" i="3"/>
  <c r="J461" i="3" s="1"/>
  <c r="N461" i="3" s="1"/>
  <c r="A461" i="3"/>
  <c r="I460" i="3"/>
  <c r="G460" i="3"/>
  <c r="J460" i="3" s="1"/>
  <c r="N460" i="3" s="1"/>
  <c r="A460" i="3"/>
  <c r="I459" i="3"/>
  <c r="G459" i="3"/>
  <c r="J459" i="3" s="1"/>
  <c r="N459" i="3" s="1"/>
  <c r="A459" i="3"/>
  <c r="I458" i="3"/>
  <c r="G458" i="3"/>
  <c r="J458" i="3" s="1"/>
  <c r="N458" i="3" s="1"/>
  <c r="A458" i="3"/>
  <c r="I457" i="3"/>
  <c r="G457" i="3"/>
  <c r="J457" i="3" s="1"/>
  <c r="N457" i="3" s="1"/>
  <c r="A457" i="3"/>
  <c r="I456" i="3"/>
  <c r="G456" i="3"/>
  <c r="J456" i="3" s="1"/>
  <c r="N456" i="3" s="1"/>
  <c r="A456" i="3"/>
  <c r="I455" i="3"/>
  <c r="G455" i="3"/>
  <c r="J455" i="3" s="1"/>
  <c r="N455" i="3" s="1"/>
  <c r="A455" i="3"/>
  <c r="I454" i="3"/>
  <c r="G454" i="3"/>
  <c r="J454" i="3" s="1"/>
  <c r="N454" i="3" s="1"/>
  <c r="A454" i="3"/>
  <c r="I453" i="3"/>
  <c r="G453" i="3"/>
  <c r="J453" i="3" s="1"/>
  <c r="N453" i="3" s="1"/>
  <c r="A453" i="3"/>
  <c r="I452" i="3"/>
  <c r="G452" i="3"/>
  <c r="J452" i="3" s="1"/>
  <c r="N452" i="3" s="1"/>
  <c r="A452" i="3"/>
  <c r="I451" i="3"/>
  <c r="G451" i="3"/>
  <c r="J451" i="3" s="1"/>
  <c r="N451" i="3" s="1"/>
  <c r="A451" i="3"/>
  <c r="I450" i="3"/>
  <c r="G450" i="3"/>
  <c r="J450" i="3" s="1"/>
  <c r="N450" i="3" s="1"/>
  <c r="A450" i="3"/>
  <c r="I449" i="3"/>
  <c r="G449" i="3"/>
  <c r="J449" i="3" s="1"/>
  <c r="N449" i="3" s="1"/>
  <c r="A449" i="3"/>
  <c r="I448" i="3"/>
  <c r="G448" i="3"/>
  <c r="J448" i="3" s="1"/>
  <c r="N448" i="3" s="1"/>
  <c r="A448" i="3"/>
  <c r="I447" i="3"/>
  <c r="G447" i="3"/>
  <c r="J447" i="3" s="1"/>
  <c r="N447" i="3" s="1"/>
  <c r="A447" i="3"/>
  <c r="I446" i="3"/>
  <c r="G446" i="3"/>
  <c r="J446" i="3" s="1"/>
  <c r="N446" i="3" s="1"/>
  <c r="A446" i="3"/>
  <c r="I445" i="3"/>
  <c r="G445" i="3"/>
  <c r="J445" i="3" s="1"/>
  <c r="N445" i="3" s="1"/>
  <c r="A445" i="3"/>
  <c r="I444" i="3"/>
  <c r="G444" i="3"/>
  <c r="J444" i="3" s="1"/>
  <c r="N444" i="3" s="1"/>
  <c r="A444" i="3"/>
  <c r="I443" i="3"/>
  <c r="G443" i="3"/>
  <c r="J443" i="3" s="1"/>
  <c r="N443" i="3" s="1"/>
  <c r="A443" i="3"/>
  <c r="I442" i="3"/>
  <c r="G442" i="3"/>
  <c r="J442" i="3" s="1"/>
  <c r="N442" i="3" s="1"/>
  <c r="A442" i="3"/>
  <c r="I441" i="3"/>
  <c r="G441" i="3"/>
  <c r="J441" i="3" s="1"/>
  <c r="N441" i="3" s="1"/>
  <c r="A441" i="3"/>
  <c r="I440" i="3"/>
  <c r="G440" i="3"/>
  <c r="J440" i="3" s="1"/>
  <c r="N440" i="3" s="1"/>
  <c r="A440" i="3"/>
  <c r="I439" i="3"/>
  <c r="G439" i="3"/>
  <c r="J439" i="3" s="1"/>
  <c r="N439" i="3" s="1"/>
  <c r="A439" i="3"/>
  <c r="I438" i="3"/>
  <c r="G438" i="3"/>
  <c r="J438" i="3" s="1"/>
  <c r="N438" i="3" s="1"/>
  <c r="A438" i="3"/>
  <c r="I437" i="3"/>
  <c r="G437" i="3"/>
  <c r="J437" i="3" s="1"/>
  <c r="N437" i="3" s="1"/>
  <c r="A437" i="3"/>
  <c r="I436" i="3"/>
  <c r="G436" i="3"/>
  <c r="J436" i="3" s="1"/>
  <c r="N436" i="3" s="1"/>
  <c r="A436" i="3"/>
  <c r="I435" i="3"/>
  <c r="G435" i="3"/>
  <c r="J435" i="3" s="1"/>
  <c r="N435" i="3" s="1"/>
  <c r="A435" i="3"/>
  <c r="I434" i="3"/>
  <c r="G434" i="3"/>
  <c r="J434" i="3" s="1"/>
  <c r="N434" i="3" s="1"/>
  <c r="A434" i="3"/>
  <c r="I433" i="3"/>
  <c r="G433" i="3"/>
  <c r="J433" i="3" s="1"/>
  <c r="N433" i="3" s="1"/>
  <c r="A433" i="3"/>
  <c r="I432" i="3"/>
  <c r="G432" i="3"/>
  <c r="J432" i="3" s="1"/>
  <c r="N432" i="3" s="1"/>
  <c r="A432" i="3"/>
  <c r="I431" i="3"/>
  <c r="G431" i="3"/>
  <c r="J431" i="3" s="1"/>
  <c r="N431" i="3" s="1"/>
  <c r="A431" i="3"/>
  <c r="I430" i="3"/>
  <c r="G430" i="3"/>
  <c r="J430" i="3" s="1"/>
  <c r="N430" i="3" s="1"/>
  <c r="A430" i="3"/>
  <c r="I429" i="3"/>
  <c r="G429" i="3"/>
  <c r="J429" i="3" s="1"/>
  <c r="N429" i="3" s="1"/>
  <c r="A429" i="3"/>
  <c r="I428" i="3"/>
  <c r="G428" i="3"/>
  <c r="J428" i="3" s="1"/>
  <c r="N428" i="3" s="1"/>
  <c r="A428" i="3"/>
  <c r="I427" i="3"/>
  <c r="G427" i="3"/>
  <c r="J427" i="3" s="1"/>
  <c r="N427" i="3" s="1"/>
  <c r="A427" i="3"/>
  <c r="I426" i="3"/>
  <c r="G426" i="3"/>
  <c r="J426" i="3" s="1"/>
  <c r="N426" i="3" s="1"/>
  <c r="A426" i="3"/>
  <c r="I425" i="3"/>
  <c r="G425" i="3"/>
  <c r="J425" i="3" s="1"/>
  <c r="N425" i="3" s="1"/>
  <c r="A425" i="3"/>
  <c r="I424" i="3"/>
  <c r="G424" i="3"/>
  <c r="J424" i="3" s="1"/>
  <c r="N424" i="3" s="1"/>
  <c r="A424" i="3"/>
  <c r="I423" i="3"/>
  <c r="G423" i="3"/>
  <c r="J423" i="3" s="1"/>
  <c r="N423" i="3" s="1"/>
  <c r="A423" i="3"/>
  <c r="I422" i="3"/>
  <c r="G422" i="3"/>
  <c r="J422" i="3" s="1"/>
  <c r="N422" i="3" s="1"/>
  <c r="A422" i="3"/>
  <c r="I421" i="3"/>
  <c r="G421" i="3"/>
  <c r="J421" i="3" s="1"/>
  <c r="N421" i="3" s="1"/>
  <c r="A421" i="3"/>
  <c r="I420" i="3"/>
  <c r="G420" i="3"/>
  <c r="J420" i="3" s="1"/>
  <c r="N420" i="3" s="1"/>
  <c r="A420" i="3"/>
  <c r="I419" i="3"/>
  <c r="G419" i="3"/>
  <c r="J419" i="3" s="1"/>
  <c r="N419" i="3" s="1"/>
  <c r="A419" i="3"/>
  <c r="I418" i="3"/>
  <c r="G418" i="3"/>
  <c r="J418" i="3" s="1"/>
  <c r="N418" i="3" s="1"/>
  <c r="A418" i="3"/>
  <c r="I417" i="3"/>
  <c r="G417" i="3"/>
  <c r="J417" i="3" s="1"/>
  <c r="N417" i="3" s="1"/>
  <c r="A417" i="3"/>
  <c r="I416" i="3"/>
  <c r="G416" i="3"/>
  <c r="J416" i="3" s="1"/>
  <c r="N416" i="3" s="1"/>
  <c r="A416" i="3"/>
  <c r="I415" i="3"/>
  <c r="G415" i="3"/>
  <c r="J415" i="3" s="1"/>
  <c r="N415" i="3" s="1"/>
  <c r="A415" i="3"/>
  <c r="I414" i="3"/>
  <c r="G414" i="3"/>
  <c r="J414" i="3" s="1"/>
  <c r="N414" i="3" s="1"/>
  <c r="A414" i="3"/>
  <c r="I413" i="3"/>
  <c r="G413" i="3"/>
  <c r="J413" i="3" s="1"/>
  <c r="N413" i="3" s="1"/>
  <c r="A413" i="3"/>
  <c r="I412" i="3"/>
  <c r="G412" i="3"/>
  <c r="J412" i="3" s="1"/>
  <c r="N412" i="3" s="1"/>
  <c r="A412" i="3"/>
  <c r="I411" i="3"/>
  <c r="G411" i="3"/>
  <c r="J411" i="3" s="1"/>
  <c r="N411" i="3" s="1"/>
  <c r="A411" i="3"/>
  <c r="I410" i="3"/>
  <c r="G410" i="3"/>
  <c r="J410" i="3" s="1"/>
  <c r="N410" i="3" s="1"/>
  <c r="A410" i="3"/>
  <c r="I409" i="3"/>
  <c r="G409" i="3"/>
  <c r="J409" i="3" s="1"/>
  <c r="N409" i="3" s="1"/>
  <c r="A409" i="3"/>
  <c r="I408" i="3"/>
  <c r="G408" i="3"/>
  <c r="J408" i="3" s="1"/>
  <c r="N408" i="3" s="1"/>
  <c r="A408" i="3"/>
  <c r="I407" i="3"/>
  <c r="G407" i="3"/>
  <c r="J407" i="3" s="1"/>
  <c r="N407" i="3" s="1"/>
  <c r="A407" i="3"/>
  <c r="I406" i="3"/>
  <c r="G406" i="3"/>
  <c r="J406" i="3" s="1"/>
  <c r="N406" i="3" s="1"/>
  <c r="A406" i="3"/>
  <c r="I405" i="3"/>
  <c r="G405" i="3"/>
  <c r="J405" i="3" s="1"/>
  <c r="N405" i="3" s="1"/>
  <c r="A405" i="3"/>
  <c r="I404" i="3"/>
  <c r="G404" i="3"/>
  <c r="J404" i="3" s="1"/>
  <c r="N404" i="3" s="1"/>
  <c r="A404" i="3"/>
  <c r="I403" i="3"/>
  <c r="G403" i="3"/>
  <c r="J403" i="3" s="1"/>
  <c r="N403" i="3" s="1"/>
  <c r="A403" i="3"/>
  <c r="I402" i="3"/>
  <c r="G402" i="3"/>
  <c r="J402" i="3" s="1"/>
  <c r="N402" i="3" s="1"/>
  <c r="A402" i="3"/>
  <c r="I401" i="3"/>
  <c r="G401" i="3"/>
  <c r="J401" i="3" s="1"/>
  <c r="N401" i="3" s="1"/>
  <c r="A401" i="3"/>
  <c r="I400" i="3"/>
  <c r="G400" i="3"/>
  <c r="J400" i="3" s="1"/>
  <c r="N400" i="3" s="1"/>
  <c r="A400" i="3"/>
  <c r="I399" i="3"/>
  <c r="G399" i="3"/>
  <c r="J399" i="3" s="1"/>
  <c r="N399" i="3" s="1"/>
  <c r="A399" i="3"/>
  <c r="I398" i="3"/>
  <c r="G398" i="3"/>
  <c r="J398" i="3" s="1"/>
  <c r="N398" i="3" s="1"/>
  <c r="A398" i="3"/>
  <c r="I397" i="3"/>
  <c r="G397" i="3"/>
  <c r="J397" i="3" s="1"/>
  <c r="N397" i="3" s="1"/>
  <c r="A397" i="3"/>
  <c r="I396" i="3"/>
  <c r="G396" i="3"/>
  <c r="J396" i="3" s="1"/>
  <c r="N396" i="3" s="1"/>
  <c r="A396" i="3"/>
  <c r="I395" i="3"/>
  <c r="G395" i="3"/>
  <c r="J395" i="3" s="1"/>
  <c r="N395" i="3" s="1"/>
  <c r="A395" i="3"/>
  <c r="I394" i="3"/>
  <c r="G394" i="3"/>
  <c r="J394" i="3" s="1"/>
  <c r="N394" i="3" s="1"/>
  <c r="A394" i="3"/>
  <c r="I393" i="3"/>
  <c r="G393" i="3"/>
  <c r="J393" i="3" s="1"/>
  <c r="N393" i="3" s="1"/>
  <c r="A393" i="3"/>
  <c r="I392" i="3"/>
  <c r="G392" i="3"/>
  <c r="J392" i="3" s="1"/>
  <c r="N392" i="3" s="1"/>
  <c r="A392" i="3"/>
  <c r="I391" i="3"/>
  <c r="G391" i="3"/>
  <c r="J391" i="3" s="1"/>
  <c r="N391" i="3" s="1"/>
  <c r="A391" i="3"/>
  <c r="I390" i="3"/>
  <c r="G390" i="3"/>
  <c r="J390" i="3" s="1"/>
  <c r="N390" i="3" s="1"/>
  <c r="A390" i="3"/>
  <c r="I389" i="3"/>
  <c r="G389" i="3"/>
  <c r="J389" i="3" s="1"/>
  <c r="N389" i="3" s="1"/>
  <c r="A389" i="3"/>
  <c r="I388" i="3"/>
  <c r="G388" i="3"/>
  <c r="J388" i="3" s="1"/>
  <c r="N388" i="3" s="1"/>
  <c r="A388" i="3"/>
  <c r="I387" i="3"/>
  <c r="G387" i="3"/>
  <c r="J387" i="3" s="1"/>
  <c r="N387" i="3" s="1"/>
  <c r="A387" i="3"/>
  <c r="I386" i="3"/>
  <c r="G386" i="3"/>
  <c r="J386" i="3" s="1"/>
  <c r="N386" i="3" s="1"/>
  <c r="A386" i="3"/>
  <c r="I385" i="3"/>
  <c r="G385" i="3"/>
  <c r="J385" i="3" s="1"/>
  <c r="N385" i="3" s="1"/>
  <c r="A385" i="3"/>
  <c r="I384" i="3"/>
  <c r="G384" i="3"/>
  <c r="J384" i="3" s="1"/>
  <c r="N384" i="3" s="1"/>
  <c r="A384" i="3"/>
  <c r="I383" i="3"/>
  <c r="G383" i="3"/>
  <c r="J383" i="3" s="1"/>
  <c r="N383" i="3" s="1"/>
  <c r="A383" i="3"/>
  <c r="I382" i="3"/>
  <c r="G382" i="3"/>
  <c r="J382" i="3" s="1"/>
  <c r="N382" i="3" s="1"/>
  <c r="A382" i="3"/>
  <c r="I381" i="3"/>
  <c r="G381" i="3"/>
  <c r="J381" i="3" s="1"/>
  <c r="N381" i="3" s="1"/>
  <c r="A381" i="3"/>
  <c r="I380" i="3"/>
  <c r="G380" i="3"/>
  <c r="J380" i="3" s="1"/>
  <c r="N380" i="3" s="1"/>
  <c r="A380" i="3"/>
  <c r="I379" i="3"/>
  <c r="G379" i="3"/>
  <c r="J379" i="3" s="1"/>
  <c r="N379" i="3" s="1"/>
  <c r="A379" i="3"/>
  <c r="I378" i="3"/>
  <c r="G378" i="3"/>
  <c r="J378" i="3" s="1"/>
  <c r="N378" i="3" s="1"/>
  <c r="A378" i="3"/>
  <c r="I377" i="3"/>
  <c r="G377" i="3"/>
  <c r="J377" i="3" s="1"/>
  <c r="N377" i="3" s="1"/>
  <c r="A377" i="3"/>
  <c r="I376" i="3"/>
  <c r="G376" i="3"/>
  <c r="J376" i="3" s="1"/>
  <c r="N376" i="3" s="1"/>
  <c r="A376" i="3"/>
  <c r="I375" i="3"/>
  <c r="G375" i="3"/>
  <c r="J375" i="3" s="1"/>
  <c r="N375" i="3" s="1"/>
  <c r="A375" i="3"/>
  <c r="I374" i="3"/>
  <c r="G374" i="3"/>
  <c r="J374" i="3" s="1"/>
  <c r="N374" i="3" s="1"/>
  <c r="A374" i="3"/>
  <c r="I373" i="3"/>
  <c r="G373" i="3"/>
  <c r="J373" i="3" s="1"/>
  <c r="N373" i="3" s="1"/>
  <c r="A373" i="3"/>
  <c r="I372" i="3"/>
  <c r="G372" i="3"/>
  <c r="J372" i="3" s="1"/>
  <c r="N372" i="3" s="1"/>
  <c r="A372" i="3"/>
  <c r="I371" i="3"/>
  <c r="G371" i="3"/>
  <c r="J371" i="3" s="1"/>
  <c r="N371" i="3" s="1"/>
  <c r="A371" i="3"/>
  <c r="I370" i="3"/>
  <c r="G370" i="3"/>
  <c r="J370" i="3" s="1"/>
  <c r="N370" i="3" s="1"/>
  <c r="A370" i="3"/>
  <c r="I369" i="3"/>
  <c r="G369" i="3"/>
  <c r="J369" i="3" s="1"/>
  <c r="N369" i="3" s="1"/>
  <c r="A369" i="3"/>
  <c r="I368" i="3"/>
  <c r="G368" i="3"/>
  <c r="J368" i="3" s="1"/>
  <c r="N368" i="3" s="1"/>
  <c r="A368" i="3"/>
  <c r="I367" i="3"/>
  <c r="G367" i="3"/>
  <c r="J367" i="3" s="1"/>
  <c r="N367" i="3" s="1"/>
  <c r="A367" i="3"/>
  <c r="I366" i="3"/>
  <c r="G366" i="3"/>
  <c r="J366" i="3" s="1"/>
  <c r="N366" i="3" s="1"/>
  <c r="A366" i="3"/>
  <c r="I365" i="3"/>
  <c r="G365" i="3"/>
  <c r="J365" i="3" s="1"/>
  <c r="N365" i="3" s="1"/>
  <c r="A365" i="3"/>
  <c r="I364" i="3"/>
  <c r="G364" i="3"/>
  <c r="J364" i="3" s="1"/>
  <c r="N364" i="3" s="1"/>
  <c r="A364" i="3"/>
  <c r="I363" i="3"/>
  <c r="G363" i="3"/>
  <c r="J363" i="3" s="1"/>
  <c r="N363" i="3" s="1"/>
  <c r="A363" i="3"/>
  <c r="I362" i="3"/>
  <c r="G362" i="3"/>
  <c r="J362" i="3" s="1"/>
  <c r="N362" i="3" s="1"/>
  <c r="A362" i="3"/>
  <c r="I361" i="3"/>
  <c r="G361" i="3"/>
  <c r="J361" i="3" s="1"/>
  <c r="N361" i="3" s="1"/>
  <c r="A361" i="3"/>
  <c r="I360" i="3"/>
  <c r="G360" i="3"/>
  <c r="J360" i="3" s="1"/>
  <c r="N360" i="3" s="1"/>
  <c r="A360" i="3"/>
  <c r="I359" i="3"/>
  <c r="G359" i="3"/>
  <c r="J359" i="3" s="1"/>
  <c r="N359" i="3" s="1"/>
  <c r="A359" i="3"/>
  <c r="I358" i="3"/>
  <c r="G358" i="3"/>
  <c r="J358" i="3" s="1"/>
  <c r="N358" i="3" s="1"/>
  <c r="A358" i="3"/>
  <c r="I357" i="3"/>
  <c r="G357" i="3"/>
  <c r="J357" i="3" s="1"/>
  <c r="N357" i="3" s="1"/>
  <c r="A357" i="3"/>
  <c r="I356" i="3"/>
  <c r="G356" i="3"/>
  <c r="J356" i="3" s="1"/>
  <c r="N356" i="3" s="1"/>
  <c r="A356" i="3"/>
  <c r="I355" i="3"/>
  <c r="G355" i="3"/>
  <c r="J355" i="3" s="1"/>
  <c r="N355" i="3" s="1"/>
  <c r="A355" i="3"/>
  <c r="I354" i="3"/>
  <c r="G354" i="3"/>
  <c r="J354" i="3" s="1"/>
  <c r="N354" i="3" s="1"/>
  <c r="A354" i="3"/>
  <c r="I353" i="3"/>
  <c r="G353" i="3"/>
  <c r="J353" i="3" s="1"/>
  <c r="N353" i="3" s="1"/>
  <c r="A353" i="3"/>
  <c r="I352" i="3"/>
  <c r="G352" i="3"/>
  <c r="J352" i="3" s="1"/>
  <c r="N352" i="3" s="1"/>
  <c r="A352" i="3"/>
  <c r="I351" i="3"/>
  <c r="G351" i="3"/>
  <c r="J351" i="3" s="1"/>
  <c r="N351" i="3" s="1"/>
  <c r="A351" i="3"/>
  <c r="I350" i="3"/>
  <c r="G350" i="3"/>
  <c r="J350" i="3" s="1"/>
  <c r="N350" i="3" s="1"/>
  <c r="A350" i="3"/>
  <c r="I349" i="3"/>
  <c r="G349" i="3"/>
  <c r="J349" i="3" s="1"/>
  <c r="N349" i="3" s="1"/>
  <c r="A349" i="3"/>
  <c r="I348" i="3"/>
  <c r="G348" i="3"/>
  <c r="J348" i="3" s="1"/>
  <c r="N348" i="3" s="1"/>
  <c r="A348" i="3"/>
  <c r="I347" i="3"/>
  <c r="G347" i="3"/>
  <c r="J347" i="3" s="1"/>
  <c r="N347" i="3" s="1"/>
  <c r="A347" i="3"/>
  <c r="I346" i="3"/>
  <c r="G346" i="3"/>
  <c r="J346" i="3" s="1"/>
  <c r="N346" i="3" s="1"/>
  <c r="A346" i="3"/>
  <c r="I345" i="3"/>
  <c r="G345" i="3"/>
  <c r="J345" i="3" s="1"/>
  <c r="N345" i="3" s="1"/>
  <c r="A345" i="3"/>
  <c r="I344" i="3"/>
  <c r="G344" i="3"/>
  <c r="J344" i="3" s="1"/>
  <c r="N344" i="3" s="1"/>
  <c r="A344" i="3"/>
  <c r="I343" i="3"/>
  <c r="G343" i="3"/>
  <c r="J343" i="3" s="1"/>
  <c r="N343" i="3" s="1"/>
  <c r="A343" i="3"/>
  <c r="I342" i="3"/>
  <c r="G342" i="3"/>
  <c r="J342" i="3" s="1"/>
  <c r="N342" i="3" s="1"/>
  <c r="A342" i="3"/>
  <c r="I341" i="3"/>
  <c r="G341" i="3"/>
  <c r="J341" i="3" s="1"/>
  <c r="N341" i="3" s="1"/>
  <c r="A341" i="3"/>
  <c r="I340" i="3"/>
  <c r="G340" i="3"/>
  <c r="J340" i="3" s="1"/>
  <c r="N340" i="3" s="1"/>
  <c r="A340" i="3"/>
  <c r="I339" i="3"/>
  <c r="G339" i="3"/>
  <c r="J339" i="3" s="1"/>
  <c r="N339" i="3" s="1"/>
  <c r="A339" i="3"/>
  <c r="I338" i="3"/>
  <c r="G338" i="3"/>
  <c r="J338" i="3" s="1"/>
  <c r="N338" i="3" s="1"/>
  <c r="A338" i="3"/>
  <c r="I337" i="3"/>
  <c r="G337" i="3"/>
  <c r="J337" i="3" s="1"/>
  <c r="N337" i="3" s="1"/>
  <c r="A337" i="3"/>
  <c r="I336" i="3"/>
  <c r="G336" i="3"/>
  <c r="J336" i="3" s="1"/>
  <c r="N336" i="3" s="1"/>
  <c r="A336" i="3"/>
  <c r="I335" i="3"/>
  <c r="G335" i="3"/>
  <c r="J335" i="3" s="1"/>
  <c r="N335" i="3" s="1"/>
  <c r="A335" i="3"/>
  <c r="I334" i="3"/>
  <c r="G334" i="3"/>
  <c r="J334" i="3" s="1"/>
  <c r="N334" i="3" s="1"/>
  <c r="A334" i="3"/>
  <c r="I333" i="3"/>
  <c r="G333" i="3"/>
  <c r="J333" i="3" s="1"/>
  <c r="N333" i="3" s="1"/>
  <c r="A333" i="3"/>
  <c r="I332" i="3"/>
  <c r="G332" i="3"/>
  <c r="J332" i="3" s="1"/>
  <c r="N332" i="3" s="1"/>
  <c r="A332" i="3"/>
  <c r="I331" i="3"/>
  <c r="G331" i="3"/>
  <c r="J331" i="3" s="1"/>
  <c r="N331" i="3" s="1"/>
  <c r="A331" i="3"/>
  <c r="I330" i="3"/>
  <c r="G330" i="3"/>
  <c r="J330" i="3" s="1"/>
  <c r="N330" i="3" s="1"/>
  <c r="A330" i="3"/>
  <c r="I329" i="3"/>
  <c r="G329" i="3"/>
  <c r="J329" i="3" s="1"/>
  <c r="N329" i="3" s="1"/>
  <c r="A329" i="3"/>
  <c r="I328" i="3"/>
  <c r="G328" i="3"/>
  <c r="J328" i="3" s="1"/>
  <c r="N328" i="3" s="1"/>
  <c r="A328" i="3"/>
  <c r="I327" i="3"/>
  <c r="G327" i="3"/>
  <c r="J327" i="3" s="1"/>
  <c r="N327" i="3" s="1"/>
  <c r="A327" i="3"/>
  <c r="I326" i="3"/>
  <c r="G326" i="3"/>
  <c r="J326" i="3" s="1"/>
  <c r="N326" i="3" s="1"/>
  <c r="A326" i="3"/>
  <c r="I325" i="3"/>
  <c r="G325" i="3"/>
  <c r="J325" i="3" s="1"/>
  <c r="N325" i="3" s="1"/>
  <c r="A325" i="3"/>
  <c r="I324" i="3"/>
  <c r="G324" i="3"/>
  <c r="J324" i="3" s="1"/>
  <c r="N324" i="3" s="1"/>
  <c r="A324" i="3"/>
  <c r="I323" i="3"/>
  <c r="G323" i="3"/>
  <c r="J323" i="3" s="1"/>
  <c r="N323" i="3" s="1"/>
  <c r="A323" i="3"/>
  <c r="I322" i="3"/>
  <c r="G322" i="3"/>
  <c r="J322" i="3" s="1"/>
  <c r="N322" i="3" s="1"/>
  <c r="A322" i="3"/>
  <c r="I321" i="3"/>
  <c r="G321" i="3"/>
  <c r="J321" i="3" s="1"/>
  <c r="N321" i="3" s="1"/>
  <c r="A321" i="3"/>
  <c r="I320" i="3"/>
  <c r="G320" i="3"/>
  <c r="J320" i="3" s="1"/>
  <c r="N320" i="3" s="1"/>
  <c r="A320" i="3"/>
  <c r="I319" i="3"/>
  <c r="G319" i="3"/>
  <c r="J319" i="3" s="1"/>
  <c r="N319" i="3" s="1"/>
  <c r="A319" i="3"/>
  <c r="I318" i="3"/>
  <c r="G318" i="3"/>
  <c r="J318" i="3" s="1"/>
  <c r="N318" i="3" s="1"/>
  <c r="A318" i="3"/>
  <c r="I317" i="3"/>
  <c r="G317" i="3"/>
  <c r="J317" i="3" s="1"/>
  <c r="N317" i="3" s="1"/>
  <c r="A317" i="3"/>
  <c r="I316" i="3"/>
  <c r="G316" i="3"/>
  <c r="J316" i="3" s="1"/>
  <c r="N316" i="3" s="1"/>
  <c r="A316" i="3"/>
  <c r="I315" i="3"/>
  <c r="G315" i="3"/>
  <c r="J315" i="3" s="1"/>
  <c r="N315" i="3" s="1"/>
  <c r="A315" i="3"/>
  <c r="I314" i="3"/>
  <c r="G314" i="3"/>
  <c r="J314" i="3" s="1"/>
  <c r="N314" i="3" s="1"/>
  <c r="A314" i="3"/>
  <c r="I313" i="3"/>
  <c r="G313" i="3"/>
  <c r="J313" i="3" s="1"/>
  <c r="N313" i="3" s="1"/>
  <c r="A313" i="3"/>
  <c r="I312" i="3"/>
  <c r="G312" i="3"/>
  <c r="J312" i="3" s="1"/>
  <c r="N312" i="3" s="1"/>
  <c r="A312" i="3"/>
  <c r="I311" i="3"/>
  <c r="G311" i="3"/>
  <c r="J311" i="3" s="1"/>
  <c r="N311" i="3" s="1"/>
  <c r="A311" i="3"/>
  <c r="I310" i="3"/>
  <c r="G310" i="3"/>
  <c r="J310" i="3" s="1"/>
  <c r="N310" i="3" s="1"/>
  <c r="A310" i="3"/>
  <c r="I309" i="3"/>
  <c r="G309" i="3"/>
  <c r="J309" i="3" s="1"/>
  <c r="N309" i="3" s="1"/>
  <c r="A309" i="3"/>
  <c r="I308" i="3"/>
  <c r="G308" i="3"/>
  <c r="J308" i="3" s="1"/>
  <c r="N308" i="3" s="1"/>
  <c r="A308" i="3"/>
  <c r="I307" i="3"/>
  <c r="G307" i="3"/>
  <c r="J307" i="3" s="1"/>
  <c r="N307" i="3" s="1"/>
  <c r="A307" i="3"/>
  <c r="I306" i="3"/>
  <c r="G306" i="3"/>
  <c r="J306" i="3" s="1"/>
  <c r="N306" i="3" s="1"/>
  <c r="A306" i="3"/>
  <c r="I305" i="3"/>
  <c r="G305" i="3"/>
  <c r="J305" i="3" s="1"/>
  <c r="N305" i="3" s="1"/>
  <c r="A305" i="3"/>
  <c r="I304" i="3"/>
  <c r="G304" i="3"/>
  <c r="J304" i="3" s="1"/>
  <c r="N304" i="3" s="1"/>
  <c r="A304" i="3"/>
  <c r="I303" i="3"/>
  <c r="G303" i="3"/>
  <c r="J303" i="3" s="1"/>
  <c r="N303" i="3" s="1"/>
  <c r="A303" i="3"/>
  <c r="I302" i="3"/>
  <c r="G302" i="3"/>
  <c r="J302" i="3" s="1"/>
  <c r="N302" i="3" s="1"/>
  <c r="A302" i="3"/>
  <c r="I301" i="3"/>
  <c r="G301" i="3"/>
  <c r="J301" i="3" s="1"/>
  <c r="N301" i="3" s="1"/>
  <c r="A301" i="3"/>
  <c r="I300" i="3"/>
  <c r="G300" i="3"/>
  <c r="J300" i="3" s="1"/>
  <c r="N300" i="3" s="1"/>
  <c r="A300" i="3"/>
  <c r="I299" i="3"/>
  <c r="G299" i="3"/>
  <c r="J299" i="3" s="1"/>
  <c r="N299" i="3" s="1"/>
  <c r="A299" i="3"/>
  <c r="I298" i="3"/>
  <c r="G298" i="3"/>
  <c r="J298" i="3" s="1"/>
  <c r="N298" i="3" s="1"/>
  <c r="A298" i="3"/>
  <c r="I297" i="3"/>
  <c r="G297" i="3"/>
  <c r="J297" i="3" s="1"/>
  <c r="N297" i="3" s="1"/>
  <c r="A297" i="3"/>
  <c r="I296" i="3"/>
  <c r="G296" i="3"/>
  <c r="J296" i="3" s="1"/>
  <c r="N296" i="3" s="1"/>
  <c r="A296" i="3"/>
  <c r="I295" i="3"/>
  <c r="G295" i="3"/>
  <c r="J295" i="3" s="1"/>
  <c r="N295" i="3" s="1"/>
  <c r="A295" i="3"/>
  <c r="I294" i="3"/>
  <c r="G294" i="3"/>
  <c r="J294" i="3" s="1"/>
  <c r="N294" i="3" s="1"/>
  <c r="A294" i="3"/>
  <c r="I293" i="3"/>
  <c r="G293" i="3"/>
  <c r="J293" i="3" s="1"/>
  <c r="N293" i="3" s="1"/>
  <c r="A293" i="3"/>
  <c r="I292" i="3"/>
  <c r="G292" i="3"/>
  <c r="J292" i="3" s="1"/>
  <c r="N292" i="3" s="1"/>
  <c r="A292" i="3"/>
  <c r="I291" i="3"/>
  <c r="G291" i="3"/>
  <c r="J291" i="3" s="1"/>
  <c r="N291" i="3" s="1"/>
  <c r="A291" i="3"/>
  <c r="I290" i="3"/>
  <c r="G290" i="3"/>
  <c r="J290" i="3" s="1"/>
  <c r="N290" i="3" s="1"/>
  <c r="A290" i="3"/>
  <c r="I289" i="3"/>
  <c r="G289" i="3"/>
  <c r="J289" i="3" s="1"/>
  <c r="N289" i="3" s="1"/>
  <c r="A289" i="3"/>
  <c r="I288" i="3"/>
  <c r="G288" i="3"/>
  <c r="J288" i="3" s="1"/>
  <c r="N288" i="3" s="1"/>
  <c r="A288" i="3"/>
  <c r="I287" i="3"/>
  <c r="G287" i="3"/>
  <c r="J287" i="3" s="1"/>
  <c r="N287" i="3" s="1"/>
  <c r="A287" i="3"/>
  <c r="I286" i="3"/>
  <c r="G286" i="3"/>
  <c r="J286" i="3" s="1"/>
  <c r="N286" i="3" s="1"/>
  <c r="A286" i="3"/>
  <c r="I285" i="3"/>
  <c r="G285" i="3"/>
  <c r="J285" i="3" s="1"/>
  <c r="N285" i="3" s="1"/>
  <c r="A285" i="3"/>
  <c r="I284" i="3"/>
  <c r="G284" i="3"/>
  <c r="J284" i="3" s="1"/>
  <c r="N284" i="3" s="1"/>
  <c r="A284" i="3"/>
  <c r="I283" i="3"/>
  <c r="G283" i="3"/>
  <c r="J283" i="3" s="1"/>
  <c r="N283" i="3" s="1"/>
  <c r="A283" i="3"/>
  <c r="I282" i="3"/>
  <c r="G282" i="3"/>
  <c r="J282" i="3" s="1"/>
  <c r="N282" i="3" s="1"/>
  <c r="A282" i="3"/>
  <c r="I281" i="3"/>
  <c r="G281" i="3"/>
  <c r="J281" i="3" s="1"/>
  <c r="N281" i="3" s="1"/>
  <c r="A281" i="3"/>
  <c r="I280" i="3"/>
  <c r="G280" i="3"/>
  <c r="J280" i="3" s="1"/>
  <c r="N280" i="3" s="1"/>
  <c r="A280" i="3"/>
  <c r="I279" i="3"/>
  <c r="G279" i="3"/>
  <c r="J279" i="3" s="1"/>
  <c r="N279" i="3" s="1"/>
  <c r="A279" i="3"/>
  <c r="I278" i="3"/>
  <c r="G278" i="3"/>
  <c r="J278" i="3" s="1"/>
  <c r="N278" i="3" s="1"/>
  <c r="A278" i="3"/>
  <c r="I277" i="3"/>
  <c r="G277" i="3"/>
  <c r="J277" i="3" s="1"/>
  <c r="N277" i="3" s="1"/>
  <c r="A277" i="3"/>
  <c r="I276" i="3"/>
  <c r="G276" i="3"/>
  <c r="J276" i="3" s="1"/>
  <c r="N276" i="3" s="1"/>
  <c r="A276" i="3"/>
  <c r="I275" i="3"/>
  <c r="G275" i="3"/>
  <c r="J275" i="3" s="1"/>
  <c r="N275" i="3" s="1"/>
  <c r="A275" i="3"/>
  <c r="I274" i="3"/>
  <c r="G274" i="3"/>
  <c r="J274" i="3" s="1"/>
  <c r="N274" i="3" s="1"/>
  <c r="A274" i="3"/>
  <c r="I273" i="3"/>
  <c r="G273" i="3"/>
  <c r="J273" i="3" s="1"/>
  <c r="N273" i="3" s="1"/>
  <c r="A273" i="3"/>
  <c r="I272" i="3"/>
  <c r="G272" i="3"/>
  <c r="J272" i="3" s="1"/>
  <c r="N272" i="3" s="1"/>
  <c r="A272" i="3"/>
  <c r="I271" i="3"/>
  <c r="G271" i="3"/>
  <c r="J271" i="3" s="1"/>
  <c r="N271" i="3" s="1"/>
  <c r="A271" i="3"/>
  <c r="I270" i="3"/>
  <c r="G270" i="3"/>
  <c r="J270" i="3" s="1"/>
  <c r="N270" i="3" s="1"/>
  <c r="A270" i="3"/>
  <c r="I269" i="3"/>
  <c r="G269" i="3"/>
  <c r="J269" i="3" s="1"/>
  <c r="N269" i="3" s="1"/>
  <c r="A269" i="3"/>
  <c r="I268" i="3"/>
  <c r="G268" i="3"/>
  <c r="J268" i="3" s="1"/>
  <c r="N268" i="3" s="1"/>
  <c r="A268" i="3"/>
  <c r="I267" i="3"/>
  <c r="G267" i="3"/>
  <c r="J267" i="3" s="1"/>
  <c r="N267" i="3" s="1"/>
  <c r="A267" i="3"/>
  <c r="I266" i="3"/>
  <c r="G266" i="3"/>
  <c r="J266" i="3" s="1"/>
  <c r="N266" i="3" s="1"/>
  <c r="A266" i="3"/>
  <c r="I265" i="3"/>
  <c r="G265" i="3"/>
  <c r="J265" i="3" s="1"/>
  <c r="N265" i="3" s="1"/>
  <c r="A265" i="3"/>
  <c r="I264" i="3"/>
  <c r="G264" i="3"/>
  <c r="J264" i="3" s="1"/>
  <c r="N264" i="3" s="1"/>
  <c r="A264" i="3"/>
  <c r="I263" i="3"/>
  <c r="G263" i="3"/>
  <c r="J263" i="3" s="1"/>
  <c r="N263" i="3" s="1"/>
  <c r="A263" i="3"/>
  <c r="I262" i="3"/>
  <c r="G262" i="3"/>
  <c r="J262" i="3" s="1"/>
  <c r="N262" i="3" s="1"/>
  <c r="A262" i="3"/>
  <c r="I261" i="3"/>
  <c r="G261" i="3"/>
  <c r="J261" i="3" s="1"/>
  <c r="N261" i="3" s="1"/>
  <c r="A261" i="3"/>
  <c r="I260" i="3"/>
  <c r="G260" i="3"/>
  <c r="J260" i="3" s="1"/>
  <c r="N260" i="3" s="1"/>
  <c r="A260" i="3"/>
  <c r="I259" i="3"/>
  <c r="G259" i="3"/>
  <c r="J259" i="3" s="1"/>
  <c r="N259" i="3" s="1"/>
  <c r="A259" i="3"/>
  <c r="I258" i="3"/>
  <c r="G258" i="3"/>
  <c r="J258" i="3" s="1"/>
  <c r="N258" i="3" s="1"/>
  <c r="A258" i="3"/>
  <c r="I257" i="3"/>
  <c r="G257" i="3"/>
  <c r="J257" i="3" s="1"/>
  <c r="N257" i="3" s="1"/>
  <c r="A257" i="3"/>
  <c r="I256" i="3"/>
  <c r="G256" i="3"/>
  <c r="J256" i="3" s="1"/>
  <c r="N256" i="3" s="1"/>
  <c r="A256" i="3"/>
  <c r="I255" i="3"/>
  <c r="G255" i="3"/>
  <c r="J255" i="3" s="1"/>
  <c r="N255" i="3" s="1"/>
  <c r="A255" i="3"/>
  <c r="I254" i="3"/>
  <c r="G254" i="3"/>
  <c r="J254" i="3" s="1"/>
  <c r="N254" i="3" s="1"/>
  <c r="A254" i="3"/>
  <c r="I253" i="3"/>
  <c r="G253" i="3"/>
  <c r="J253" i="3" s="1"/>
  <c r="N253" i="3" s="1"/>
  <c r="A253" i="3"/>
  <c r="I252" i="3"/>
  <c r="G252" i="3"/>
  <c r="J252" i="3" s="1"/>
  <c r="N252" i="3" s="1"/>
  <c r="A252" i="3"/>
  <c r="I251" i="3"/>
  <c r="G251" i="3"/>
  <c r="J251" i="3" s="1"/>
  <c r="N251" i="3" s="1"/>
  <c r="A251" i="3"/>
  <c r="I250" i="3"/>
  <c r="G250" i="3"/>
  <c r="J250" i="3" s="1"/>
  <c r="N250" i="3" s="1"/>
  <c r="A250" i="3"/>
  <c r="I249" i="3"/>
  <c r="G249" i="3"/>
  <c r="J249" i="3" s="1"/>
  <c r="N249" i="3" s="1"/>
  <c r="A249" i="3"/>
  <c r="I248" i="3"/>
  <c r="G248" i="3"/>
  <c r="J248" i="3" s="1"/>
  <c r="N248" i="3" s="1"/>
  <c r="A248" i="3"/>
  <c r="I247" i="3"/>
  <c r="G247" i="3"/>
  <c r="J247" i="3" s="1"/>
  <c r="N247" i="3" s="1"/>
  <c r="A247" i="3"/>
  <c r="I246" i="3"/>
  <c r="G246" i="3"/>
  <c r="J246" i="3" s="1"/>
  <c r="N246" i="3" s="1"/>
  <c r="A246" i="3"/>
  <c r="I245" i="3"/>
  <c r="G245" i="3"/>
  <c r="J245" i="3" s="1"/>
  <c r="N245" i="3" s="1"/>
  <c r="A245" i="3"/>
  <c r="I244" i="3"/>
  <c r="G244" i="3"/>
  <c r="J244" i="3" s="1"/>
  <c r="N244" i="3" s="1"/>
  <c r="A244" i="3"/>
  <c r="I243" i="3"/>
  <c r="G243" i="3"/>
  <c r="J243" i="3" s="1"/>
  <c r="N243" i="3" s="1"/>
  <c r="A243" i="3"/>
  <c r="I242" i="3"/>
  <c r="G242" i="3"/>
  <c r="J242" i="3" s="1"/>
  <c r="N242" i="3" s="1"/>
  <c r="A242" i="3"/>
  <c r="I241" i="3"/>
  <c r="G241" i="3"/>
  <c r="J241" i="3" s="1"/>
  <c r="N241" i="3" s="1"/>
  <c r="A241" i="3"/>
  <c r="I240" i="3"/>
  <c r="G240" i="3"/>
  <c r="J240" i="3" s="1"/>
  <c r="N240" i="3" s="1"/>
  <c r="A240" i="3"/>
  <c r="I239" i="3"/>
  <c r="G239" i="3"/>
  <c r="J239" i="3" s="1"/>
  <c r="N239" i="3" s="1"/>
  <c r="A239" i="3"/>
  <c r="I238" i="3"/>
  <c r="G238" i="3"/>
  <c r="J238" i="3" s="1"/>
  <c r="N238" i="3" s="1"/>
  <c r="A238" i="3"/>
  <c r="I237" i="3"/>
  <c r="G237" i="3"/>
  <c r="J237" i="3" s="1"/>
  <c r="N237" i="3" s="1"/>
  <c r="A237" i="3"/>
  <c r="I236" i="3"/>
  <c r="G236" i="3"/>
  <c r="J236" i="3" s="1"/>
  <c r="N236" i="3" s="1"/>
  <c r="A236" i="3"/>
  <c r="I235" i="3"/>
  <c r="G235" i="3"/>
  <c r="J235" i="3" s="1"/>
  <c r="N235" i="3" s="1"/>
  <c r="A235" i="3"/>
  <c r="I234" i="3"/>
  <c r="G234" i="3"/>
  <c r="J234" i="3" s="1"/>
  <c r="N234" i="3" s="1"/>
  <c r="A234" i="3"/>
  <c r="I233" i="3"/>
  <c r="G233" i="3"/>
  <c r="J233" i="3" s="1"/>
  <c r="N233" i="3" s="1"/>
  <c r="A233" i="3"/>
  <c r="I232" i="3"/>
  <c r="G232" i="3"/>
  <c r="J232" i="3" s="1"/>
  <c r="N232" i="3" s="1"/>
  <c r="A232" i="3"/>
  <c r="I231" i="3"/>
  <c r="G231" i="3"/>
  <c r="J231" i="3" s="1"/>
  <c r="N231" i="3" s="1"/>
  <c r="A231" i="3"/>
  <c r="I230" i="3"/>
  <c r="G230" i="3"/>
  <c r="J230" i="3" s="1"/>
  <c r="N230" i="3" s="1"/>
  <c r="A230" i="3"/>
  <c r="I229" i="3"/>
  <c r="G229" i="3"/>
  <c r="J229" i="3" s="1"/>
  <c r="N229" i="3" s="1"/>
  <c r="A229" i="3"/>
  <c r="I228" i="3"/>
  <c r="G228" i="3"/>
  <c r="J228" i="3" s="1"/>
  <c r="N228" i="3" s="1"/>
  <c r="A228" i="3"/>
  <c r="I227" i="3"/>
  <c r="G227" i="3"/>
  <c r="J227" i="3" s="1"/>
  <c r="N227" i="3" s="1"/>
  <c r="A227" i="3"/>
  <c r="I226" i="3"/>
  <c r="G226" i="3"/>
  <c r="J226" i="3" s="1"/>
  <c r="N226" i="3" s="1"/>
  <c r="A226" i="3"/>
  <c r="I225" i="3"/>
  <c r="G225" i="3"/>
  <c r="J225" i="3" s="1"/>
  <c r="N225" i="3" s="1"/>
  <c r="A225" i="3"/>
  <c r="I224" i="3"/>
  <c r="G224" i="3"/>
  <c r="J224" i="3" s="1"/>
  <c r="N224" i="3" s="1"/>
  <c r="A224" i="3"/>
  <c r="I223" i="3"/>
  <c r="G223" i="3"/>
  <c r="J223" i="3" s="1"/>
  <c r="N223" i="3" s="1"/>
  <c r="A223" i="3"/>
  <c r="I222" i="3"/>
  <c r="G222" i="3"/>
  <c r="J222" i="3" s="1"/>
  <c r="N222" i="3" s="1"/>
  <c r="A222" i="3"/>
  <c r="I221" i="3"/>
  <c r="G221" i="3"/>
  <c r="J221" i="3" s="1"/>
  <c r="N221" i="3" s="1"/>
  <c r="A221" i="3"/>
  <c r="I220" i="3"/>
  <c r="G220" i="3"/>
  <c r="J220" i="3" s="1"/>
  <c r="N220" i="3" s="1"/>
  <c r="A220" i="3"/>
  <c r="I219" i="3"/>
  <c r="G219" i="3"/>
  <c r="J219" i="3" s="1"/>
  <c r="N219" i="3" s="1"/>
  <c r="A219" i="3"/>
  <c r="I218" i="3"/>
  <c r="G218" i="3"/>
  <c r="J218" i="3" s="1"/>
  <c r="N218" i="3" s="1"/>
  <c r="A218" i="3"/>
  <c r="I217" i="3"/>
  <c r="G217" i="3"/>
  <c r="J217" i="3" s="1"/>
  <c r="N217" i="3" s="1"/>
  <c r="A217" i="3"/>
  <c r="I216" i="3"/>
  <c r="G216" i="3"/>
  <c r="J216" i="3" s="1"/>
  <c r="N216" i="3" s="1"/>
  <c r="A216" i="3"/>
  <c r="I215" i="3"/>
  <c r="G215" i="3"/>
  <c r="J215" i="3" s="1"/>
  <c r="N215" i="3" s="1"/>
  <c r="A215" i="3"/>
  <c r="I214" i="3"/>
  <c r="G214" i="3"/>
  <c r="J214" i="3" s="1"/>
  <c r="N214" i="3" s="1"/>
  <c r="A214" i="3"/>
  <c r="I213" i="3"/>
  <c r="G213" i="3"/>
  <c r="J213" i="3" s="1"/>
  <c r="N213" i="3" s="1"/>
  <c r="A213" i="3"/>
  <c r="I212" i="3"/>
  <c r="G212" i="3"/>
  <c r="J212" i="3" s="1"/>
  <c r="N212" i="3" s="1"/>
  <c r="A212" i="3"/>
  <c r="I211" i="3"/>
  <c r="G211" i="3"/>
  <c r="J211" i="3" s="1"/>
  <c r="N211" i="3" s="1"/>
  <c r="A211" i="3"/>
  <c r="I210" i="3"/>
  <c r="G210" i="3"/>
  <c r="J210" i="3" s="1"/>
  <c r="N210" i="3" s="1"/>
  <c r="A210" i="3"/>
  <c r="I209" i="3"/>
  <c r="G209" i="3"/>
  <c r="J209" i="3" s="1"/>
  <c r="N209" i="3" s="1"/>
  <c r="A209" i="3"/>
  <c r="I208" i="3"/>
  <c r="G208" i="3"/>
  <c r="J208" i="3" s="1"/>
  <c r="N208" i="3" s="1"/>
  <c r="A208" i="3"/>
  <c r="I207" i="3"/>
  <c r="G207" i="3"/>
  <c r="J207" i="3" s="1"/>
  <c r="N207" i="3" s="1"/>
  <c r="A207" i="3"/>
  <c r="I206" i="3"/>
  <c r="G206" i="3"/>
  <c r="J206" i="3" s="1"/>
  <c r="N206" i="3" s="1"/>
  <c r="A206" i="3"/>
  <c r="I205" i="3"/>
  <c r="G205" i="3"/>
  <c r="J205" i="3" s="1"/>
  <c r="N205" i="3" s="1"/>
  <c r="A205" i="3"/>
  <c r="I204" i="3"/>
  <c r="G204" i="3"/>
  <c r="J204" i="3" s="1"/>
  <c r="N204" i="3" s="1"/>
  <c r="A204" i="3"/>
  <c r="I203" i="3"/>
  <c r="G203" i="3"/>
  <c r="J203" i="3" s="1"/>
  <c r="N203" i="3" s="1"/>
  <c r="A203" i="3"/>
  <c r="I202" i="3"/>
  <c r="G202" i="3"/>
  <c r="J202" i="3" s="1"/>
  <c r="N202" i="3" s="1"/>
  <c r="A202" i="3"/>
  <c r="I201" i="3"/>
  <c r="G201" i="3"/>
  <c r="J201" i="3" s="1"/>
  <c r="N201" i="3" s="1"/>
  <c r="A201" i="3"/>
  <c r="I200" i="3"/>
  <c r="G200" i="3"/>
  <c r="J200" i="3" s="1"/>
  <c r="N200" i="3" s="1"/>
  <c r="A200" i="3"/>
  <c r="I199" i="3"/>
  <c r="G199" i="3"/>
  <c r="J199" i="3" s="1"/>
  <c r="N199" i="3" s="1"/>
  <c r="A199" i="3"/>
  <c r="I198" i="3"/>
  <c r="G198" i="3"/>
  <c r="J198" i="3" s="1"/>
  <c r="N198" i="3" s="1"/>
  <c r="A198" i="3"/>
  <c r="I197" i="3"/>
  <c r="G197" i="3"/>
  <c r="J197" i="3" s="1"/>
  <c r="N197" i="3" s="1"/>
  <c r="A197" i="3"/>
  <c r="I196" i="3"/>
  <c r="G196" i="3"/>
  <c r="J196" i="3" s="1"/>
  <c r="N196" i="3" s="1"/>
  <c r="A196" i="3"/>
  <c r="I195" i="3"/>
  <c r="G195" i="3"/>
  <c r="J195" i="3" s="1"/>
  <c r="N195" i="3" s="1"/>
  <c r="A195" i="3"/>
  <c r="I194" i="3"/>
  <c r="G194" i="3"/>
  <c r="J194" i="3" s="1"/>
  <c r="N194" i="3" s="1"/>
  <c r="A194" i="3"/>
  <c r="I193" i="3"/>
  <c r="G193" i="3"/>
  <c r="J193" i="3" s="1"/>
  <c r="N193" i="3" s="1"/>
  <c r="A193" i="3"/>
  <c r="I192" i="3"/>
  <c r="G192" i="3"/>
  <c r="J192" i="3" s="1"/>
  <c r="N192" i="3" s="1"/>
  <c r="A192" i="3"/>
  <c r="I191" i="3"/>
  <c r="G191" i="3"/>
  <c r="J191" i="3" s="1"/>
  <c r="N191" i="3" s="1"/>
  <c r="A191" i="3"/>
  <c r="I190" i="3"/>
  <c r="G190" i="3"/>
  <c r="J190" i="3" s="1"/>
  <c r="N190" i="3" s="1"/>
  <c r="A190" i="3"/>
  <c r="I189" i="3"/>
  <c r="G189" i="3"/>
  <c r="J189" i="3" s="1"/>
  <c r="N189" i="3" s="1"/>
  <c r="A189" i="3"/>
  <c r="I188" i="3"/>
  <c r="G188" i="3"/>
  <c r="J188" i="3" s="1"/>
  <c r="N188" i="3" s="1"/>
  <c r="A188" i="3"/>
  <c r="I187" i="3"/>
  <c r="G187" i="3"/>
  <c r="J187" i="3" s="1"/>
  <c r="N187" i="3" s="1"/>
  <c r="A187" i="3"/>
  <c r="I186" i="3"/>
  <c r="G186" i="3"/>
  <c r="J186" i="3" s="1"/>
  <c r="N186" i="3" s="1"/>
  <c r="A186" i="3"/>
  <c r="I185" i="3"/>
  <c r="G185" i="3"/>
  <c r="J185" i="3" s="1"/>
  <c r="N185" i="3" s="1"/>
  <c r="A185" i="3"/>
  <c r="I184" i="3"/>
  <c r="G184" i="3"/>
  <c r="J184" i="3" s="1"/>
  <c r="N184" i="3" s="1"/>
  <c r="A184" i="3"/>
  <c r="I183" i="3"/>
  <c r="G183" i="3"/>
  <c r="J183" i="3" s="1"/>
  <c r="N183" i="3" s="1"/>
  <c r="A183" i="3"/>
  <c r="I182" i="3"/>
  <c r="G182" i="3"/>
  <c r="J182" i="3" s="1"/>
  <c r="N182" i="3" s="1"/>
  <c r="A182" i="3"/>
  <c r="I181" i="3"/>
  <c r="G181" i="3"/>
  <c r="J181" i="3" s="1"/>
  <c r="N181" i="3" s="1"/>
  <c r="A181" i="3"/>
  <c r="I180" i="3"/>
  <c r="G180" i="3"/>
  <c r="J180" i="3" s="1"/>
  <c r="N180" i="3" s="1"/>
  <c r="A180" i="3"/>
  <c r="I179" i="3"/>
  <c r="G179" i="3"/>
  <c r="J179" i="3" s="1"/>
  <c r="N179" i="3" s="1"/>
  <c r="A179" i="3"/>
  <c r="I178" i="3"/>
  <c r="G178" i="3"/>
  <c r="J178" i="3" s="1"/>
  <c r="N178" i="3" s="1"/>
  <c r="A178" i="3"/>
  <c r="I177" i="3"/>
  <c r="G177" i="3"/>
  <c r="J177" i="3" s="1"/>
  <c r="N177" i="3" s="1"/>
  <c r="A177" i="3"/>
  <c r="I176" i="3"/>
  <c r="G176" i="3"/>
  <c r="J176" i="3" s="1"/>
  <c r="N176" i="3" s="1"/>
  <c r="A176" i="3"/>
  <c r="I175" i="3"/>
  <c r="G175" i="3"/>
  <c r="J175" i="3" s="1"/>
  <c r="N175" i="3" s="1"/>
  <c r="A175" i="3"/>
  <c r="I174" i="3"/>
  <c r="G174" i="3"/>
  <c r="J174" i="3" s="1"/>
  <c r="N174" i="3" s="1"/>
  <c r="A174" i="3"/>
  <c r="I173" i="3"/>
  <c r="G173" i="3"/>
  <c r="J173" i="3" s="1"/>
  <c r="N173" i="3" s="1"/>
  <c r="A173" i="3"/>
  <c r="I172" i="3"/>
  <c r="G172" i="3"/>
  <c r="J172" i="3" s="1"/>
  <c r="N172" i="3" s="1"/>
  <c r="A172" i="3"/>
  <c r="I171" i="3"/>
  <c r="G171" i="3"/>
  <c r="J171" i="3" s="1"/>
  <c r="N171" i="3" s="1"/>
  <c r="A171" i="3"/>
  <c r="I170" i="3"/>
  <c r="G170" i="3"/>
  <c r="J170" i="3" s="1"/>
  <c r="N170" i="3" s="1"/>
  <c r="A170" i="3"/>
  <c r="I169" i="3"/>
  <c r="G169" i="3"/>
  <c r="J169" i="3" s="1"/>
  <c r="N169" i="3" s="1"/>
  <c r="A169" i="3"/>
  <c r="I168" i="3"/>
  <c r="G168" i="3"/>
  <c r="J168" i="3" s="1"/>
  <c r="N168" i="3" s="1"/>
  <c r="A168" i="3"/>
  <c r="I167" i="3"/>
  <c r="G167" i="3"/>
  <c r="J167" i="3" s="1"/>
  <c r="N167" i="3" s="1"/>
  <c r="A167" i="3"/>
  <c r="I166" i="3"/>
  <c r="G166" i="3"/>
  <c r="J166" i="3" s="1"/>
  <c r="N166" i="3" s="1"/>
  <c r="A166" i="3"/>
  <c r="I165" i="3"/>
  <c r="G165" i="3"/>
  <c r="J165" i="3" s="1"/>
  <c r="N165" i="3" s="1"/>
  <c r="A165" i="3"/>
  <c r="I164" i="3"/>
  <c r="G164" i="3"/>
  <c r="J164" i="3" s="1"/>
  <c r="N164" i="3" s="1"/>
  <c r="A164" i="3"/>
  <c r="I163" i="3"/>
  <c r="G163" i="3"/>
  <c r="J163" i="3" s="1"/>
  <c r="N163" i="3" s="1"/>
  <c r="A163" i="3"/>
  <c r="I162" i="3"/>
  <c r="G162" i="3"/>
  <c r="J162" i="3" s="1"/>
  <c r="N162" i="3" s="1"/>
  <c r="A162" i="3"/>
  <c r="I161" i="3"/>
  <c r="G161" i="3"/>
  <c r="J161" i="3" s="1"/>
  <c r="N161" i="3" s="1"/>
  <c r="A161" i="3"/>
  <c r="I160" i="3"/>
  <c r="G160" i="3"/>
  <c r="J160" i="3" s="1"/>
  <c r="N160" i="3" s="1"/>
  <c r="A160" i="3"/>
  <c r="I159" i="3"/>
  <c r="G159" i="3"/>
  <c r="J159" i="3" s="1"/>
  <c r="N159" i="3" s="1"/>
  <c r="A159" i="3"/>
  <c r="I158" i="3"/>
  <c r="G158" i="3"/>
  <c r="J158" i="3" s="1"/>
  <c r="N158" i="3" s="1"/>
  <c r="A158" i="3"/>
  <c r="I157" i="3"/>
  <c r="G157" i="3"/>
  <c r="J157" i="3" s="1"/>
  <c r="N157" i="3" s="1"/>
  <c r="A157" i="3"/>
  <c r="I156" i="3"/>
  <c r="G156" i="3"/>
  <c r="J156" i="3" s="1"/>
  <c r="N156" i="3" s="1"/>
  <c r="A156" i="3"/>
  <c r="I155" i="3"/>
  <c r="G155" i="3"/>
  <c r="J155" i="3" s="1"/>
  <c r="N155" i="3" s="1"/>
  <c r="A155" i="3"/>
  <c r="I154" i="3"/>
  <c r="G154" i="3"/>
  <c r="J154" i="3" s="1"/>
  <c r="N154" i="3" s="1"/>
  <c r="A154" i="3"/>
  <c r="I153" i="3"/>
  <c r="G153" i="3"/>
  <c r="J153" i="3" s="1"/>
  <c r="N153" i="3" s="1"/>
  <c r="A153" i="3"/>
  <c r="I152" i="3"/>
  <c r="G152" i="3"/>
  <c r="J152" i="3" s="1"/>
  <c r="N152" i="3" s="1"/>
  <c r="A152" i="3"/>
  <c r="I151" i="3"/>
  <c r="G151" i="3"/>
  <c r="J151" i="3" s="1"/>
  <c r="N151" i="3" s="1"/>
  <c r="A151" i="3"/>
  <c r="I150" i="3"/>
  <c r="G150" i="3"/>
  <c r="J150" i="3" s="1"/>
  <c r="N150" i="3" s="1"/>
  <c r="A150" i="3"/>
  <c r="I149" i="3"/>
  <c r="G149" i="3"/>
  <c r="J149" i="3" s="1"/>
  <c r="N149" i="3" s="1"/>
  <c r="A149" i="3"/>
  <c r="I148" i="3"/>
  <c r="G148" i="3"/>
  <c r="J148" i="3" s="1"/>
  <c r="N148" i="3" s="1"/>
  <c r="A148" i="3"/>
  <c r="I147" i="3"/>
  <c r="G147" i="3"/>
  <c r="J147" i="3" s="1"/>
  <c r="N147" i="3" s="1"/>
  <c r="A147" i="3"/>
  <c r="I146" i="3"/>
  <c r="G146" i="3"/>
  <c r="J146" i="3" s="1"/>
  <c r="N146" i="3" s="1"/>
  <c r="A146" i="3"/>
  <c r="I145" i="3"/>
  <c r="G145" i="3"/>
  <c r="J145" i="3" s="1"/>
  <c r="N145" i="3" s="1"/>
  <c r="A145" i="3"/>
  <c r="I144" i="3"/>
  <c r="G144" i="3"/>
  <c r="J144" i="3" s="1"/>
  <c r="N144" i="3" s="1"/>
  <c r="A144" i="3"/>
  <c r="I143" i="3"/>
  <c r="G143" i="3"/>
  <c r="J143" i="3" s="1"/>
  <c r="N143" i="3" s="1"/>
  <c r="A143" i="3"/>
  <c r="I142" i="3"/>
  <c r="G142" i="3"/>
  <c r="J142" i="3" s="1"/>
  <c r="N142" i="3" s="1"/>
  <c r="A142" i="3"/>
  <c r="I141" i="3"/>
  <c r="G141" i="3"/>
  <c r="J141" i="3" s="1"/>
  <c r="N141" i="3" s="1"/>
  <c r="A141" i="3"/>
  <c r="I140" i="3"/>
  <c r="G140" i="3"/>
  <c r="J140" i="3" s="1"/>
  <c r="N140" i="3" s="1"/>
  <c r="A140" i="3"/>
  <c r="I139" i="3"/>
  <c r="G139" i="3"/>
  <c r="J139" i="3" s="1"/>
  <c r="N139" i="3" s="1"/>
  <c r="A139" i="3"/>
  <c r="I138" i="3"/>
  <c r="G138" i="3"/>
  <c r="J138" i="3" s="1"/>
  <c r="N138" i="3" s="1"/>
  <c r="A138" i="3"/>
  <c r="I137" i="3"/>
  <c r="G137" i="3"/>
  <c r="J137" i="3" s="1"/>
  <c r="N137" i="3" s="1"/>
  <c r="A137" i="3"/>
  <c r="I136" i="3"/>
  <c r="G136" i="3"/>
  <c r="J136" i="3" s="1"/>
  <c r="N136" i="3" s="1"/>
  <c r="A136" i="3"/>
  <c r="I135" i="3"/>
  <c r="G135" i="3"/>
  <c r="J135" i="3" s="1"/>
  <c r="N135" i="3" s="1"/>
  <c r="A135" i="3"/>
  <c r="I134" i="3"/>
  <c r="G134" i="3"/>
  <c r="J134" i="3" s="1"/>
  <c r="N134" i="3" s="1"/>
  <c r="A134" i="3"/>
  <c r="I133" i="3"/>
  <c r="G133" i="3"/>
  <c r="J133" i="3" s="1"/>
  <c r="N133" i="3" s="1"/>
  <c r="A133" i="3"/>
  <c r="I132" i="3"/>
  <c r="G132" i="3"/>
  <c r="J132" i="3" s="1"/>
  <c r="N132" i="3" s="1"/>
  <c r="A132" i="3"/>
  <c r="I131" i="3"/>
  <c r="G131" i="3"/>
  <c r="J131" i="3" s="1"/>
  <c r="N131" i="3" s="1"/>
  <c r="A131" i="3"/>
  <c r="I130" i="3"/>
  <c r="G130" i="3"/>
  <c r="J130" i="3" s="1"/>
  <c r="N130" i="3" s="1"/>
  <c r="A130" i="3"/>
  <c r="I129" i="3"/>
  <c r="G129" i="3"/>
  <c r="J129" i="3" s="1"/>
  <c r="N129" i="3" s="1"/>
  <c r="A129" i="3"/>
  <c r="I128" i="3"/>
  <c r="G128" i="3"/>
  <c r="J128" i="3" s="1"/>
  <c r="N128" i="3" s="1"/>
  <c r="A128" i="3"/>
  <c r="I127" i="3"/>
  <c r="G127" i="3"/>
  <c r="J127" i="3" s="1"/>
  <c r="N127" i="3" s="1"/>
  <c r="A127" i="3"/>
  <c r="I126" i="3"/>
  <c r="G126" i="3"/>
  <c r="J126" i="3" s="1"/>
  <c r="N126" i="3" s="1"/>
  <c r="A126" i="3"/>
  <c r="I125" i="3"/>
  <c r="G125" i="3"/>
  <c r="J125" i="3" s="1"/>
  <c r="N125" i="3" s="1"/>
  <c r="A125" i="3"/>
  <c r="I124" i="3"/>
  <c r="G124" i="3"/>
  <c r="J124" i="3" s="1"/>
  <c r="N124" i="3" s="1"/>
  <c r="A124" i="3"/>
  <c r="I123" i="3"/>
  <c r="G123" i="3"/>
  <c r="J123" i="3" s="1"/>
  <c r="N123" i="3" s="1"/>
  <c r="A123" i="3"/>
  <c r="I122" i="3"/>
  <c r="G122" i="3"/>
  <c r="J122" i="3" s="1"/>
  <c r="N122" i="3" s="1"/>
  <c r="A122" i="3"/>
  <c r="I121" i="3"/>
  <c r="G121" i="3"/>
  <c r="J121" i="3" s="1"/>
  <c r="N121" i="3" s="1"/>
  <c r="A121" i="3"/>
  <c r="I120" i="3"/>
  <c r="G120" i="3"/>
  <c r="J120" i="3" s="1"/>
  <c r="N120" i="3" s="1"/>
  <c r="A120" i="3"/>
  <c r="I119" i="3"/>
  <c r="G119" i="3"/>
  <c r="J119" i="3" s="1"/>
  <c r="N119" i="3" s="1"/>
  <c r="A119" i="3"/>
  <c r="I118" i="3"/>
  <c r="G118" i="3"/>
  <c r="J118" i="3" s="1"/>
  <c r="N118" i="3" s="1"/>
  <c r="A118" i="3"/>
  <c r="I117" i="3"/>
  <c r="G117" i="3"/>
  <c r="J117" i="3" s="1"/>
  <c r="N117" i="3" s="1"/>
  <c r="A117" i="3"/>
  <c r="I116" i="3"/>
  <c r="G116" i="3"/>
  <c r="J116" i="3" s="1"/>
  <c r="N116" i="3" s="1"/>
  <c r="A116" i="3"/>
  <c r="I115" i="3"/>
  <c r="G115" i="3"/>
  <c r="J115" i="3" s="1"/>
  <c r="N115" i="3" s="1"/>
  <c r="A115" i="3"/>
  <c r="I114" i="3"/>
  <c r="G114" i="3"/>
  <c r="J114" i="3" s="1"/>
  <c r="N114" i="3" s="1"/>
  <c r="A114" i="3"/>
  <c r="I113" i="3"/>
  <c r="G113" i="3"/>
  <c r="J113" i="3" s="1"/>
  <c r="N113" i="3" s="1"/>
  <c r="A113" i="3"/>
  <c r="I112" i="3"/>
  <c r="G112" i="3"/>
  <c r="J112" i="3" s="1"/>
  <c r="N112" i="3" s="1"/>
  <c r="A112" i="3"/>
  <c r="I111" i="3"/>
  <c r="G111" i="3"/>
  <c r="J111" i="3" s="1"/>
  <c r="N111" i="3" s="1"/>
  <c r="A111" i="3"/>
  <c r="I110" i="3"/>
  <c r="G110" i="3"/>
  <c r="J110" i="3" s="1"/>
  <c r="N110" i="3" s="1"/>
  <c r="A110" i="3"/>
  <c r="I109" i="3"/>
  <c r="G109" i="3"/>
  <c r="J109" i="3" s="1"/>
  <c r="N109" i="3" s="1"/>
  <c r="A109" i="3"/>
  <c r="I108" i="3"/>
  <c r="G108" i="3"/>
  <c r="J108" i="3" s="1"/>
  <c r="N108" i="3" s="1"/>
  <c r="A108" i="3"/>
  <c r="I107" i="3"/>
  <c r="G107" i="3"/>
  <c r="J107" i="3" s="1"/>
  <c r="N107" i="3" s="1"/>
  <c r="A107" i="3"/>
  <c r="I106" i="3"/>
  <c r="G106" i="3"/>
  <c r="J106" i="3" s="1"/>
  <c r="N106" i="3" s="1"/>
  <c r="A106" i="3"/>
  <c r="I105" i="3"/>
  <c r="G105" i="3"/>
  <c r="J105" i="3" s="1"/>
  <c r="N105" i="3" s="1"/>
  <c r="A105" i="3"/>
  <c r="I104" i="3"/>
  <c r="G104" i="3"/>
  <c r="J104" i="3" s="1"/>
  <c r="N104" i="3" s="1"/>
  <c r="A104" i="3"/>
  <c r="I103" i="3"/>
  <c r="G103" i="3"/>
  <c r="J103" i="3" s="1"/>
  <c r="N103" i="3" s="1"/>
  <c r="A103" i="3"/>
  <c r="I102" i="3"/>
  <c r="G102" i="3"/>
  <c r="J102" i="3" s="1"/>
  <c r="N102" i="3" s="1"/>
  <c r="A102" i="3"/>
  <c r="I101" i="3"/>
  <c r="G101" i="3"/>
  <c r="J101" i="3" s="1"/>
  <c r="N101" i="3" s="1"/>
  <c r="A101" i="3"/>
  <c r="I100" i="3"/>
  <c r="G100" i="3"/>
  <c r="J100" i="3" s="1"/>
  <c r="N100" i="3" s="1"/>
  <c r="A100" i="3"/>
  <c r="I99" i="3"/>
  <c r="G99" i="3"/>
  <c r="J99" i="3" s="1"/>
  <c r="N99" i="3" s="1"/>
  <c r="A99" i="3"/>
  <c r="I98" i="3"/>
  <c r="G98" i="3"/>
  <c r="J98" i="3" s="1"/>
  <c r="N98" i="3" s="1"/>
  <c r="A98" i="3"/>
  <c r="I97" i="3"/>
  <c r="G97" i="3"/>
  <c r="J97" i="3" s="1"/>
  <c r="N97" i="3" s="1"/>
  <c r="A97" i="3"/>
  <c r="I96" i="3"/>
  <c r="G96" i="3"/>
  <c r="J96" i="3" s="1"/>
  <c r="N96" i="3" s="1"/>
  <c r="A96" i="3"/>
  <c r="I95" i="3"/>
  <c r="G95" i="3"/>
  <c r="J95" i="3" s="1"/>
  <c r="N95" i="3" s="1"/>
  <c r="A95" i="3"/>
  <c r="I94" i="3"/>
  <c r="G94" i="3"/>
  <c r="J94" i="3" s="1"/>
  <c r="N94" i="3" s="1"/>
  <c r="A94" i="3"/>
  <c r="I93" i="3"/>
  <c r="G93" i="3"/>
  <c r="J93" i="3" s="1"/>
  <c r="N93" i="3" s="1"/>
  <c r="A93" i="3"/>
  <c r="I92" i="3"/>
  <c r="G92" i="3"/>
  <c r="J92" i="3" s="1"/>
  <c r="N92" i="3" s="1"/>
  <c r="A92" i="3"/>
  <c r="I91" i="3"/>
  <c r="G91" i="3"/>
  <c r="J91" i="3" s="1"/>
  <c r="N91" i="3" s="1"/>
  <c r="A91" i="3"/>
  <c r="I90" i="3"/>
  <c r="G90" i="3"/>
  <c r="J90" i="3" s="1"/>
  <c r="N90" i="3" s="1"/>
  <c r="A90" i="3"/>
  <c r="I89" i="3"/>
  <c r="G89" i="3"/>
  <c r="J89" i="3" s="1"/>
  <c r="N89" i="3" s="1"/>
  <c r="A89" i="3"/>
  <c r="I88" i="3"/>
  <c r="G88" i="3"/>
  <c r="J88" i="3" s="1"/>
  <c r="N88" i="3" s="1"/>
  <c r="A88" i="3"/>
  <c r="I87" i="3"/>
  <c r="G87" i="3"/>
  <c r="J87" i="3" s="1"/>
  <c r="N87" i="3" s="1"/>
  <c r="A87" i="3"/>
  <c r="I86" i="3"/>
  <c r="G86" i="3"/>
  <c r="J86" i="3" s="1"/>
  <c r="N86" i="3" s="1"/>
  <c r="A86" i="3"/>
  <c r="I85" i="3"/>
  <c r="G85" i="3"/>
  <c r="J85" i="3" s="1"/>
  <c r="N85" i="3" s="1"/>
  <c r="A85" i="3"/>
  <c r="I84" i="3"/>
  <c r="G84" i="3"/>
  <c r="J84" i="3" s="1"/>
  <c r="N84" i="3" s="1"/>
  <c r="A84" i="3"/>
  <c r="I83" i="3"/>
  <c r="G83" i="3"/>
  <c r="J83" i="3" s="1"/>
  <c r="N83" i="3" s="1"/>
  <c r="A83" i="3"/>
  <c r="I82" i="3"/>
  <c r="G82" i="3"/>
  <c r="J82" i="3" s="1"/>
  <c r="N82" i="3" s="1"/>
  <c r="A82" i="3"/>
  <c r="I81" i="3"/>
  <c r="G81" i="3"/>
  <c r="J81" i="3" s="1"/>
  <c r="N81" i="3" s="1"/>
  <c r="A81" i="3"/>
  <c r="I80" i="3"/>
  <c r="G80" i="3"/>
  <c r="J80" i="3" s="1"/>
  <c r="N80" i="3" s="1"/>
  <c r="A80" i="3"/>
  <c r="I79" i="3"/>
  <c r="G79" i="3"/>
  <c r="J79" i="3" s="1"/>
  <c r="N79" i="3" s="1"/>
  <c r="A79" i="3"/>
  <c r="I78" i="3"/>
  <c r="G78" i="3"/>
  <c r="J78" i="3" s="1"/>
  <c r="N78" i="3" s="1"/>
  <c r="A78" i="3"/>
  <c r="I77" i="3"/>
  <c r="G77" i="3"/>
  <c r="J77" i="3" s="1"/>
  <c r="N77" i="3" s="1"/>
  <c r="A77" i="3"/>
  <c r="I76" i="3"/>
  <c r="G76" i="3"/>
  <c r="J76" i="3" s="1"/>
  <c r="N76" i="3" s="1"/>
  <c r="A76" i="3"/>
  <c r="I75" i="3"/>
  <c r="G75" i="3"/>
  <c r="J75" i="3" s="1"/>
  <c r="N75" i="3" s="1"/>
  <c r="A75" i="3"/>
  <c r="I74" i="3"/>
  <c r="G74" i="3"/>
  <c r="J74" i="3" s="1"/>
  <c r="N74" i="3" s="1"/>
  <c r="A74" i="3"/>
  <c r="I73" i="3"/>
  <c r="G73" i="3"/>
  <c r="J73" i="3" s="1"/>
  <c r="N73" i="3" s="1"/>
  <c r="A73" i="3"/>
  <c r="I72" i="3"/>
  <c r="G72" i="3"/>
  <c r="J72" i="3" s="1"/>
  <c r="N72" i="3" s="1"/>
  <c r="A72" i="3"/>
  <c r="I71" i="3"/>
  <c r="G71" i="3"/>
  <c r="J71" i="3" s="1"/>
  <c r="N71" i="3" s="1"/>
  <c r="A71" i="3"/>
  <c r="I70" i="3"/>
  <c r="G70" i="3"/>
  <c r="J70" i="3" s="1"/>
  <c r="N70" i="3" s="1"/>
  <c r="A70" i="3"/>
  <c r="I69" i="3"/>
  <c r="G69" i="3"/>
  <c r="J69" i="3" s="1"/>
  <c r="N69" i="3" s="1"/>
  <c r="A69" i="3"/>
  <c r="I68" i="3"/>
  <c r="G68" i="3"/>
  <c r="J68" i="3" s="1"/>
  <c r="N68" i="3" s="1"/>
  <c r="A68" i="3"/>
  <c r="I67" i="3"/>
  <c r="G67" i="3"/>
  <c r="J67" i="3" s="1"/>
  <c r="N67" i="3" s="1"/>
  <c r="A67" i="3"/>
  <c r="I66" i="3"/>
  <c r="G66" i="3"/>
  <c r="J66" i="3" s="1"/>
  <c r="N66" i="3" s="1"/>
  <c r="A66" i="3"/>
  <c r="I65" i="3"/>
  <c r="G65" i="3"/>
  <c r="J65" i="3" s="1"/>
  <c r="N65" i="3" s="1"/>
  <c r="A65" i="3"/>
  <c r="I64" i="3"/>
  <c r="G64" i="3"/>
  <c r="J64" i="3" s="1"/>
  <c r="N64" i="3" s="1"/>
  <c r="A64" i="3"/>
  <c r="I63" i="3"/>
  <c r="G63" i="3"/>
  <c r="J63" i="3" s="1"/>
  <c r="N63" i="3" s="1"/>
  <c r="A63" i="3"/>
  <c r="I62" i="3"/>
  <c r="G62" i="3"/>
  <c r="J62" i="3" s="1"/>
  <c r="N62" i="3" s="1"/>
  <c r="A62" i="3"/>
  <c r="I61" i="3"/>
  <c r="G61" i="3"/>
  <c r="J61" i="3" s="1"/>
  <c r="N61" i="3" s="1"/>
  <c r="A61" i="3"/>
  <c r="I60" i="3"/>
  <c r="G60" i="3"/>
  <c r="J60" i="3" s="1"/>
  <c r="N60" i="3" s="1"/>
  <c r="A60" i="3"/>
  <c r="I59" i="3"/>
  <c r="G59" i="3"/>
  <c r="J59" i="3" s="1"/>
  <c r="N59" i="3" s="1"/>
  <c r="A59" i="3"/>
  <c r="I58" i="3"/>
  <c r="G58" i="3"/>
  <c r="J58" i="3" s="1"/>
  <c r="N58" i="3" s="1"/>
  <c r="A58" i="3"/>
  <c r="I57" i="3"/>
  <c r="G57" i="3"/>
  <c r="J57" i="3" s="1"/>
  <c r="N57" i="3" s="1"/>
  <c r="A57" i="3"/>
  <c r="I56" i="3"/>
  <c r="G56" i="3"/>
  <c r="J56" i="3" s="1"/>
  <c r="N56" i="3" s="1"/>
  <c r="A56" i="3"/>
  <c r="I55" i="3"/>
  <c r="G55" i="3"/>
  <c r="J55" i="3" s="1"/>
  <c r="N55" i="3" s="1"/>
  <c r="A55" i="3"/>
  <c r="I54" i="3"/>
  <c r="G54" i="3"/>
  <c r="J54" i="3" s="1"/>
  <c r="N54" i="3" s="1"/>
  <c r="A54" i="3"/>
  <c r="I53" i="3"/>
  <c r="G53" i="3"/>
  <c r="J53" i="3" s="1"/>
  <c r="N53" i="3" s="1"/>
  <c r="A53" i="3"/>
  <c r="I52" i="3"/>
  <c r="G52" i="3"/>
  <c r="J52" i="3" s="1"/>
  <c r="N52" i="3" s="1"/>
  <c r="A52" i="3"/>
  <c r="I51" i="3"/>
  <c r="G51" i="3"/>
  <c r="J51" i="3" s="1"/>
  <c r="N51" i="3" s="1"/>
  <c r="A51" i="3"/>
  <c r="I50" i="3"/>
  <c r="G50" i="3"/>
  <c r="J50" i="3" s="1"/>
  <c r="N50" i="3" s="1"/>
  <c r="A50" i="3"/>
  <c r="I49" i="3"/>
  <c r="G49" i="3"/>
  <c r="J49" i="3" s="1"/>
  <c r="N49" i="3" s="1"/>
  <c r="A49" i="3"/>
  <c r="I48" i="3"/>
  <c r="G48" i="3"/>
  <c r="J48" i="3" s="1"/>
  <c r="N48" i="3" s="1"/>
  <c r="A48" i="3"/>
  <c r="I47" i="3"/>
  <c r="G47" i="3"/>
  <c r="J47" i="3" s="1"/>
  <c r="N47" i="3" s="1"/>
  <c r="A47" i="3"/>
  <c r="I46" i="3"/>
  <c r="G46" i="3"/>
  <c r="J46" i="3" s="1"/>
  <c r="N46" i="3" s="1"/>
  <c r="A46" i="3"/>
  <c r="I45" i="3"/>
  <c r="G45" i="3"/>
  <c r="J45" i="3" s="1"/>
  <c r="N45" i="3" s="1"/>
  <c r="A45" i="3"/>
  <c r="I44" i="3"/>
  <c r="G44" i="3"/>
  <c r="J44" i="3" s="1"/>
  <c r="N44" i="3" s="1"/>
  <c r="A44" i="3"/>
  <c r="I43" i="3"/>
  <c r="G43" i="3"/>
  <c r="J43" i="3" s="1"/>
  <c r="N43" i="3" s="1"/>
  <c r="A43" i="3"/>
  <c r="I42" i="3"/>
  <c r="G42" i="3"/>
  <c r="J42" i="3" s="1"/>
  <c r="N42" i="3" s="1"/>
  <c r="A42" i="3"/>
  <c r="I41" i="3"/>
  <c r="G41" i="3"/>
  <c r="J41" i="3" s="1"/>
  <c r="N41" i="3" s="1"/>
  <c r="A41" i="3"/>
  <c r="I40" i="3"/>
  <c r="G40" i="3"/>
  <c r="J40" i="3" s="1"/>
  <c r="N40" i="3" s="1"/>
  <c r="A40" i="3"/>
  <c r="I39" i="3"/>
  <c r="G39" i="3"/>
  <c r="J39" i="3" s="1"/>
  <c r="N39" i="3" s="1"/>
  <c r="A39" i="3"/>
  <c r="I38" i="3"/>
  <c r="G38" i="3"/>
  <c r="J38" i="3" s="1"/>
  <c r="N38" i="3" s="1"/>
  <c r="A38" i="3"/>
  <c r="I37" i="3"/>
  <c r="G37" i="3"/>
  <c r="J37" i="3" s="1"/>
  <c r="N37" i="3" s="1"/>
  <c r="A37" i="3"/>
  <c r="I36" i="3"/>
  <c r="G36" i="3"/>
  <c r="J36" i="3" s="1"/>
  <c r="N36" i="3" s="1"/>
  <c r="A36" i="3"/>
  <c r="I35" i="3"/>
  <c r="G35" i="3"/>
  <c r="J35" i="3" s="1"/>
  <c r="N35" i="3" s="1"/>
  <c r="A35" i="3"/>
  <c r="I34" i="3"/>
  <c r="G34" i="3"/>
  <c r="J34" i="3" s="1"/>
  <c r="N34" i="3" s="1"/>
  <c r="A34" i="3"/>
  <c r="I33" i="3"/>
  <c r="G33" i="3"/>
  <c r="J33" i="3" s="1"/>
  <c r="N33" i="3" s="1"/>
  <c r="A33" i="3"/>
  <c r="I32" i="3"/>
  <c r="G32" i="3"/>
  <c r="J32" i="3" s="1"/>
  <c r="N32" i="3" s="1"/>
  <c r="A32" i="3"/>
  <c r="I31" i="3"/>
  <c r="G31" i="3"/>
  <c r="J31" i="3" s="1"/>
  <c r="N31" i="3" s="1"/>
  <c r="A31" i="3"/>
  <c r="I30" i="3"/>
  <c r="G30" i="3"/>
  <c r="J30" i="3" s="1"/>
  <c r="N30" i="3" s="1"/>
  <c r="A30" i="3"/>
  <c r="I29" i="3"/>
  <c r="G29" i="3"/>
  <c r="J29" i="3" s="1"/>
  <c r="N29" i="3" s="1"/>
  <c r="A29" i="3"/>
  <c r="I28" i="3"/>
  <c r="G28" i="3"/>
  <c r="J28" i="3" s="1"/>
  <c r="N28" i="3" s="1"/>
  <c r="A28" i="3"/>
  <c r="I27" i="3"/>
  <c r="G27" i="3"/>
  <c r="J27" i="3" s="1"/>
  <c r="N27" i="3" s="1"/>
  <c r="A27" i="3"/>
  <c r="I26" i="3"/>
  <c r="G26" i="3"/>
  <c r="J26" i="3" s="1"/>
  <c r="N26" i="3" s="1"/>
  <c r="A26" i="3"/>
  <c r="I25" i="3"/>
  <c r="G25" i="3"/>
  <c r="J25" i="3" s="1"/>
  <c r="N25" i="3" s="1"/>
  <c r="A25" i="3"/>
  <c r="I24" i="3"/>
  <c r="G24" i="3"/>
  <c r="J24" i="3" s="1"/>
  <c r="N24" i="3" s="1"/>
  <c r="A24" i="3"/>
  <c r="I23" i="3"/>
  <c r="G23" i="3"/>
  <c r="J23" i="3" s="1"/>
  <c r="N23" i="3" s="1"/>
  <c r="A23" i="3"/>
  <c r="I22" i="3"/>
  <c r="G22" i="3"/>
  <c r="J22" i="3" s="1"/>
  <c r="N22" i="3" s="1"/>
  <c r="A22" i="3"/>
  <c r="I21" i="3"/>
  <c r="G21" i="3"/>
  <c r="J21" i="3" s="1"/>
  <c r="N21" i="3" s="1"/>
  <c r="A21" i="3"/>
  <c r="I20" i="3"/>
  <c r="G20" i="3"/>
  <c r="J20" i="3" s="1"/>
  <c r="N20" i="3" s="1"/>
  <c r="A20" i="3"/>
  <c r="I19" i="3"/>
  <c r="G19" i="3"/>
  <c r="J19" i="3" s="1"/>
  <c r="N19" i="3" s="1"/>
  <c r="A19" i="3"/>
  <c r="I18" i="3"/>
  <c r="G18" i="3"/>
  <c r="J18" i="3" s="1"/>
  <c r="N18" i="3" s="1"/>
  <c r="A18" i="3"/>
  <c r="I17" i="3"/>
  <c r="G17" i="3"/>
  <c r="J17" i="3" s="1"/>
  <c r="N17" i="3" s="1"/>
  <c r="A17" i="3"/>
  <c r="I16" i="3"/>
  <c r="G16" i="3"/>
  <c r="J16" i="3" s="1"/>
  <c r="N16" i="3" s="1"/>
  <c r="A16" i="3"/>
  <c r="I15" i="3"/>
  <c r="G15" i="3"/>
  <c r="J15" i="3" s="1"/>
  <c r="N15" i="3" s="1"/>
  <c r="A15" i="3"/>
  <c r="I14" i="3"/>
  <c r="G14" i="3"/>
  <c r="J14" i="3" s="1"/>
  <c r="N14" i="3" s="1"/>
  <c r="A14" i="3"/>
  <c r="I13" i="3"/>
  <c r="G13" i="3"/>
  <c r="J13" i="3" s="1"/>
  <c r="N13" i="3" s="1"/>
  <c r="A13" i="3"/>
  <c r="I12" i="3"/>
  <c r="G12" i="3"/>
  <c r="J12" i="3" s="1"/>
  <c r="N12" i="3" s="1"/>
  <c r="A12" i="3"/>
  <c r="I11" i="3"/>
  <c r="G11" i="3"/>
  <c r="J11" i="3" s="1"/>
  <c r="N11" i="3" s="1"/>
  <c r="A11" i="3"/>
  <c r="I10" i="3"/>
  <c r="G10" i="3"/>
  <c r="J10" i="3" s="1"/>
  <c r="N10" i="3" s="1"/>
  <c r="A10" i="3"/>
  <c r="I9" i="3"/>
  <c r="G9" i="3"/>
  <c r="J9" i="3" s="1"/>
  <c r="N9" i="3" s="1"/>
  <c r="A9" i="3"/>
  <c r="I8" i="3"/>
  <c r="G8" i="3"/>
  <c r="J8" i="3" s="1"/>
  <c r="N8" i="3" s="1"/>
  <c r="A8" i="3"/>
  <c r="I7" i="3"/>
  <c r="G7" i="3"/>
  <c r="J7" i="3" s="1"/>
  <c r="N7" i="3" s="1"/>
  <c r="A7" i="3"/>
  <c r="I6" i="3"/>
  <c r="G6" i="3"/>
  <c r="J6" i="3" s="1"/>
  <c r="N6" i="3" s="1"/>
  <c r="A6" i="3"/>
  <c r="I5" i="3"/>
  <c r="G5" i="3"/>
  <c r="J5" i="3" s="1"/>
  <c r="N5" i="3" s="1"/>
  <c r="A5" i="3"/>
  <c r="R4" i="3"/>
  <c r="I4" i="3"/>
  <c r="G4" i="3"/>
  <c r="J4" i="3" s="1"/>
  <c r="N4" i="3" s="1"/>
  <c r="A4" i="3"/>
  <c r="I3" i="3"/>
  <c r="G3" i="3"/>
  <c r="J3" i="3" s="1"/>
  <c r="N3" i="3" s="1"/>
  <c r="A3" i="3"/>
  <c r="I2" i="3"/>
  <c r="G2" i="3"/>
  <c r="J2" i="3" s="1"/>
  <c r="N2" i="3" s="1"/>
  <c r="A2" i="3"/>
  <c r="Q1" i="3"/>
  <c r="Q6" i="3" l="1" a="1"/>
  <c r="Q6" i="3" s="1"/>
  <c r="Q2" i="3"/>
  <c r="Q4"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<sst xmlns="http://schemas.openxmlformats.org/spreadsheetml/2006/main" count="1688" uniqueCount="113">
  <si>
    <t>YYYY-MM</t>
  </si>
  <si>
    <t>OrderDate</t>
  </si>
  <si>
    <t>ProductID</t>
  </si>
  <si>
    <t>ProductName</t>
  </si>
  <si>
    <t>Quantity</t>
  </si>
  <si>
    <t>Unit Price</t>
  </si>
  <si>
    <t>Total Sales</t>
  </si>
  <si>
    <t>Unit Cost</t>
  </si>
  <si>
    <t>Total Cost</t>
  </si>
  <si>
    <t>Profit</t>
  </si>
  <si>
    <t>CustomerID</t>
  </si>
  <si>
    <t>Customer</t>
  </si>
  <si>
    <t>SalesRep</t>
  </si>
  <si>
    <t>Profit Margin</t>
  </si>
  <si>
    <t>Max Profit Margin</t>
  </si>
  <si>
    <t>(0) Treat the data by computing Profit Margin in a new column (Profit / Total Sales) for each item, then transform the Profit Margin to the Margin bins (4 bins of equal linear spacing, 1 for the least and 4 for the highest profit margin) in another column.</t>
  </si>
  <si>
    <t>Mozzarella cheese</t>
  </si>
  <si>
    <t>The Station</t>
  </si>
  <si>
    <t>PJ Helgoth</t>
  </si>
  <si>
    <t>Min</t>
  </si>
  <si>
    <t>Romaine lettuce</t>
  </si>
  <si>
    <t>Roberta Cross</t>
  </si>
  <si>
    <t>No. of Bin</t>
  </si>
  <si>
    <t>Red onions</t>
  </si>
  <si>
    <t>Bert's Bistro</t>
  </si>
  <si>
    <t>Loraine Schultz</t>
  </si>
  <si>
    <t>Range</t>
  </si>
  <si>
    <t>Smoke House</t>
  </si>
  <si>
    <t>Bin (4 bins)</t>
  </si>
  <si>
    <t>FREQUENCY</t>
  </si>
  <si>
    <t>Black olives</t>
  </si>
  <si>
    <t>Flagstaff House</t>
  </si>
  <si>
    <t>Two Bitts</t>
  </si>
  <si>
    <t>Pierce Arrow</t>
  </si>
  <si>
    <t>Mamm'a Pasta Palace</t>
  </si>
  <si>
    <t>The Dandelion</t>
  </si>
  <si>
    <t>Carmens</t>
  </si>
  <si>
    <t>Pineapple</t>
  </si>
  <si>
    <t>Pepperoni</t>
  </si>
  <si>
    <t>(i) Use the Pivot Table/Graph tool on Excel or PowerBI to drill for seeking the weakest products in terms of profit margin. Ensure you find the top and bottom ranked customers for this product. Plot necessary graph. Based on your finding, suggest actions to improve business outcome.</t>
  </si>
  <si>
    <t>Parmesan cheese</t>
  </si>
  <si>
    <t>Sum of Total Sales</t>
  </si>
  <si>
    <t xml:space="preserve">  Profit Margin</t>
  </si>
  <si>
    <t>กำไรโดยรวม</t>
  </si>
  <si>
    <t>Tomatoes</t>
  </si>
  <si>
    <t>- กำไรทั้งหมดอยู่ที่ $129,116.00 จากยอดขายรวม $432,769.00 และต้นทุนรวม $303,653.00</t>
  </si>
  <si>
    <t>Peppers</t>
  </si>
  <si>
    <t>Chicken</t>
  </si>
  <si>
    <t>- อัตรากำไรโดยรวมอยู่ที่ 0.30%</t>
  </si>
  <si>
    <t>สินค้าที่มีอัตรากำไรสูงสุด (Margin)</t>
  </si>
  <si>
    <t>1. Sausage (0.56%)</t>
  </si>
  <si>
    <t>2. Sun dried tomatoes (0.55%)</t>
  </si>
  <si>
    <t xml:space="preserve"> Profit Margin</t>
  </si>
  <si>
    <t>3. Black olives และ Parmesan cheese (0.50%)</t>
  </si>
  <si>
    <t xml:space="preserve"> สินค้าที่มีอัตรากำไรต่ำสุด</t>
  </si>
  <si>
    <t>1. Romaine lettuce มีอัตรากำไรเพียง 0.7% ซึ่งเป็นอัตราที่ต่ำที่สุด</t>
  </si>
  <si>
    <t>Laudisio</t>
  </si>
  <si>
    <t>2. Pineapple (0.15%) และ Tomatoes (0.22%) ก็มีอัตรากำไรต่ำเช่นกัน</t>
  </si>
  <si>
    <t>Sausage</t>
  </si>
  <si>
    <t>สินค้าที่มียอดขายสูง</t>
  </si>
  <si>
    <t>Sun dried tomatoes</t>
  </si>
  <si>
    <t xml:space="preserve">- Romaine lettuce  มียอดขายสูงสุดที่ $68,160.00 </t>
  </si>
  <si>
    <t>สินค้าที่มีต้นทุนสูง</t>
  </si>
  <si>
    <t>Grand Total</t>
  </si>
  <si>
    <t>- Romaine lettuce มีต้นทุนสูงสุดที่ $63,616.00</t>
  </si>
  <si>
    <t>Suggest actions to improve business outcome.</t>
  </si>
  <si>
    <r>
      <rPr>
        <b/>
        <sz val="10"/>
        <color rgb="FF000000"/>
        <rFont val="Arial"/>
      </rPr>
      <t>1. ปรับราคาให้เหมาะสม</t>
    </r>
    <r>
      <rPr>
        <sz val="10"/>
        <color rgb="FF000000"/>
        <rFont val="Arial"/>
      </rPr>
      <t xml:space="preserve"> → เพิ่มราคาสำหรับลูกค้ารายย่อย เช่น Laudisio ให้ส่วนลดเพิ่มกับลูกค้ารายใหญ่ ถ้าซื้อตามปริมาณที่กำหนด</t>
    </r>
  </si>
  <si>
    <r>
      <rPr>
        <b/>
        <sz val="10"/>
        <color rgb="FF000000"/>
        <rFont val="Arial"/>
      </rPr>
      <t>2. กระตุ้นยอดขายจากลูกค้ากลุ่มใหม่</t>
    </r>
    <r>
      <rPr>
        <sz val="10"/>
        <color rgb="FF000000"/>
        <rFont val="Arial"/>
      </rPr>
      <t xml:space="preserve"> → ขาย Pepperoni คู่กับสินค้าอื่นๆ, ทำโปรโมชั่นพิเศษสำหรับลูกค้ารายใหม่, แจกสินค้าทดลอง</t>
    </r>
  </si>
  <si>
    <r>
      <rPr>
        <b/>
        <sz val="10"/>
        <color rgb="FF000000"/>
        <rFont val="Arial"/>
      </rPr>
      <t>3. ลดต้นทุนการผลิต</t>
    </r>
    <r>
      <rPr>
        <sz val="10"/>
        <color rgb="FF000000"/>
        <rFont val="Arial"/>
      </rPr>
      <t xml:space="preserve"> → ต่อรองราคาวัตถุดิบกับซัพพลายเออร์ เพื่อให้ต้นทุนลดลง จัดหา เปรียบเทียบ หรือเปลี่ยนผู้ผลิตที่มีราคาถูกกว่าหรือให้ข้อเสนอที่ดีกว่า และปรับปรุงกระบวนการผลิตให้มีประสิทธิภาพ เนื่องจาก Unit Cost ของ Pepperoni สูงที่สุดทำให้ Profit Margin มีค่าต่ำ ลดค่าใช้จ่ายในการจัดเก็บและขนส่ง เช่น ใช้วิธีการจัดส่งที่ประหยัดขึ้น หรือรวมการสั่งซื้อให้เป็นล็อตใหญ่</t>
    </r>
  </si>
  <si>
    <t>Sum of Profit Margin</t>
  </si>
  <si>
    <t>ผลรวมทั้งหมด</t>
  </si>
  <si>
    <t>customer</t>
  </si>
  <si>
    <t xml:space="preserve">  Total Sales</t>
  </si>
  <si>
    <t xml:space="preserve"> Quantity</t>
  </si>
  <si>
    <t>(ii) Specify another target for BI (by yourself), drill for the answer, plot graph (ensure different type of chart from (i), explain why this type is suitable, then suggest business actions based on the insight from the chart.</t>
  </si>
  <si>
    <t>ผลรวม ของ Total Sales</t>
  </si>
  <si>
    <t>ยอดขาย</t>
  </si>
  <si>
    <t>ปี-เดือน</t>
  </si>
  <si>
    <t>2010-01</t>
  </si>
  <si>
    <t>2011-01</t>
  </si>
  <si>
    <t>2011-02</t>
  </si>
  <si>
    <t>2011-03</t>
  </si>
  <si>
    <t>2011-04</t>
  </si>
  <si>
    <t>2011-05</t>
  </si>
  <si>
    <t>2011-06</t>
  </si>
  <si>
    <t>2011-07</t>
  </si>
  <si>
    <t>2011-08</t>
  </si>
  <si>
    <t>2011-09</t>
  </si>
  <si>
    <t>2011-10</t>
  </si>
  <si>
    <t>2011-11</t>
  </si>
  <si>
    <t>2011-12</t>
  </si>
  <si>
    <t>เหตุผลในการเลือกตั้งเป้าหมาย:</t>
  </si>
  <si>
    <r>
      <rPr>
        <sz val="10"/>
        <color rgb="FF000000"/>
        <rFont val="Arial"/>
      </rPr>
      <t xml:space="preserve">1.จากข้อมูลนำมา plot เป็น Line Chart เหมาะกับการแสดง </t>
    </r>
    <r>
      <rPr>
        <b/>
        <sz val="10"/>
        <color rgb="FF000000"/>
        <rFont val="Arial"/>
      </rPr>
      <t>แนวโน้มยอดขายตามช่วงเวลา</t>
    </r>
    <r>
      <rPr>
        <sz val="10"/>
        <color rgb="FF000000"/>
        <rFont val="Arial"/>
      </rPr>
      <t>ที่กำหนด</t>
    </r>
  </si>
  <si>
    <r>
      <rPr>
        <sz val="10"/>
        <color rgb="FF000000"/>
        <rFont val="Arial"/>
      </rPr>
      <t xml:space="preserve">2.ช่วยให้เห็น </t>
    </r>
    <r>
      <rPr>
        <b/>
        <sz val="10"/>
        <color rgb="FF000000"/>
        <rFont val="Arial"/>
      </rPr>
      <t>ช่วงที่ยอดขายพุ่งสูงสุด (Peak) และต่ำสุด (Low Season)</t>
    </r>
  </si>
  <si>
    <r>
      <t xml:space="preserve">3.สามารถเปรียบเทียบ </t>
    </r>
    <r>
      <rPr>
        <b/>
        <sz val="10"/>
        <rFont val="Arial"/>
        <family val="2"/>
      </rPr>
      <t>Performance ของ Sales Rep หลายคนได้พร้อมกัน</t>
    </r>
  </si>
  <si>
    <t>จากกราฟและ Pivot Table:</t>
  </si>
  <si>
    <t>1.พฤษภาคม 2011 (2011-05) เป็นช่วงที่มียอดขายสูงสุด</t>
  </si>
  <si>
    <t>2.พฤศจิกายน 2011 (2011-11) เป็นช่วงที่ยอดขายต่ำที่สุด</t>
  </si>
  <si>
    <t>3.Loraine Schultz ทำยอดขายสูงสุด ($241,685)</t>
  </si>
  <si>
    <t>4.PJ Helgoth มียอดขายต่ำสุด ($32,034) และกำไรต่ำสุด (12.95)</t>
  </si>
  <si>
    <t>Business Actions:</t>
  </si>
  <si>
    <t>1. ปรับกลยุทธ์การขายตามฤดูกาล (Seasonal Strategy)</t>
  </si>
  <si>
    <t>- เพิ่มสต็อกสินค้าก่อนเดือนที่ขายดี (เช่น พ.ค. 2011) เพื่อเตรียมสินค้าให้เพียงพอกับช่วงที่จะมียอดขายสูง ลดการขาดโอกาสในการขายเนื่องจากสินค้าหมด</t>
  </si>
  <si>
    <t>- จัดทำโปรโมชันล่วงหน้าสำหรับเดือนที่ขายต่ำ (พ.ย. 2011) เพื่อกระตุ้นยอดขาย</t>
  </si>
  <si>
    <t>-ใช้ Performance ของ Loraine Schultz เป็นแนวทางให้ทีมขาย</t>
  </si>
  <si>
    <t>2. พัฒนาพนักงานขายที่มียอดต่ำ</t>
  </si>
  <si>
    <t>- จัด Training ให้ PJ Helgoth เรียนรู้กลยุทธ์การขาย</t>
  </si>
  <si>
    <t>- จับคู่ PJ Helgoth กับ Loraine Schultz ให้ทำการ Coaching เพื่อให้มีแรงผลักดันในการทำยอดขายเพิ่มขึ้น</t>
  </si>
  <si>
    <t>- วิเคราะห์เพิ่มเติมว่าพนักงานคนไหนควรโฟกัสที่สินค้ากลุ่มไหน เพื่อดันยอดขาย และส่งเสริมให้พนักงานโฟกันสิ่งที่ต้องทำ</t>
  </si>
  <si>
    <t>3. ตั้ง Incentive Program กระตุ้นยอดขายสำหรับพนักงานขาย</t>
  </si>
  <si>
    <t>- ตั้ง Target Sales สำหรับทุกเดือน</t>
  </si>
  <si>
    <t>-ให้โบนัสพิเศษสำหรับ Sales Rep ที่ทำยอดขายได้สูงสุดประจำเดือน เพื่อเป็นขวัญกำลังใจในการทำยอดขาย</t>
  </si>
  <si>
    <t>- กำหนด Incentive สำหรับยอดขาย $xx,xxx จะได้ incentive x% และเพิ่มเป็นขั้นบันไดตามยอดขายที่เพิ่มขึ้น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</si>
</sst>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dd\-mmm\-yy"/>
  </numFmts>
  <fonts count="11">
    <font>
      <sz val="10"/>
      <name val="Arial"/>
    </font>
    <font>
      <sz val="10"/>
      <name val="Arial"/>
      <family val="2"/>
    </font>
    <font>
      <b/>
      <sz val="10"/>
      <name val="Arial"/>
      <family val="2"/>
    </font>
    <font>
      <sz val="8"/>
      <name val="Arial"/>
      <family val="2"/>
    </font>
    <font>
      <sz val="10"/>
      <color indexed="48"/>
      <name val="Arial"/>
      <family val="2"/>
    </font>
    <font>
      <b/>
      <sz val="11"/>
      <name val="Calibri"/>
      <family val="2"/>
    </font>
    <font>
      <sz val="10"/>
      <color rgb="FF0070C0"/>
      <name val="Arial"/>
    </font>
    <font>
      <b/>
      <sz val="11"/>
      <color rgb="FF0070C0"/>
      <name val="WordVisi_MSFontService"/>
      <charset val="1"/>
    </font>
    <font>
      <b/>
      <sz val="10"/>
      <name val="Arial"/>
    </font>
    <font>
      <sz val="10"/>
      <color rgb="FF000000"/>
      <name val="Arial"/>
    </font>
    <font>
      <b/>
      <sz val="10"/>
      <color rgb="FF000000"/>
      <name val="Arial"/>
    </font>
  </fonts>
  <fills count="6">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rgb="FFFFFF0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51">
    <xf numFmtId="0" fontId="0" fillId="0" borderId="0" xfId="0"/>
    <xf numFmtId="44" fontId="0" fillId="0" borderId="0" xfId="1" applyFont="1"/>
    <xf numFmtId="0" fontId="2" fillId="2" borderId="1" xfId="0" applyFont="1" applyFill="1" applyBorder="1" applyAlignment="1">
      <alignment horizontal="center"/>
    </xf>
    <xf numFmtId="44" fontId="2" fillId="2" borderId="1" xfId="1" applyFont="1" applyFill="1" applyBorder="1" applyAlignment="1">
      <alignment horizontal="center"/>
    </xf>
    <xf numFmtId="164" fontId="4" fillId="3" borderId="2" xfId="0" applyNumberFormat="1" applyFont="1" applyFill="1" applyBorder="1" applyAlignment="1">
      <alignment horizontal="center"/>
    </xf>
    <xf numFmtId="0" fontId="4" fillId="3" borderId="3" xfId="0" applyFont="1" applyFill="1" applyBorder="1" applyAlignment="1">
      <alignment horizontal="center"/>
    </xf>
    <xf numFmtId="0" fontId="4" fillId="3" borderId="3" xfId="0" applyFont="1" applyFill="1" applyBorder="1"/>
    <xf numFmtId="44" fontId="4" fillId="3" borderId="3" xfId="0" applyNumberFormat="1" applyFont="1" applyFill="1" applyBorder="1"/>
    <xf numFmtId="44" fontId="4" fillId="3" borderId="3" xfId="1" applyFont="1" applyFill="1" applyBorder="1"/>
    <xf numFmtId="164" fontId="4" fillId="3" borderId="4" xfId="0" applyNumberFormat="1" applyFont="1" applyFill="1" applyBorder="1" applyAlignment="1">
      <alignment horizontal="center"/>
    </xf>
    <xf numFmtId="0" fontId="4" fillId="3" borderId="1" xfId="0" applyFont="1" applyFill="1" applyBorder="1" applyAlignment="1">
      <alignment horizontal="center"/>
    </xf>
    <xf numFmtId="0" fontId="4" fillId="3" borderId="1" xfId="0" applyFont="1" applyFill="1" applyBorder="1"/>
    <xf numFmtId="44" fontId="4" fillId="3" borderId="1" xfId="0" applyNumberFormat="1" applyFont="1" applyFill="1" applyBorder="1"/>
    <xf numFmtId="44" fontId="4" fillId="3" borderId="1" xfId="1" applyFont="1" applyFill="1" applyBorder="1"/>
    <xf numFmtId="164" fontId="4" fillId="3" borderId="5" xfId="0" applyNumberFormat="1" applyFont="1" applyFill="1" applyBorder="1" applyAlignment="1">
      <alignment horizontal="center"/>
    </xf>
    <xf numFmtId="0" fontId="4" fillId="3" borderId="6" xfId="0" applyFont="1" applyFill="1" applyBorder="1" applyAlignment="1">
      <alignment horizontal="center"/>
    </xf>
    <xf numFmtId="0" fontId="4" fillId="3" borderId="6" xfId="0" applyFont="1" applyFill="1" applyBorder="1"/>
    <xf numFmtId="44" fontId="4" fillId="3" borderId="6" xfId="0" applyNumberFormat="1" applyFont="1" applyFill="1" applyBorder="1"/>
    <xf numFmtId="44" fontId="4" fillId="3" borderId="6" xfId="1" applyFont="1" applyFill="1" applyBorder="1"/>
    <xf numFmtId="2" fontId="0" fillId="0" borderId="0" xfId="0" applyNumberFormat="1"/>
    <xf numFmtId="0" fontId="0" fillId="0" borderId="0" xfId="0" pivotButton="1"/>
    <xf numFmtId="0" fontId="0" fillId="0" borderId="0" xfId="0" applyAlignment="1">
      <alignment horizontal="left"/>
    </xf>
    <xf numFmtId="44" fontId="0" fillId="0" borderId="0" xfId="0" applyNumberFormat="1"/>
    <xf numFmtId="39" fontId="0" fillId="0" borderId="0" xfId="0" applyNumberFormat="1"/>
    <xf numFmtId="0" fontId="1" fillId="0" borderId="0" xfId="0" applyFont="1"/>
    <xf numFmtId="0" fontId="2" fillId="0" borderId="0" xfId="0" applyFont="1"/>
    <xf numFmtId="0" fontId="5" fillId="0" borderId="0" xfId="0" applyFont="1" applyAlignment="1">
      <alignment vertical="center"/>
    </xf>
    <xf numFmtId="0" fontId="1" fillId="0" borderId="0" xfId="0" quotePrefix="1" applyFont="1"/>
    <xf numFmtId="0" fontId="2" fillId="2" borderId="8" xfId="0" applyFont="1" applyFill="1" applyBorder="1" applyAlignment="1">
      <alignment horizontal="center"/>
    </xf>
    <xf numFmtId="0" fontId="4" fillId="3" borderId="9" xfId="0" applyFont="1" applyFill="1" applyBorder="1"/>
    <xf numFmtId="0" fontId="4" fillId="3" borderId="8" xfId="0" applyFont="1" applyFill="1" applyBorder="1"/>
    <xf numFmtId="0" fontId="4" fillId="3" borderId="10" xfId="0" applyFont="1" applyFill="1" applyBorder="1"/>
    <xf numFmtId="0" fontId="7" fillId="4" borderId="7" xfId="0" applyFont="1" applyFill="1" applyBorder="1" applyAlignment="1">
      <alignment vertical="center"/>
    </xf>
    <xf numFmtId="2" fontId="6" fillId="0" borderId="7" xfId="0" applyNumberFormat="1" applyFont="1" applyBorder="1" applyAlignment="1">
      <alignment vertical="center"/>
    </xf>
    <xf numFmtId="0" fontId="6" fillId="0" borderId="0" xfId="0" applyFont="1" applyAlignment="1">
      <alignment vertical="center"/>
    </xf>
    <xf numFmtId="2" fontId="0" fillId="0" borderId="0" xfId="0" applyNumberFormat="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pivotButton="1" applyAlignment="1">
      <alignment horizontal="center" vertical="center"/>
    </xf>
    <xf numFmtId="0" fontId="0" fillId="0" borderId="0" xfId="0" quotePrefix="1" applyAlignment="1">
      <alignment wrapText="1"/>
    </xf>
    <xf numFmtId="0" fontId="0" fillId="0" borderId="0" xfId="0" quotePrefix="1"/>
    <xf numFmtId="0" fontId="8" fillId="0" borderId="0" xfId="0" applyFont="1"/>
    <xf numFmtId="0" fontId="9" fillId="0" borderId="0" xfId="0" applyFont="1"/>
    <xf numFmtId="0" fontId="10" fillId="0" borderId="0" xfId="0" applyFont="1"/>
    <xf numFmtId="0" fontId="8" fillId="5" borderId="0" xfId="0" applyFont="1" applyFill="1" applyAlignment="1">
      <alignment wrapText="1"/>
    </xf>
    <xf numFmtId="0" fontId="8" fillId="5" borderId="0" xfId="0" applyFont="1" applyFill="1"/>
    <xf numFmtId="0" fontId="2" fillId="5" borderId="0" xfId="0" applyFont="1" applyFill="1"/>
    <xf numFmtId="0" fontId="0" fillId="5" borderId="0" xfId="0" applyFill="1"/>
    <xf numFmtId="0" fontId="1" fillId="0" borderId="0" xfId="0" quotePrefix="1" applyFont="1" applyAlignment="1">
      <alignment horizontal="left" wrapText="1"/>
    </xf>
    <xf numFmtId="0" fontId="0" fillId="0" borderId="0" xfId="0" quotePrefix="1" applyAlignment="1">
      <alignment horizontal="center" vertical="center" wrapText="1"/>
    </xf>
    <xf numFmtId="0" fontId="9" fillId="0" borderId="0" xfId="0" applyFont="1" applyAlignment="1">
      <alignment horizontal="left" vertical="top" wrapText="1"/>
    </xf>
  </cellXfs>
  <cellStyles count="2">
    <cellStyle name="ปกติ" xfId="0" builtinId="0"/>
    <cellStyle name="สกุลเงิน" xfId="1" builtinId="4"/>
  </cellStyles>
  <dxfs count="13">
    <dxf>
      <numFmt numFmtId="2" formatCode="0.00"/>
    </dxf>
    <dxf>
      <numFmt numFmtId="2" formatCode="0.00"/>
    </dxf>
    <dxf>
      <alignment horizontal="center"/>
    </dxf>
    <dxf>
      <alignment horizontal="center"/>
    </dxf>
    <dxf>
      <alignment vertical="center"/>
    </dxf>
    <dxf>
      <alignment horizontal="center"/>
    </dxf>
    <dxf>
      <alignment vertical="center"/>
    </dxf>
    <dxf>
      <numFmt numFmtId="2" formatCode="0.00"/>
    </dxf>
    <dxf>
      <numFmt numFmtId="2" formatCode="0.00"/>
    </dxf>
    <dxf>
      <alignment horizontal="center"/>
    </dxf>
    <dxf>
      <alignment vertic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6CF-4E8A-A4ED-0694A067F16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56CF-4E8A-A4ED-0694A067F16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56CF-4E8A-A4ED-0694A067F16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56CF-4E8A-A4ED-0694A067F16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56CF-4E8A-A4ED-0694A067F16E}"/>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56CF-4E8A-A4ED-0694A067F16E}"/>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D-56CF-4E8A-A4ED-0694A067F16E}"/>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F-56CF-4E8A-A4ED-0694A067F16E}"/>
              </c:ext>
            </c:extLst>
          </c:dPt>
          <c:dPt>
            <c:idx val="8"/>
            <c:invertIfNegative val="0"/>
            <c:bubble3D val="0"/>
            <c:spPr>
              <a:solidFill>
                <a:schemeClr val="accent1"/>
              </a:solidFill>
              <a:ln>
                <a:noFill/>
              </a:ln>
              <a:effectLst/>
            </c:spPr>
            <c:extLst>
              <c:ext xmlns:c16="http://schemas.microsoft.com/office/drawing/2014/chart" uri="{C3380CC4-5D6E-409C-BE32-E72D297353CC}">
                <c16:uniqueId val="{00000011-56CF-4E8A-A4ED-0694A067F16E}"/>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3-56CF-4E8A-A4ED-0694A067F1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Smoke House</c:v>
              </c:pt>
              <c:pt idx="1">
                <c:v>Mamm'a Pasta Palace</c:v>
              </c:pt>
              <c:pt idx="2">
                <c:v>Laudisio</c:v>
              </c:pt>
              <c:pt idx="3">
                <c:v>Pierce Arrow</c:v>
              </c:pt>
              <c:pt idx="4">
                <c:v>Flagstaff House</c:v>
              </c:pt>
              <c:pt idx="5">
                <c:v>Bert's Bistro</c:v>
              </c:pt>
              <c:pt idx="6">
                <c:v>Two Bitts</c:v>
              </c:pt>
              <c:pt idx="7">
                <c:v>The Station</c:v>
              </c:pt>
              <c:pt idx="8">
                <c:v>The Dandelion</c:v>
              </c:pt>
              <c:pt idx="9">
                <c:v>Carmens</c:v>
              </c:pt>
            </c:strLit>
          </c:cat>
          <c:val>
            <c:numLit>
              <c:formatCode>0.00</c:formatCode>
              <c:ptCount val="10"/>
              <c:pt idx="0">
                <c:v>0.32713523373900733</c:v>
              </c:pt>
              <c:pt idx="1">
                <c:v>0.31711399711399701</c:v>
              </c:pt>
              <c:pt idx="2">
                <c:v>0.30889933394221553</c:v>
              </c:pt>
              <c:pt idx="3">
                <c:v>0.30146431733486889</c:v>
              </c:pt>
              <c:pt idx="4">
                <c:v>0.29388642300034695</c:v>
              </c:pt>
              <c:pt idx="5">
                <c:v>0.29313115755164271</c:v>
              </c:pt>
              <c:pt idx="6">
                <c:v>0.28801946639255283</c:v>
              </c:pt>
              <c:pt idx="7">
                <c:v>0.28757988043702332</c:v>
              </c:pt>
              <c:pt idx="8">
                <c:v>0.28729750333523918</c:v>
              </c:pt>
              <c:pt idx="9">
                <c:v>0.2746572871572871</c:v>
              </c:pt>
            </c:numLit>
          </c:val>
          <c:extLst>
            <c:ext xmlns:c16="http://schemas.microsoft.com/office/drawing/2014/chart" uri="{C3380CC4-5D6E-409C-BE32-E72D297353CC}">
              <c16:uniqueId val="{00000014-56CF-4E8A-A4ED-0694A067F16E}"/>
            </c:ext>
          </c:extLst>
        </c:ser>
        <c:dLbls>
          <c:showLegendKey val="0"/>
          <c:showVal val="0"/>
          <c:showCatName val="0"/>
          <c:showSerName val="0"/>
          <c:showPercent val="0"/>
          <c:showBubbleSize val="0"/>
        </c:dLbls>
        <c:gapWidth val="100"/>
        <c:axId val="1645703688"/>
        <c:axId val="1645705736"/>
      </c:barChart>
      <c:catAx>
        <c:axId val="1645703688"/>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05736"/>
        <c:crosses val="autoZero"/>
        <c:auto val="1"/>
        <c:lblAlgn val="ctr"/>
        <c:lblOffset val="100"/>
        <c:noMultiLvlLbl val="0"/>
      </c:catAx>
      <c:valAx>
        <c:axId val="1645705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03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Bert's Bistro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0.5</c:v>
              </c:pt>
              <c:pt idx="1">
                <c:v>0.8571428571428571</c:v>
              </c:pt>
              <c:pt idx="2">
                <c:v>0.33333333333333331</c:v>
              </c:pt>
              <c:pt idx="3">
                <c:v>0.66666666666666663</c:v>
              </c:pt>
              <c:pt idx="4">
                <c:v>0.5</c:v>
              </c:pt>
              <c:pt idx="5">
                <c:v>0.55555555555555558</c:v>
              </c:pt>
              <c:pt idx="8">
                <c:v>0.2</c:v>
              </c:pt>
              <c:pt idx="10">
                <c:v>0.15151515151515152</c:v>
              </c:pt>
              <c:pt idx="11">
                <c:v>0.33962264150943394</c:v>
              </c:pt>
            </c:numLit>
          </c:val>
          <c:extLst>
            <c:ext xmlns:c16="http://schemas.microsoft.com/office/drawing/2014/chart" uri="{C3380CC4-5D6E-409C-BE32-E72D297353CC}">
              <c16:uniqueId val="{00000000-BCE8-4D7B-B6ED-66CE5FABD6F9}"/>
            </c:ext>
          </c:extLst>
        </c:ser>
        <c:ser>
          <c:idx val="1"/>
          <c:order val="1"/>
          <c:tx>
            <c:v>Carmens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2.5</c:v>
              </c:pt>
              <c:pt idx="1">
                <c:v>2.1428571428571428</c:v>
              </c:pt>
              <c:pt idx="2">
                <c:v>1.9999999999999998</c:v>
              </c:pt>
              <c:pt idx="3">
                <c:v>1.1111111111111112</c:v>
              </c:pt>
              <c:pt idx="4">
                <c:v>0.5</c:v>
              </c:pt>
              <c:pt idx="5">
                <c:v>0.55555555555555558</c:v>
              </c:pt>
              <c:pt idx="6">
                <c:v>0.75</c:v>
              </c:pt>
              <c:pt idx="7">
                <c:v>0.30555555555555558</c:v>
              </c:pt>
              <c:pt idx="8">
                <c:v>0.66666666666666663</c:v>
              </c:pt>
              <c:pt idx="10">
                <c:v>0.45454545454545459</c:v>
              </c:pt>
            </c:numLit>
          </c:val>
          <c:extLst>
            <c:ext xmlns:c16="http://schemas.microsoft.com/office/drawing/2014/chart" uri="{C3380CC4-5D6E-409C-BE32-E72D297353CC}">
              <c16:uniqueId val="{00000001-BCE8-4D7B-B6ED-66CE5FABD6F9}"/>
            </c:ext>
          </c:extLst>
        </c:ser>
        <c:ser>
          <c:idx val="2"/>
          <c:order val="2"/>
          <c:tx>
            <c:v>Flagstaff House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6</c:v>
              </c:pt>
              <c:pt idx="1">
                <c:v>4.2857142857142847</c:v>
              </c:pt>
              <c:pt idx="2">
                <c:v>3.666666666666667</c:v>
              </c:pt>
              <c:pt idx="3">
                <c:v>2.0000000000000004</c:v>
              </c:pt>
              <c:pt idx="4">
                <c:v>2</c:v>
              </c:pt>
              <c:pt idx="5">
                <c:v>1.1111111111111112</c:v>
              </c:pt>
              <c:pt idx="6">
                <c:v>1.5</c:v>
              </c:pt>
              <c:pt idx="7">
                <c:v>0.61111111111111116</c:v>
              </c:pt>
              <c:pt idx="8">
                <c:v>1.1333333333333333</c:v>
              </c:pt>
              <c:pt idx="10">
                <c:v>0.90909090909090906</c:v>
              </c:pt>
            </c:numLit>
          </c:val>
          <c:extLst>
            <c:ext xmlns:c16="http://schemas.microsoft.com/office/drawing/2014/chart" uri="{C3380CC4-5D6E-409C-BE32-E72D297353CC}">
              <c16:uniqueId val="{00000002-BCE8-4D7B-B6ED-66CE5FABD6F9}"/>
            </c:ext>
          </c:extLst>
        </c:ser>
        <c:ser>
          <c:idx val="3"/>
          <c:order val="3"/>
          <c:tx>
            <c:v>Laudisio</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1.5</c:v>
              </c:pt>
              <c:pt idx="1">
                <c:v>2.1428571428571428</c:v>
              </c:pt>
              <c:pt idx="2">
                <c:v>1.3333333333333333</c:v>
              </c:pt>
              <c:pt idx="3">
                <c:v>1.7777777777777781</c:v>
              </c:pt>
              <c:pt idx="4">
                <c:v>2.5</c:v>
              </c:pt>
              <c:pt idx="5">
                <c:v>0.55555555555555558</c:v>
              </c:pt>
              <c:pt idx="6">
                <c:v>0.75</c:v>
              </c:pt>
              <c:pt idx="7">
                <c:v>0.91666666666666674</c:v>
              </c:pt>
              <c:pt idx="8">
                <c:v>0.53333333333333333</c:v>
              </c:pt>
              <c:pt idx="9">
                <c:v>1.0909090909090908</c:v>
              </c:pt>
              <c:pt idx="10">
                <c:v>0.15151515151515152</c:v>
              </c:pt>
              <c:pt idx="11">
                <c:v>0.33962264150943394</c:v>
              </c:pt>
            </c:numLit>
          </c:val>
          <c:extLst>
            <c:ext xmlns:c16="http://schemas.microsoft.com/office/drawing/2014/chart" uri="{C3380CC4-5D6E-409C-BE32-E72D297353CC}">
              <c16:uniqueId val="{00000003-BCE8-4D7B-B6ED-66CE5FABD6F9}"/>
            </c:ext>
          </c:extLst>
        </c:ser>
        <c:ser>
          <c:idx val="4"/>
          <c:order val="4"/>
          <c:tx>
            <c:v>Mamm'a Pasta Palace</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7.5</c:v>
              </c:pt>
              <c:pt idx="1">
                <c:v>3.4285714285714279</c:v>
              </c:pt>
              <c:pt idx="2">
                <c:v>3</c:v>
              </c:pt>
              <c:pt idx="3">
                <c:v>1.5555555555555558</c:v>
              </c:pt>
              <c:pt idx="4">
                <c:v>1</c:v>
              </c:pt>
              <c:pt idx="5">
                <c:v>1.1111111111111112</c:v>
              </c:pt>
              <c:pt idx="6">
                <c:v>1</c:v>
              </c:pt>
              <c:pt idx="7">
                <c:v>0.61111111111111116</c:v>
              </c:pt>
              <c:pt idx="8">
                <c:v>0.79999999999999993</c:v>
              </c:pt>
              <c:pt idx="10">
                <c:v>0.60606060606060608</c:v>
              </c:pt>
            </c:numLit>
          </c:val>
          <c:extLst>
            <c:ext xmlns:c16="http://schemas.microsoft.com/office/drawing/2014/chart" uri="{C3380CC4-5D6E-409C-BE32-E72D297353CC}">
              <c16:uniqueId val="{00000004-BCE8-4D7B-B6ED-66CE5FABD6F9}"/>
            </c:ext>
          </c:extLst>
        </c:ser>
        <c:ser>
          <c:idx val="5"/>
          <c:order val="5"/>
          <c:tx>
            <c:v>Pierce Arrow</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3</c:v>
              </c:pt>
              <c:pt idx="1">
                <c:v>3.8571428571428563</c:v>
              </c:pt>
              <c:pt idx="2">
                <c:v>2.333333333333333</c:v>
              </c:pt>
              <c:pt idx="3">
                <c:v>3.3333333333333344</c:v>
              </c:pt>
              <c:pt idx="4">
                <c:v>2.5</c:v>
              </c:pt>
              <c:pt idx="5">
                <c:v>1.1111111111111112</c:v>
              </c:pt>
              <c:pt idx="6">
                <c:v>1.75</c:v>
              </c:pt>
              <c:pt idx="7">
                <c:v>1.8333333333333335</c:v>
              </c:pt>
              <c:pt idx="8">
                <c:v>0.93333333333333324</c:v>
              </c:pt>
              <c:pt idx="9">
                <c:v>2.1818181818181817</c:v>
              </c:pt>
              <c:pt idx="10">
                <c:v>0.30303030303030304</c:v>
              </c:pt>
              <c:pt idx="11">
                <c:v>0.67924528301886788</c:v>
              </c:pt>
            </c:numLit>
          </c:val>
          <c:extLst>
            <c:ext xmlns:c16="http://schemas.microsoft.com/office/drawing/2014/chart" uri="{C3380CC4-5D6E-409C-BE32-E72D297353CC}">
              <c16:uniqueId val="{00000005-BCE8-4D7B-B6ED-66CE5FABD6F9}"/>
            </c:ext>
          </c:extLst>
        </c:ser>
        <c:ser>
          <c:idx val="6"/>
          <c:order val="6"/>
          <c:tx>
            <c:v>Smoke House</c:v>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4.5</c:v>
              </c:pt>
              <c:pt idx="1">
                <c:v>2.1428571428571428</c:v>
              </c:pt>
              <c:pt idx="2">
                <c:v>2.333333333333333</c:v>
              </c:pt>
              <c:pt idx="3">
                <c:v>2.8888888888888897</c:v>
              </c:pt>
              <c:pt idx="4">
                <c:v>3.5</c:v>
              </c:pt>
              <c:pt idx="5">
                <c:v>1.6666666666666667</c:v>
              </c:pt>
              <c:pt idx="6">
                <c:v>1</c:v>
              </c:pt>
              <c:pt idx="7">
                <c:v>1.5277777777777779</c:v>
              </c:pt>
              <c:pt idx="8">
                <c:v>0.6</c:v>
              </c:pt>
              <c:pt idx="9">
                <c:v>1.0909090909090908</c:v>
              </c:pt>
              <c:pt idx="10">
                <c:v>0.30303030303030304</c:v>
              </c:pt>
              <c:pt idx="11">
                <c:v>1.0188679245283019</c:v>
              </c:pt>
            </c:numLit>
          </c:val>
          <c:extLst>
            <c:ext xmlns:c16="http://schemas.microsoft.com/office/drawing/2014/chart" uri="{C3380CC4-5D6E-409C-BE32-E72D297353CC}">
              <c16:uniqueId val="{00000006-BCE8-4D7B-B6ED-66CE5FABD6F9}"/>
            </c:ext>
          </c:extLst>
        </c:ser>
        <c:ser>
          <c:idx val="7"/>
          <c:order val="7"/>
          <c:tx>
            <c:v>The Dandelion</c:v>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4</c:v>
              </c:pt>
              <c:pt idx="1">
                <c:v>2.9999999999999996</c:v>
              </c:pt>
              <c:pt idx="2">
                <c:v>1.9999999999999998</c:v>
              </c:pt>
              <c:pt idx="3">
                <c:v>2.0000000000000004</c:v>
              </c:pt>
              <c:pt idx="4">
                <c:v>0.5</c:v>
              </c:pt>
              <c:pt idx="5">
                <c:v>1.1111111111111112</c:v>
              </c:pt>
              <c:pt idx="6">
                <c:v>0.75</c:v>
              </c:pt>
              <c:pt idx="7">
                <c:v>0.61111111111111116</c:v>
              </c:pt>
              <c:pt idx="8">
                <c:v>0.79999999999999993</c:v>
              </c:pt>
              <c:pt idx="10">
                <c:v>0.45454545454545459</c:v>
              </c:pt>
            </c:numLit>
          </c:val>
          <c:extLst>
            <c:ext xmlns:c16="http://schemas.microsoft.com/office/drawing/2014/chart" uri="{C3380CC4-5D6E-409C-BE32-E72D297353CC}">
              <c16:uniqueId val="{00000007-BCE8-4D7B-B6ED-66CE5FABD6F9}"/>
            </c:ext>
          </c:extLst>
        </c:ser>
        <c:ser>
          <c:idx val="8"/>
          <c:order val="8"/>
          <c:tx>
            <c:v>The Station</c:v>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0.5</c:v>
              </c:pt>
              <c:pt idx="1">
                <c:v>1.2857142857142856</c:v>
              </c:pt>
              <c:pt idx="2">
                <c:v>0.33333333333333331</c:v>
              </c:pt>
              <c:pt idx="3">
                <c:v>0.44444444444444442</c:v>
              </c:pt>
              <c:pt idx="5">
                <c:v>0.55555555555555558</c:v>
              </c:pt>
              <c:pt idx="6">
                <c:v>0.25</c:v>
              </c:pt>
              <c:pt idx="7">
                <c:v>0.30555555555555558</c:v>
              </c:pt>
              <c:pt idx="8">
                <c:v>0.2</c:v>
              </c:pt>
              <c:pt idx="10">
                <c:v>0.15151515151515152</c:v>
              </c:pt>
            </c:numLit>
          </c:val>
          <c:extLst>
            <c:ext xmlns:c16="http://schemas.microsoft.com/office/drawing/2014/chart" uri="{C3380CC4-5D6E-409C-BE32-E72D297353CC}">
              <c16:uniqueId val="{00000008-BCE8-4D7B-B6ED-66CE5FABD6F9}"/>
            </c:ext>
          </c:extLst>
        </c:ser>
        <c:ser>
          <c:idx val="9"/>
          <c:order val="9"/>
          <c:tx>
            <c:v>Two Bitts</c:v>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2.5</c:v>
              </c:pt>
              <c:pt idx="1">
                <c:v>2.1428571428571428</c:v>
              </c:pt>
              <c:pt idx="2">
                <c:v>1.6666666666666665</c:v>
              </c:pt>
              <c:pt idx="3">
                <c:v>2.6666666666666674</c:v>
              </c:pt>
              <c:pt idx="4">
                <c:v>1.5</c:v>
              </c:pt>
              <c:pt idx="5">
                <c:v>1.1111111111111112</c:v>
              </c:pt>
              <c:pt idx="6">
                <c:v>0.5</c:v>
              </c:pt>
              <c:pt idx="7">
                <c:v>0.91666666666666674</c:v>
              </c:pt>
              <c:pt idx="8">
                <c:v>0.73333333333333328</c:v>
              </c:pt>
              <c:pt idx="9">
                <c:v>0.54545454545454541</c:v>
              </c:pt>
              <c:pt idx="10">
                <c:v>0.30303030303030304</c:v>
              </c:pt>
              <c:pt idx="11">
                <c:v>0.67924528301886788</c:v>
              </c:pt>
            </c:numLit>
          </c:val>
          <c:extLst>
            <c:ext xmlns:c16="http://schemas.microsoft.com/office/drawing/2014/chart" uri="{C3380CC4-5D6E-409C-BE32-E72D297353CC}">
              <c16:uniqueId val="{00000009-BCE8-4D7B-B6ED-66CE5FABD6F9}"/>
            </c:ext>
          </c:extLst>
        </c:ser>
        <c:dLbls>
          <c:showLegendKey val="0"/>
          <c:showVal val="0"/>
          <c:showCatName val="0"/>
          <c:showSerName val="0"/>
          <c:showPercent val="0"/>
          <c:showBubbleSize val="0"/>
        </c:dLbls>
        <c:gapWidth val="219"/>
        <c:axId val="927190023"/>
        <c:axId val="1323062279"/>
      </c:barChart>
      <c:catAx>
        <c:axId val="92719002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62279"/>
        <c:crosses val="autoZero"/>
        <c:auto val="1"/>
        <c:lblAlgn val="ctr"/>
        <c:lblOffset val="100"/>
        <c:noMultiLvlLbl val="0"/>
      </c:catAx>
      <c:valAx>
        <c:axId val="1323062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190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76156216938709"/>
          <c:y val="0.17081036745406827"/>
          <c:w val="0.68935921055135374"/>
          <c:h val="0.67093358121901425"/>
        </c:manualLayout>
      </c:layout>
      <c:barChart>
        <c:barDir val="col"/>
        <c:grouping val="clustered"/>
        <c:varyColors val="0"/>
        <c:ser>
          <c:idx val="0"/>
          <c:order val="0"/>
          <c:tx>
            <c:v>ผลรวม ของ Total Sales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Pierce Arrow</c:v>
              </c:pt>
              <c:pt idx="1">
                <c:v>Smoke House</c:v>
              </c:pt>
              <c:pt idx="2">
                <c:v>Two Bitts</c:v>
              </c:pt>
              <c:pt idx="3">
                <c:v>Bert's Bistro</c:v>
              </c:pt>
              <c:pt idx="4">
                <c:v>Laudisio</c:v>
              </c:pt>
            </c:strLit>
          </c:cat>
          <c:val>
            <c:numLit>
              <c:formatCode>#,##0.00_);\(#,##0.00\)</c:formatCode>
              <c:ptCount val="5"/>
              <c:pt idx="0">
                <c:v>6572</c:v>
              </c:pt>
              <c:pt idx="1">
                <c:v>5724</c:v>
              </c:pt>
              <c:pt idx="2">
                <c:v>4823</c:v>
              </c:pt>
              <c:pt idx="3">
                <c:v>3339</c:v>
              </c:pt>
              <c:pt idx="4">
                <c:v>2173</c:v>
              </c:pt>
            </c:numLit>
          </c:val>
          <c:extLst>
            <c:ext xmlns:c16="http://schemas.microsoft.com/office/drawing/2014/chart" uri="{C3380CC4-5D6E-409C-BE32-E72D297353CC}">
              <c16:uniqueId val="{00000000-DDB1-4EE8-9336-863F36F3D767}"/>
            </c:ext>
          </c:extLst>
        </c:ser>
        <c:ser>
          <c:idx val="1"/>
          <c:order val="1"/>
          <c:tx>
            <c:v>ผลรวม ของ Quantity</c:v>
          </c:tx>
          <c:spPr>
            <a:solidFill>
              <a:schemeClr val="accent2"/>
            </a:solidFill>
            <a:ln>
              <a:noFill/>
            </a:ln>
            <a:effectLst/>
          </c:spPr>
          <c:invertIfNegative val="0"/>
          <c:cat>
            <c:strLit>
              <c:ptCount val="5"/>
              <c:pt idx="0">
                <c:v>Pierce Arrow</c:v>
              </c:pt>
              <c:pt idx="1">
                <c:v>Smoke House</c:v>
              </c:pt>
              <c:pt idx="2">
                <c:v>Two Bitts</c:v>
              </c:pt>
              <c:pt idx="3">
                <c:v>Bert's Bistro</c:v>
              </c:pt>
              <c:pt idx="4">
                <c:v>Laudisio</c:v>
              </c:pt>
            </c:strLit>
          </c:cat>
          <c:val>
            <c:numLit>
              <c:formatCode>General</c:formatCode>
              <c:ptCount val="5"/>
              <c:pt idx="0">
                <c:v>124</c:v>
              </c:pt>
              <c:pt idx="1">
                <c:v>108</c:v>
              </c:pt>
              <c:pt idx="2">
                <c:v>91</c:v>
              </c:pt>
              <c:pt idx="3">
                <c:v>63</c:v>
              </c:pt>
              <c:pt idx="4">
                <c:v>41</c:v>
              </c:pt>
            </c:numLit>
          </c:val>
          <c:extLst>
            <c:ext xmlns:c16="http://schemas.microsoft.com/office/drawing/2014/chart" uri="{C3380CC4-5D6E-409C-BE32-E72D297353CC}">
              <c16:uniqueId val="{00000001-DDB1-4EE8-9336-863F36F3D767}"/>
            </c:ext>
          </c:extLst>
        </c:ser>
        <c:dLbls>
          <c:showLegendKey val="0"/>
          <c:showVal val="0"/>
          <c:showCatName val="0"/>
          <c:showSerName val="0"/>
          <c:showPercent val="0"/>
          <c:showBubbleSize val="0"/>
        </c:dLbls>
        <c:gapWidth val="219"/>
        <c:overlap val="-27"/>
        <c:axId val="1060929295"/>
        <c:axId val="1148276175"/>
      </c:barChart>
      <c:catAx>
        <c:axId val="106092929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148276175"/>
        <c:crosses val="autoZero"/>
        <c:auto val="1"/>
        <c:lblAlgn val="ctr"/>
        <c:lblOffset val="100"/>
        <c:noMultiLvlLbl val="0"/>
      </c:catAx>
      <c:valAx>
        <c:axId val="1148276175"/>
        <c:scaling>
          <c:orientation val="minMax"/>
        </c:scaling>
        <c:delete val="0"/>
        <c:axPos val="l"/>
        <c:majorGridlines>
          <c:spPr>
            <a:ln w="9525" cap="flat" cmpd="sng" algn="ctr">
              <a:solidFill>
                <a:schemeClr val="tx1">
                  <a:lumMod val="15000"/>
                  <a:lumOff val="85000"/>
                </a:schemeClr>
              </a:solidFill>
              <a:round/>
            </a:ln>
            <a:effectLst/>
          </c:spPr>
        </c:majorGridlines>
        <c:numFmt formatCode="#,##0.00_);\(#,##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6092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400" b="0" i="0" u="none" strike="noStrike" baseline="0"/>
              <a:t>ยอดขายของพนักงานขายรายเดือน</a:t>
            </a:r>
            <a:endParaRPr lang="th-T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0902824345481"/>
          <c:y val="0.20266225402026328"/>
          <c:w val="0.78823840769903764"/>
          <c:h val="0.62991615631379416"/>
        </c:manualLayout>
      </c:layout>
      <c:lineChart>
        <c:grouping val="standard"/>
        <c:varyColors val="0"/>
        <c:ser>
          <c:idx val="0"/>
          <c:order val="0"/>
          <c:tx>
            <c:v>Loraine Schultz</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3"/>
              <c:pt idx="0">
                <c:v>2010-01</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strLit>
          </c:cat>
          <c:val>
            <c:numLit>
              <c:formatCode>_("$"* #,##0.00_);_("$"* \(#,##0.00\);_("$"* "-"??_);_(@_)</c:formatCode>
              <c:ptCount val="13"/>
              <c:pt idx="0">
                <c:v>5985</c:v>
              </c:pt>
              <c:pt idx="1">
                <c:v>14766</c:v>
              </c:pt>
              <c:pt idx="2">
                <c:v>16404</c:v>
              </c:pt>
              <c:pt idx="3">
                <c:v>19424</c:v>
              </c:pt>
              <c:pt idx="4">
                <c:v>20703</c:v>
              </c:pt>
              <c:pt idx="5">
                <c:v>39185</c:v>
              </c:pt>
              <c:pt idx="6">
                <c:v>14381</c:v>
              </c:pt>
              <c:pt idx="7">
                <c:v>20089</c:v>
              </c:pt>
              <c:pt idx="8">
                <c:v>14193</c:v>
              </c:pt>
              <c:pt idx="9">
                <c:v>24221</c:v>
              </c:pt>
              <c:pt idx="10">
                <c:v>23534</c:v>
              </c:pt>
              <c:pt idx="11">
                <c:v>7980</c:v>
              </c:pt>
              <c:pt idx="12">
                <c:v>20820</c:v>
              </c:pt>
            </c:numLit>
          </c:val>
          <c:smooth val="0"/>
          <c:extLst>
            <c:ext xmlns:c16="http://schemas.microsoft.com/office/drawing/2014/chart" uri="{C3380CC4-5D6E-409C-BE32-E72D297353CC}">
              <c16:uniqueId val="{00000000-1FE9-4F82-805E-C6B3737DD12D}"/>
            </c:ext>
          </c:extLst>
        </c:ser>
        <c:ser>
          <c:idx val="1"/>
          <c:order val="1"/>
          <c:tx>
            <c:v>PJ Helgoth</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3"/>
              <c:pt idx="0">
                <c:v>2010-01</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strLit>
          </c:cat>
          <c:val>
            <c:numLit>
              <c:formatCode>_("$"* #,##0.00_);_("$"* \(#,##0.00\);_("$"* "-"??_);_(@_)</c:formatCode>
              <c:ptCount val="13"/>
              <c:pt idx="1">
                <c:v>2236</c:v>
              </c:pt>
              <c:pt idx="2">
                <c:v>937</c:v>
              </c:pt>
              <c:pt idx="3">
                <c:v>2472</c:v>
              </c:pt>
              <c:pt idx="4">
                <c:v>5493</c:v>
              </c:pt>
              <c:pt idx="6">
                <c:v>2536</c:v>
              </c:pt>
              <c:pt idx="7">
                <c:v>1557</c:v>
              </c:pt>
              <c:pt idx="8">
                <c:v>1140</c:v>
              </c:pt>
              <c:pt idx="9">
                <c:v>2660</c:v>
              </c:pt>
              <c:pt idx="10">
                <c:v>5046</c:v>
              </c:pt>
              <c:pt idx="11">
                <c:v>2232</c:v>
              </c:pt>
              <c:pt idx="12">
                <c:v>5725</c:v>
              </c:pt>
            </c:numLit>
          </c:val>
          <c:smooth val="0"/>
          <c:extLst>
            <c:ext xmlns:c16="http://schemas.microsoft.com/office/drawing/2014/chart" uri="{C3380CC4-5D6E-409C-BE32-E72D297353CC}">
              <c16:uniqueId val="{00000001-1FE9-4F82-805E-C6B3737DD12D}"/>
            </c:ext>
          </c:extLst>
        </c:ser>
        <c:ser>
          <c:idx val="2"/>
          <c:order val="2"/>
          <c:tx>
            <c:v>Roberta Cross</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3"/>
              <c:pt idx="0">
                <c:v>2010-01</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strLit>
          </c:cat>
          <c:val>
            <c:numLit>
              <c:formatCode>_("$"* #,##0.00_);_("$"* \(#,##0.00\);_("$"* "-"??_);_(@_)</c:formatCode>
              <c:ptCount val="13"/>
              <c:pt idx="1">
                <c:v>8340</c:v>
              </c:pt>
              <c:pt idx="2">
                <c:v>12996</c:v>
              </c:pt>
              <c:pt idx="3">
                <c:v>18746</c:v>
              </c:pt>
              <c:pt idx="4">
                <c:v>16427</c:v>
              </c:pt>
              <c:pt idx="5">
                <c:v>8897</c:v>
              </c:pt>
              <c:pt idx="6">
                <c:v>19728</c:v>
              </c:pt>
              <c:pt idx="7">
                <c:v>17471</c:v>
              </c:pt>
              <c:pt idx="8">
                <c:v>9387</c:v>
              </c:pt>
              <c:pt idx="9">
                <c:v>8437</c:v>
              </c:pt>
              <c:pt idx="10">
                <c:v>16985</c:v>
              </c:pt>
              <c:pt idx="11">
                <c:v>12798</c:v>
              </c:pt>
              <c:pt idx="12">
                <c:v>8838</c:v>
              </c:pt>
            </c:numLit>
          </c:val>
          <c:smooth val="0"/>
          <c:extLst>
            <c:ext xmlns:c16="http://schemas.microsoft.com/office/drawing/2014/chart" uri="{C3380CC4-5D6E-409C-BE32-E72D297353CC}">
              <c16:uniqueId val="{00000002-1FE9-4F82-805E-C6B3737DD12D}"/>
            </c:ext>
          </c:extLst>
        </c:ser>
        <c:dLbls>
          <c:showLegendKey val="0"/>
          <c:showVal val="0"/>
          <c:showCatName val="0"/>
          <c:showSerName val="0"/>
          <c:showPercent val="0"/>
          <c:showBubbleSize val="0"/>
        </c:dLbls>
        <c:marker val="1"/>
        <c:smooth val="0"/>
        <c:axId val="435596864"/>
        <c:axId val="435598576"/>
      </c:lineChart>
      <c:catAx>
        <c:axId val="435596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35598576"/>
        <c:crosses val="autoZero"/>
        <c:auto val="1"/>
        <c:lblAlgn val="ctr"/>
        <c:lblOffset val="100"/>
        <c:noMultiLvlLbl val="0"/>
      </c:catAx>
      <c:valAx>
        <c:axId val="4355985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35596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447675</xdr:colOff>
      <xdr:row>20</xdr:row>
      <xdr:rowOff>9525</xdr:rowOff>
    </xdr:from>
    <xdr:to>
      <xdr:col>24</xdr:col>
      <xdr:colOff>685800</xdr:colOff>
      <xdr:row>37</xdr:row>
      <xdr:rowOff>76200</xdr:rowOff>
    </xdr:to>
    <xdr:graphicFrame macro="">
      <xdr:nvGraphicFramePr>
        <xdr:cNvPr id="2" name="Chart 1">
          <a:extLst>
            <a:ext uri="{FF2B5EF4-FFF2-40B4-BE49-F238E27FC236}">
              <a16:creationId xmlns:a16="http://schemas.microsoft.com/office/drawing/2014/main" id="{BE10074B-BCFF-4109-B900-753447A7B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212725</xdr:colOff>
      <xdr:row>40</xdr:row>
      <xdr:rowOff>151494</xdr:rowOff>
    </xdr:from>
    <xdr:to>
      <xdr:col>45</xdr:col>
      <xdr:colOff>233136</xdr:colOff>
      <xdr:row>57</xdr:row>
      <xdr:rowOff>141969</xdr:rowOff>
    </xdr:to>
    <xdr:graphicFrame macro="">
      <xdr:nvGraphicFramePr>
        <xdr:cNvPr id="3" name="Chart 2">
          <a:extLst>
            <a:ext uri="{FF2B5EF4-FFF2-40B4-BE49-F238E27FC236}">
              <a16:creationId xmlns:a16="http://schemas.microsoft.com/office/drawing/2014/main" id="{A0C0D014-C21C-4DE6-9752-5EB93C8D7095}"/>
            </a:ext>
            <a:ext uri="{147F2762-F138-4A5C-976F-8EAC2B608ADB}">
              <a16:predDERef xmlns:a16="http://schemas.microsoft.com/office/drawing/2014/main" pred="{BE10074B-BCFF-4109-B900-753447A7B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426356</xdr:colOff>
      <xdr:row>56</xdr:row>
      <xdr:rowOff>84365</xdr:rowOff>
    </xdr:from>
    <xdr:to>
      <xdr:col>27</xdr:col>
      <xdr:colOff>789214</xdr:colOff>
      <xdr:row>73</xdr:row>
      <xdr:rowOff>51708</xdr:rowOff>
    </xdr:to>
    <xdr:graphicFrame macro="">
      <xdr:nvGraphicFramePr>
        <xdr:cNvPr id="4" name="แผนภูมิ 3">
          <a:extLst>
            <a:ext uri="{FF2B5EF4-FFF2-40B4-BE49-F238E27FC236}">
              <a16:creationId xmlns:a16="http://schemas.microsoft.com/office/drawing/2014/main" id="{62A58594-38DE-433F-8575-9FDCEC759CC3}"/>
            </a:ext>
            <a:ext uri="{147F2762-F138-4A5C-976F-8EAC2B608ADB}">
              <a16:predDERef xmlns:a16="http://schemas.microsoft.com/office/drawing/2014/main" pred="{A0C0D014-C21C-4DE6-9752-5EB93C8D7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127000</xdr:colOff>
      <xdr:row>84</xdr:row>
      <xdr:rowOff>48078</xdr:rowOff>
    </xdr:from>
    <xdr:to>
      <xdr:col>28</xdr:col>
      <xdr:colOff>199571</xdr:colOff>
      <xdr:row>102</xdr:row>
      <xdr:rowOff>27214</xdr:rowOff>
    </xdr:to>
    <xdr:graphicFrame macro="">
      <xdr:nvGraphicFramePr>
        <xdr:cNvPr id="5" name="แผนภูมิ 11">
          <a:extLst>
            <a:ext uri="{FF2B5EF4-FFF2-40B4-BE49-F238E27FC236}">
              <a16:creationId xmlns:a16="http://schemas.microsoft.com/office/drawing/2014/main" id="{C748E330-5C00-4FC2-9D72-51A9D48DB6A1}"/>
            </a:ext>
            <a:ext uri="{147F2762-F138-4A5C-976F-8EAC2B608ADB}">
              <a16:predDERef xmlns:a16="http://schemas.microsoft.com/office/drawing/2014/main" pred="{62A58594-38DE-433F-8575-9FDCEC759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BDT%20V2/Apply%20Your%20Knowledge/Solution/AYK%2036_Solution_Version%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K 36"/>
      <sheetName val="Avante's Avocados"/>
      <sheetName val="Formulas"/>
    </sheetNames>
    <sheetDataSet>
      <sheetData sheetId="0" refreshError="1"/>
      <sheetData sheetId="1" refreshError="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sana Piputpruedtigul " refreshedDate="45731.924752199076" createdVersion="8" refreshedVersion="8" minRefreshableVersion="3" recordCount="510" xr:uid="{F896BF42-F9F7-449B-9AD0-09555C7BB4FD}">
  <cacheSource type="worksheet">
    <worksheetSource ref="B1:N511" sheet="Customer Relations"/>
  </cacheSource>
  <cacheFields count="16">
    <cacheField name="OrderDate" numFmtId="164">
      <sharedItems containsSemiMixedTypes="0" containsNonDate="0" containsDate="1" containsString="0" minDate="2010-01-01T12:22:08" maxDate="2011-12-31T13:37:01" count="504">
        <d v="2011-01-04T00:00:00"/>
        <d v="2011-01-04T05:29:52"/>
        <d v="2011-01-05T08:25:41"/>
        <d v="2011-01-06T04:41:16"/>
        <d v="2011-01-07T07:20:35"/>
        <d v="2011-01-07T08:38:59"/>
        <d v="2011-01-07T14:44:51"/>
        <d v="2011-01-08T15:25:01"/>
        <d v="2011-01-09T10:58:41"/>
        <d v="2011-01-10T00:27:29"/>
        <d v="2011-01-10T10:50:57"/>
        <d v="2011-01-11T16:29:21"/>
        <d v="2011-01-14T01:22:42"/>
        <d v="2011-01-14T07:09:18"/>
        <d v="2011-01-15T15:33:07"/>
        <d v="2011-01-15T19:31:26"/>
        <d v="2011-01-16T13:09:59"/>
        <d v="2011-01-18T00:12:33"/>
        <d v="2011-01-18T07:04:40"/>
        <d v="2011-01-20T14:36:30"/>
        <d v="2011-01-21T03:47:37"/>
        <d v="2011-01-21T13:34:45"/>
        <d v="2011-01-23T10:41:55"/>
        <d v="2011-01-24T20:54:48"/>
        <d v="2011-01-26T11:26:09"/>
        <d v="2011-01-27T22:35:40"/>
        <d v="2011-01-28T11:53:19"/>
        <d v="2011-01-28T20:58:03"/>
        <d v="2011-01-29T09:14:44"/>
        <d v="2011-01-29T12:57:01"/>
        <d v="2011-01-29T23:28:23"/>
        <d v="2011-01-29T23:45:42"/>
        <d v="2011-01-31T11:14:17"/>
        <d v="2011-01-31T16:49:22"/>
        <d v="2011-02-02T06:48:46"/>
        <d v="2011-02-02T22:43:49"/>
        <d v="2011-02-04T23:18:58"/>
        <d v="2011-02-05T13:44:14"/>
        <d v="2011-02-05T19:53:21"/>
        <d v="2011-02-05T21:17:42"/>
        <d v="2011-02-05T22:35:41"/>
        <d v="2011-02-06T12:33:06"/>
        <d v="2011-02-07T04:34:56"/>
        <d v="2011-02-09T00:20:47"/>
        <d v="2011-02-09T00:48:35"/>
        <d v="2011-02-10T17:47:19"/>
        <d v="2011-02-10T21:14:48"/>
        <d v="2011-02-11T04:04:19"/>
        <d v="2011-02-11T14:09:54"/>
        <d v="2011-02-12T13:28:34"/>
        <d v="2011-02-13T19:06:16"/>
        <d v="2011-02-15T23:15:52"/>
        <d v="2011-02-16T07:15:07"/>
        <d v="2011-02-17T21:59:24"/>
        <d v="2011-02-18T05:07:14"/>
        <d v="2011-02-19T09:24:38"/>
        <d v="2011-02-19T12:52:26"/>
        <d v="2011-02-19T22:19:13"/>
        <d v="2011-02-20T01:10:02"/>
        <d v="2011-02-21T03:51:44"/>
        <d v="2011-02-21T15:09:29"/>
        <d v="2011-02-22T13:33:18"/>
        <d v="2011-02-24T16:58:16"/>
        <d v="2011-02-24T19:19:03"/>
        <d v="2011-02-26T15:53:28"/>
        <d v="2011-02-26T17:10:20"/>
        <d v="2011-02-27T00:44:46"/>
        <d v="2011-02-28T03:21:32"/>
        <d v="2011-02-28T19:04:59"/>
        <d v="2011-02-28T22:31:07"/>
        <d v="2011-03-01T16:08:01"/>
        <d v="2011-03-02T23:04:55"/>
        <d v="2011-03-03T10:55:03"/>
        <d v="2011-03-03T15:29:52"/>
        <d v="2011-03-03T19:08:23"/>
        <d v="2011-03-03T23:20:21"/>
        <d v="2011-03-04T00:08:21"/>
        <d v="2011-03-04T09:45:57"/>
        <d v="2011-03-04T13:34:09"/>
        <d v="2011-03-04T23:13:56"/>
        <d v="2011-03-05T06:09:32"/>
        <d v="2011-03-06T01:41:23"/>
        <d v="2011-03-06T12:26:28"/>
        <d v="2011-03-07T05:54:09"/>
        <d v="2011-03-07T11:57:41"/>
        <d v="2011-03-07T22:22:28"/>
        <d v="2011-03-08T06:27:58"/>
        <d v="2011-03-08T08:26:08"/>
        <d v="2011-03-10T04:09:20"/>
        <d v="2011-03-10T15:25:28"/>
        <d v="2011-03-10T21:17:14"/>
        <d v="2011-03-11T03:52:09"/>
        <d v="2011-03-11T17:56:44"/>
        <d v="2011-03-12T19:07:28"/>
        <d v="2011-03-13T07:31:32"/>
        <d v="2011-03-13T17:39:44"/>
        <d v="2011-03-14T07:24:37"/>
        <d v="2011-03-15T06:09:06"/>
        <d v="2011-03-15T08:34:38"/>
        <d v="2011-03-16T11:08:46"/>
        <d v="2011-03-16T21:17:28"/>
        <d v="2011-03-17T22:15:21"/>
        <d v="2011-03-19T23:56:45"/>
        <d v="2011-03-20T08:01:30"/>
        <d v="2011-03-22T00:41:02"/>
        <d v="2011-03-23T03:12:45"/>
        <d v="2011-03-24T14:21:33"/>
        <d v="2011-03-27T02:28:18"/>
        <d v="2011-03-28T08:01:17"/>
        <d v="2011-03-28T20:36:21"/>
        <d v="2011-03-29T09:28:30"/>
        <d v="2011-03-30T09:48:49"/>
        <d v="2011-03-31T00:08:04"/>
        <d v="2011-04-01T15:47:21"/>
        <d v="2011-04-02T01:12:33"/>
        <d v="2011-04-02T21:38:53"/>
        <d v="2011-04-03T12:01:54"/>
        <d v="2011-04-04T14:48:51"/>
        <d v="2011-04-04T18:19:56"/>
        <d v="2011-04-05T11:44:30"/>
        <d v="2011-04-07T01:09:45"/>
        <d v="2011-04-07T04:08:09"/>
        <d v="2011-04-07T07:47:46"/>
        <d v="2011-04-09T14:55:17"/>
        <d v="2011-04-09T16:55:13"/>
        <d v="2011-04-09T20:22:11"/>
        <d v="2011-04-10T00:06:57"/>
        <d v="2011-04-10T00:14:09"/>
        <d v="2011-04-11T07:08:01"/>
        <d v="2011-04-12T01:31:19"/>
        <d v="2011-04-12T09:26:21"/>
        <d v="2011-04-13T07:37:47"/>
        <d v="2011-04-13T21:06:26"/>
        <d v="2011-04-14T04:14:39"/>
        <d v="2011-04-14T17:37:07"/>
        <d v="2011-04-14T23:22:12"/>
        <d v="2011-04-15T10:09:02"/>
        <d v="2011-04-16T10:36:22"/>
        <d v="2011-04-17T19:46:04"/>
        <d v="2011-04-18T02:07:46"/>
        <d v="2011-04-18T06:06:18"/>
        <d v="2011-04-19T18:43:04"/>
        <d v="2011-04-19T19:51:54"/>
        <d v="2011-04-20T01:33:45"/>
        <d v="2011-04-20T01:53:53"/>
        <d v="2011-04-20T09:55:23"/>
        <d v="2011-04-20T15:31:03"/>
        <d v="2011-04-20T20:41:09"/>
        <d v="2011-04-22T07:53:16"/>
        <d v="2011-04-22T11:12:12"/>
        <d v="2011-04-23T00:40:12"/>
        <d v="2011-04-23T03:35:28"/>
        <d v="2011-04-23T09:10:54"/>
        <d v="2011-04-24T00:47:53"/>
        <d v="2011-04-24T01:03:54"/>
        <d v="2011-04-24T05:48:39"/>
        <d v="2011-04-24T11:19:47"/>
        <d v="2011-04-24T13:04:12"/>
        <d v="2011-04-24T22:26:18"/>
        <d v="2011-04-26T13:25:42"/>
        <d v="2011-04-26T20:32:59"/>
        <d v="2011-04-27T12:06:40"/>
        <d v="2011-04-27T12:48:41"/>
        <d v="2011-04-28T14:51:51"/>
        <d v="2011-04-29T00:01:15"/>
        <d v="2011-04-30T14:29:43"/>
        <d v="2011-05-01T10:11:09"/>
        <d v="2011-05-03T07:42:40"/>
        <d v="2011-05-03T13:21:40"/>
        <d v="2011-05-04T21:18:53"/>
        <d v="2011-05-05T17:09:32"/>
        <d v="2011-05-05T21:54:04"/>
        <d v="2011-05-06T02:28:04"/>
        <d v="2011-05-06T06:08:35"/>
        <d v="2011-05-06T19:37:25"/>
        <d v="2011-05-07T13:23:33"/>
        <d v="2011-05-08T03:52:45"/>
        <d v="2011-05-08T20:46:56"/>
        <d v="2011-05-10T14:14:51"/>
        <d v="2011-05-11T03:52:09"/>
        <d v="2011-05-12T09:10:47"/>
        <d v="2011-05-12T21:24:09"/>
        <d v="2011-05-14T03:32:22"/>
        <d v="2011-05-14T05:34:51"/>
        <d v="2011-05-14T12:44:32"/>
        <d v="2011-05-14T16:30:10"/>
        <d v="2011-05-14T22:48:34"/>
        <d v="2011-05-15T09:48:50"/>
        <d v="2011-05-16T16:39:53"/>
        <d v="2011-05-16T22:41:01"/>
        <d v="2011-05-17T18:01:27"/>
        <d v="2011-05-18T20:26:08"/>
        <d v="2011-05-19T07:27:10"/>
        <d v="2011-05-19T11:03:09"/>
        <d v="2011-05-19T15:49:56"/>
        <d v="2011-05-19T19:11:24"/>
        <d v="2011-05-19T21:19:36"/>
        <d v="2011-05-20T01:17:59"/>
        <d v="2011-05-21T13:10:34"/>
        <d v="2011-05-21T15:37:12"/>
        <d v="2011-05-22T03:01:13"/>
        <d v="2011-05-23T03:04:45"/>
        <d v="2011-05-23T21:33:47"/>
        <d v="2011-05-24T00:18:16"/>
        <d v="2011-05-24T07:04:54"/>
        <d v="2011-05-24T15:37:12"/>
        <d v="2011-05-26T01:22:15"/>
        <d v="2011-05-27T01:57:01"/>
        <d v="2011-05-27T18:51:10"/>
        <d v="2011-05-28T11:32:21"/>
        <d v="2011-05-28T22:57:14"/>
        <d v="2011-05-29T04:56:51"/>
        <d v="2011-05-29T12:11:04"/>
        <d v="2011-05-29T17:30:10"/>
        <d v="2011-05-30T05:43:18"/>
        <d v="2011-05-30T19:16:18"/>
        <d v="2011-06-01T06:57:39"/>
        <d v="2011-06-02T01:57:55"/>
        <d v="2011-06-04T17:46:19"/>
        <d v="2011-06-07T22:31:48"/>
        <d v="2011-06-08T03:04:31"/>
        <d v="2011-06-08T07:22:45"/>
        <d v="2011-06-08T15:48:16"/>
        <d v="2011-06-10T05:14:42"/>
        <d v="2011-06-10T16:52:19"/>
        <d v="2011-06-11T00:02:12"/>
        <d v="2011-06-11T01:13:53"/>
        <d v="2011-06-11T04:36:18"/>
        <d v="2011-06-11T05:20:48"/>
        <d v="2011-06-12T02:43:24"/>
        <d v="2011-06-12T05:37:59"/>
        <d v="2011-06-12T13:22:02"/>
        <d v="2011-06-13T04:17:58"/>
        <d v="2011-06-13T08:13:58"/>
        <d v="2011-06-14T02:17:19"/>
        <d v="2011-06-14T05:41:52"/>
        <d v="2011-06-15T06:44:35"/>
        <d v="2011-06-15T10:33:14"/>
        <d v="2011-06-15T20:35:25"/>
        <d v="2011-06-16T00:18:25"/>
        <d v="2011-06-16T05:23:50"/>
        <d v="2011-06-17T05:16:51"/>
        <d v="2011-06-17T17:54:26"/>
        <d v="2011-06-20T02:02:17"/>
        <d v="2011-06-21T06:52:29"/>
        <d v="2011-06-21T10:32:33"/>
        <d v="2011-06-21T21:59:12"/>
        <d v="2011-06-23T14:39:11"/>
        <d v="2011-06-23T19:23:24"/>
        <d v="2011-06-25T23:45:36"/>
        <d v="2011-06-26T06:19:45"/>
        <d v="2011-06-27T10:09:35"/>
        <d v="2011-06-28T02:57:29"/>
        <d v="2011-06-28T04:57:09"/>
        <d v="2011-06-29T12:57:02"/>
        <d v="2011-06-29T21:29:02"/>
        <d v="2011-06-30T06:20:35"/>
        <d v="2011-07-02T03:50:11"/>
        <d v="2011-07-02T07:31:40"/>
        <d v="2011-07-02T10:54:07"/>
        <d v="2011-07-03T08:57:22"/>
        <d v="2011-07-04T03:52:17"/>
        <d v="2011-07-06T11:07:17"/>
        <d v="2011-07-07T06:06:13"/>
        <d v="2011-07-07T15:44:49"/>
        <d v="2011-07-08T03:39:30"/>
        <d v="2011-07-08T18:38:40"/>
        <d v="2011-07-11T16:41:07"/>
        <d v="2011-07-11T22:07:07"/>
        <d v="2011-07-12T14:20:26"/>
        <d v="2011-07-13T07:38:50"/>
        <d v="2011-07-13T12:31:39"/>
        <d v="2011-07-14T03:09:21"/>
        <d v="2011-07-14T15:24:21"/>
        <d v="2011-07-14T22:11:10"/>
        <d v="2011-07-15T10:47:45"/>
        <d v="2011-07-18T05:59:22"/>
        <d v="2011-07-18T23:04:27"/>
        <d v="2011-07-19T02:18:33"/>
        <d v="2011-07-19T23:41:51"/>
        <d v="2011-07-21T11:43:27"/>
        <d v="2011-07-23T21:50:56"/>
        <d v="2011-07-24T05:26:25"/>
        <d v="2011-07-24T18:46:17"/>
        <d v="2011-07-25T03:50:22"/>
        <d v="2011-07-26T06:52:40"/>
        <d v="2011-07-26T10:02:11"/>
        <d v="2011-07-26T20:36:02"/>
        <d v="2011-07-27T01:21:03"/>
        <d v="2011-07-27T12:24:48"/>
        <d v="2011-07-27T18:03:49"/>
        <d v="2011-07-28T22:01:19"/>
        <d v="2011-07-28T23:26:35"/>
        <d v="2011-07-29T16:53:15"/>
        <d v="2011-07-30T08:46:34"/>
        <d v="2011-07-30T16:07:08"/>
        <d v="2011-07-31T04:50:44"/>
        <d v="2011-07-31T07:17:56"/>
        <d v="2011-08-01T06:52:10"/>
        <d v="2011-08-02T22:52:50"/>
        <d v="2011-08-04T10:25:42"/>
        <d v="2011-08-04T16:46:52"/>
        <d v="2011-08-05T10:36:02"/>
        <d v="2011-08-05T19:11:40"/>
        <d v="2011-08-05T21:53:31"/>
        <d v="2011-08-06T09:48:10"/>
        <d v="2011-08-06T11:01:59"/>
        <d v="2011-08-06T14:01:46"/>
        <d v="2011-08-09T04:37:43"/>
        <d v="2011-08-09T08:04:28"/>
        <d v="2011-08-09T08:14:52"/>
        <d v="2011-08-10T07:55:18"/>
        <d v="2011-08-12T06:20:52"/>
        <d v="2011-08-13T01:03:09"/>
        <d v="2011-08-16T00:38:32"/>
        <d v="2011-08-16T16:16:24"/>
        <d v="2011-08-18T02:26:19"/>
        <d v="2011-08-18T03:09:10"/>
        <d v="2011-08-18T05:43:59"/>
        <d v="2011-08-18T14:26:58"/>
        <d v="2011-08-19T00:01:56"/>
        <d v="2011-08-19T11:23:10"/>
        <d v="2011-08-20T15:33:02"/>
        <d v="2011-08-20T20:41:09"/>
        <d v="2011-08-21T11:47:57"/>
        <d v="2011-08-21T17:52:23"/>
        <d v="2011-08-21T21:44:42"/>
        <d v="2011-08-23T19:14:12"/>
        <d v="2011-08-23T20:57:51"/>
        <d v="2011-08-24T22:06:57"/>
        <d v="2011-08-25T00:54:38"/>
        <d v="2011-08-25T01:33:51"/>
        <d v="2011-08-28T02:29:48"/>
        <d v="2011-08-29T10:24:46"/>
        <d v="2011-08-29T23:38:17"/>
        <d v="2011-08-31T02:09:37"/>
        <d v="2011-08-31T08:33:26"/>
        <d v="2011-08-31T16:09:44"/>
        <d v="2011-09-03T03:23:21"/>
        <d v="2011-09-03T07:40:39"/>
        <d v="2011-09-03T22:17:29"/>
        <d v="2011-09-04T00:48:28"/>
        <d v="2011-09-05T08:50:22"/>
        <d v="2011-09-05T11:32:58"/>
        <d v="2011-09-05T13:43:17"/>
        <d v="2011-09-06T08:54:59"/>
        <d v="2011-09-06T11:08:13"/>
        <d v="2011-09-07T15:24:06"/>
        <d v="2011-09-07T21:54:46"/>
        <d v="2011-09-08T17:06:39"/>
        <d v="2011-09-09T20:07:59"/>
        <d v="2011-09-10T06:03:23"/>
        <d v="2011-09-10T11:19:40"/>
        <d v="2011-09-10T16:27:44"/>
        <d v="2011-09-10T16:32:36"/>
        <d v="2011-09-11T03:32:53"/>
        <d v="2011-09-11T05:46:58"/>
        <d v="2011-09-12T17:46:06"/>
        <d v="2011-09-13T21:49:09"/>
        <d v="2011-09-15T06:30:31"/>
        <d v="2011-09-16T00:18:11"/>
        <d v="2011-09-16T12:29:02"/>
        <d v="2011-09-17T03:54:35"/>
        <d v="2011-09-18T00:57:01"/>
        <d v="2011-09-18T01:55:32"/>
        <d v="2011-09-18T08:55:24"/>
        <d v="2011-09-19T05:33:54"/>
        <d v="2011-09-19T09:47:43"/>
        <d v="2011-09-19T13:30:34"/>
        <d v="2011-09-19T16:46:11"/>
        <d v="2011-09-19T22:36:44"/>
        <d v="2011-09-20T09:53:48"/>
        <d v="2011-09-20T12:06:59"/>
        <d v="2011-09-21T01:56:10"/>
        <d v="2011-09-21T05:09:21"/>
        <d v="2011-09-21T08:23:25"/>
        <d v="2011-09-23T13:36:04"/>
        <d v="2011-09-24T04:41:50"/>
        <d v="2011-09-24T16:22:49"/>
        <d v="2011-09-27T22:07:56"/>
        <d v="2011-09-29T11:21:20"/>
        <d v="2011-09-30T03:09:33"/>
        <d v="2011-09-30T10:57:41"/>
        <d v="2011-09-30T17:31:08"/>
        <d v="2011-09-30T18:01:41"/>
        <d v="2011-10-02T01:09:02"/>
        <d v="2011-10-02T11:51:14"/>
        <d v="2011-10-04T19:34:43"/>
        <d v="2011-10-05T06:56:58"/>
        <d v="2011-10-05T12:11:12"/>
        <d v="2011-10-06T06:31:42"/>
        <d v="2011-10-07T11:16:27"/>
        <d v="2011-10-08T03:03:20"/>
        <d v="2011-10-09T11:54:18"/>
        <d v="2011-10-09T15:41:37"/>
        <d v="2011-10-09T18:16:31"/>
        <d v="2011-10-11T00:10:16"/>
        <d v="2011-10-12T00:13:09"/>
        <d v="2011-10-13T17:28:50"/>
        <d v="2011-10-14T00:48:41"/>
        <d v="2011-10-14T03:09:46"/>
        <d v="2011-10-15T01:13:35"/>
        <d v="2011-10-15T09:50:37"/>
        <d v="2011-10-17T00:32:23"/>
        <d v="2011-10-17T14:58:41"/>
        <d v="2011-10-18T06:36:41"/>
        <d v="2011-10-19T06:34:18"/>
        <d v="2011-10-20T00:27:16"/>
        <d v="2011-10-20T12:38:40"/>
        <d v="2011-10-20T17:09:29"/>
        <d v="2011-10-22T01:24:54"/>
        <d v="2011-10-23T21:48:52"/>
        <d v="2011-10-24T00:09:09"/>
        <d v="2011-10-24T02:32:52"/>
        <d v="2011-10-24T11:42:09"/>
        <d v="2011-10-25T00:31:59"/>
        <d v="2011-10-25T11:09:09"/>
        <d v="2011-10-25T12:53:55"/>
        <d v="2011-10-27T15:35:38"/>
        <d v="2011-10-27T16:55:02"/>
        <d v="2011-10-28T03:17:44"/>
        <d v="2011-10-28T13:09:39"/>
        <d v="2011-10-28T19:23:38"/>
        <d v="2011-10-29T12:46:01"/>
        <d v="2011-10-29T13:55:32"/>
        <d v="2011-10-29T18:56:16"/>
        <d v="2011-10-30T05:21:03"/>
        <d v="2011-10-30T21:40:09"/>
        <d v="2011-10-31T03:23:56"/>
        <d v="2011-11-01T12:09:14"/>
        <d v="2011-11-03T08:23:09"/>
        <d v="2011-11-04T08:10:09"/>
        <d v="2011-11-06T10:09:40"/>
        <d v="2011-11-06T22:46:48"/>
        <d v="2011-11-07T17:12:17"/>
        <d v="2011-11-08T01:42:18"/>
        <d v="2011-11-09T18:56:39"/>
        <d v="2011-11-10T15:31:51"/>
        <d v="2011-11-10T23:34:31"/>
        <d v="2011-11-12T00:15:19"/>
        <d v="2011-11-12T20:56:01"/>
        <d v="2011-11-13T15:50:02"/>
        <d v="2011-11-15T09:50:50"/>
        <d v="2011-11-15T23:56:28"/>
        <d v="2011-11-20T13:25:32"/>
        <d v="2011-11-20T16:12:27"/>
        <d v="2011-11-21T12:21:27"/>
        <d v="2011-11-21T23:21:06"/>
        <d v="2011-11-22T06:44:38"/>
        <d v="2011-11-22T10:56:19"/>
        <d v="2011-11-26T19:37:09"/>
        <d v="2011-11-27T20:01:30"/>
        <d v="2011-11-28T18:47:09"/>
        <d v="2011-11-30T00:35:47"/>
        <d v="2011-11-30T02:35:15"/>
        <d v="2011-12-02T02:52:17"/>
        <d v="2011-12-02T06:47:28"/>
        <d v="2011-12-03T08:40:43"/>
        <d v="2011-12-03T11:59:19"/>
        <d v="2011-12-03T22:48:39"/>
        <d v="2011-12-04T00:21:22"/>
        <d v="2011-12-04T05:20:38"/>
        <d v="2011-12-04T13:59:17"/>
        <d v="2011-12-06T21:19:13"/>
        <d v="2011-12-08T00:08:12"/>
        <d v="2011-12-09T08:23:57"/>
        <d v="2011-12-09T10:55:44"/>
        <d v="2011-12-09T20:18:40"/>
        <d v="2011-12-09T20:40:49"/>
        <d v="2011-12-09T22:56:01"/>
        <d v="2011-12-10T17:21:47"/>
        <d v="2011-12-13T22:24:09"/>
        <d v="2011-12-15T19:08:09"/>
        <d v="2011-12-16T00:15:10"/>
        <d v="2011-12-16T16:52:25"/>
        <d v="2011-12-17T14:42:40"/>
        <d v="2011-12-17T15:27:35"/>
        <d v="2011-12-18T03:20:18"/>
        <d v="2011-12-18T06:46:38"/>
        <d v="2011-12-18T14:56:13"/>
        <d v="2011-12-19T00:01:16"/>
        <d v="2011-12-19T19:46:26"/>
        <d v="2011-12-21T20:18:29"/>
        <d v="2011-12-23T14:09:03"/>
        <d v="2011-12-23T21:49:25"/>
        <d v="2011-12-25T13:03:26"/>
        <d v="2011-12-25T14:42:09"/>
        <d v="2011-12-26T17:22:31"/>
        <d v="2011-12-27T21:06:02"/>
        <d v="2011-12-28T00:16:22"/>
        <d v="2011-12-28T03:01:34"/>
        <d v="2011-12-28T04:49:19"/>
        <d v="2011-12-28T16:23:30"/>
        <d v="2011-12-29T04:29:30"/>
        <d v="2011-12-30T04:07:57"/>
        <d v="2011-12-30T14:36:46"/>
        <d v="2011-12-31T11:30:59"/>
        <d v="2011-12-31T13:37:01"/>
        <d v="2010-01-01T12:22:08"/>
        <d v="2010-01-01T21:48:25"/>
        <d v="2010-01-02T03:09:54"/>
        <d v="2010-01-12T10:23:17"/>
        <d v="2010-01-02T10:23:17"/>
        <d v="2010-01-21T12:22:08"/>
      </sharedItems>
      <fieldGroup par="15"/>
    </cacheField>
    <cacheField name="ProductID" numFmtId="0">
      <sharedItems containsSemiMixedTypes="0" containsString="0" containsNumber="1" containsInteger="1" minValue="2" maxValue="100"/>
    </cacheField>
    <cacheField name="ProductName" numFmtId="0">
      <sharedItems count="12">
        <s v="Mozzarella cheese"/>
        <s v="Romaine lettuce"/>
        <s v="Red onions"/>
        <s v="Black olives"/>
        <s v="Pineapple"/>
        <s v="Pepperoni"/>
        <s v="Parmesan cheese"/>
        <s v="Tomatoes"/>
        <s v="Peppers"/>
        <s v="Sun dried tomatoes"/>
        <s v="Chicken"/>
        <s v="Sausage"/>
      </sharedItems>
    </cacheField>
    <cacheField name="Quantity" numFmtId="0">
      <sharedItems containsSemiMixedTypes="0" containsString="0" containsNumber="1" containsInteger="1" minValue="1" maxValue="99"/>
    </cacheField>
    <cacheField name="Unit Price" numFmtId="44">
      <sharedItems containsSemiMixedTypes="0" containsString="0" containsNumber="1" containsInteger="1" minValue="8" maxValue="55"/>
    </cacheField>
    <cacheField name="Total Sales" numFmtId="44">
      <sharedItems containsSemiMixedTypes="0" containsString="0" containsNumber="1" containsInteger="1" minValue="8" maxValue="4240"/>
    </cacheField>
    <cacheField name="Unit Cost" numFmtId="44">
      <sharedItems containsSemiMixedTypes="0" containsString="0" containsNumber="1" containsInteger="1" minValue="4" maxValue="35"/>
    </cacheField>
    <cacheField name="Total Cost" numFmtId="44">
      <sharedItems containsSemiMixedTypes="0" containsString="0" containsNumber="1" containsInteger="1" minValue="4" maxValue="2800"/>
    </cacheField>
    <cacheField name="Profit" numFmtId="44">
      <sharedItems containsSemiMixedTypes="0" containsString="0" containsNumber="1" containsInteger="1" minValue="1" maxValue="1560"/>
    </cacheField>
    <cacheField name="CustomerID" numFmtId="0">
      <sharedItems containsSemiMixedTypes="0" containsString="0" containsNumber="1" containsInteger="1" minValue="6" maxValue="846"/>
    </cacheField>
    <cacheField name="Customer" numFmtId="0">
      <sharedItems count="10">
        <s v="The Station"/>
        <s v="Bert's Bistro"/>
        <s v="Smoke House"/>
        <s v="Flagstaff House"/>
        <s v="Two Bitts"/>
        <s v="Pierce Arrow"/>
        <s v="Mamm'a Pasta Palace"/>
        <s v="The Dandelion"/>
        <s v="Carmens"/>
        <s v="Laudisio"/>
      </sharedItems>
    </cacheField>
    <cacheField name="SalesRep" numFmtId="0">
      <sharedItems count="3">
        <s v="PJ Helgoth"/>
        <s v="Roberta Cross"/>
        <s v="Loraine Schultz"/>
      </sharedItems>
    </cacheField>
    <cacheField name="Profit Margin" numFmtId="2">
      <sharedItems containsSemiMixedTypes="0" containsString="0" containsNumber="1" minValue="6.6666666666666666E-2" maxValue="0.55555555555555558"/>
    </cacheField>
    <cacheField name="เดือน (OrderDate)" numFmtId="0" databaseField="0">
      <fieldGroup base="0">
        <rangePr groupBy="months" startDate="2010-01-01T12:22:08" endDate="2011-12-31T13:37:01"/>
        <groupItems count="14">
          <s v="&lt;1/1/10"/>
          <s v="ม.ค."/>
          <s v="ก.พ."/>
          <s v="มี.ค."/>
          <s v="เม.ย."/>
          <s v="พ.ค."/>
          <s v="มิ.ย."/>
          <s v="ก.ค."/>
          <s v="ส.ค."/>
          <s v="ก.ย."/>
          <s v="ต.ค."/>
          <s v="พ.ย."/>
          <s v="ธ.ค."/>
          <s v="&gt;31/12/11"/>
        </groupItems>
      </fieldGroup>
    </cacheField>
    <cacheField name="ไตรมาส (OrderDate)" numFmtId="0" databaseField="0">
      <fieldGroup base="0">
        <rangePr groupBy="quarters" startDate="2010-01-01T12:22:08" endDate="2011-12-31T13:37:01"/>
        <groupItems count="6">
          <s v="&lt;1/1/10"/>
          <s v="ไตรมาส1"/>
          <s v="ไตรมาส2"/>
          <s v="ไตรมาส3"/>
          <s v="ไตรมาส4"/>
          <s v="&gt;31/12/11"/>
        </groupItems>
      </fieldGroup>
    </cacheField>
    <cacheField name="ปี (OrderDate)" numFmtId="0" databaseField="0">
      <fieldGroup base="0">
        <rangePr groupBy="years" startDate="2010-01-01T12:22:08" endDate="2011-12-31T13:37:01"/>
        <groupItems count="4">
          <s v="&lt;1/1/10"/>
          <s v="2010"/>
          <s v="2011"/>
          <s v="&gt;31/12/1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sana Piputpruedtigul " refreshedDate="45731.981492939813" createdVersion="8" refreshedVersion="8" minRefreshableVersion="3" recordCount="510" xr:uid="{EC3116DF-EF42-8B42-AF29-1ECE223D1011}">
  <cacheSource type="worksheet">
    <worksheetSource ref="A1:N511" sheet="Customer Relations"/>
  </cacheSource>
  <cacheFields count="14">
    <cacheField name="YYYY-MM" numFmtId="0">
      <sharedItems count="13">
        <s v="2011-01"/>
        <s v="2011-02"/>
        <s v="2011-03"/>
        <s v="2011-04"/>
        <s v="2011-05"/>
        <s v="2011-06"/>
        <s v="2011-07"/>
        <s v="2011-08"/>
        <s v="2011-09"/>
        <s v="2011-10"/>
        <s v="2011-11"/>
        <s v="2011-12"/>
        <s v="2010-01"/>
      </sharedItems>
    </cacheField>
    <cacheField name="OrderDate" numFmtId="164">
      <sharedItems containsSemiMixedTypes="0" containsNonDate="0" containsDate="1" containsString="0" minDate="2010-01-01T12:22:08" maxDate="2011-12-31T13:37:01"/>
    </cacheField>
    <cacheField name="ProductID" numFmtId="0">
      <sharedItems containsSemiMixedTypes="0" containsString="0" containsNumber="1" containsInteger="1" minValue="2" maxValue="100"/>
    </cacheField>
    <cacheField name="ProductName" numFmtId="0">
      <sharedItems/>
    </cacheField>
    <cacheField name="Quantity" numFmtId="0">
      <sharedItems containsSemiMixedTypes="0" containsString="0" containsNumber="1" containsInteger="1" minValue="1" maxValue="99"/>
    </cacheField>
    <cacheField name="Unit Price" numFmtId="44">
      <sharedItems containsSemiMixedTypes="0" containsString="0" containsNumber="1" containsInteger="1" minValue="8" maxValue="55"/>
    </cacheField>
    <cacheField name="Total Sales" numFmtId="44">
      <sharedItems containsSemiMixedTypes="0" containsString="0" containsNumber="1" containsInteger="1" minValue="8" maxValue="4240"/>
    </cacheField>
    <cacheField name="Unit Cost" numFmtId="44">
      <sharedItems containsSemiMixedTypes="0" containsString="0" containsNumber="1" containsInteger="1" minValue="4" maxValue="35"/>
    </cacheField>
    <cacheField name="Total Cost" numFmtId="44">
      <sharedItems containsSemiMixedTypes="0" containsString="0" containsNumber="1" containsInteger="1" minValue="4" maxValue="2800"/>
    </cacheField>
    <cacheField name="Profit" numFmtId="44">
      <sharedItems containsSemiMixedTypes="0" containsString="0" containsNumber="1" containsInteger="1" minValue="1" maxValue="1560"/>
    </cacheField>
    <cacheField name="CustomerID" numFmtId="0">
      <sharedItems containsSemiMixedTypes="0" containsString="0" containsNumber="1" containsInteger="1" minValue="6" maxValue="846"/>
    </cacheField>
    <cacheField name="Customer" numFmtId="0">
      <sharedItems/>
    </cacheField>
    <cacheField name="SalesRep" numFmtId="0">
      <sharedItems count="3">
        <s v="PJ Helgoth"/>
        <s v="Roberta Cross"/>
        <s v="Loraine Schultz"/>
      </sharedItems>
    </cacheField>
    <cacheField name="Profit Margin" numFmtId="2">
      <sharedItems containsSemiMixedTypes="0" containsString="0" containsNumber="1" minValue="6.6666666666666666E-2" maxValue="0.555555555555555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x v="0"/>
    <n v="22"/>
    <x v="0"/>
    <n v="41"/>
    <n v="24"/>
    <n v="984"/>
    <n v="18"/>
    <n v="738"/>
    <n v="246"/>
    <n v="315"/>
    <x v="0"/>
    <x v="0"/>
    <n v="0.25"/>
  </r>
  <r>
    <x v="1"/>
    <n v="16"/>
    <x v="1"/>
    <n v="90"/>
    <n v="15"/>
    <n v="1350"/>
    <n v="14"/>
    <n v="1260"/>
    <n v="90"/>
    <n v="315"/>
    <x v="0"/>
    <x v="1"/>
    <n v="6.6666666666666666E-2"/>
  </r>
  <r>
    <x v="2"/>
    <n v="30"/>
    <x v="2"/>
    <n v="27"/>
    <n v="12"/>
    <n v="324"/>
    <n v="8"/>
    <n v="216"/>
    <n v="108"/>
    <n v="233"/>
    <x v="1"/>
    <x v="2"/>
    <n v="0.33333333333333331"/>
  </r>
  <r>
    <x v="3"/>
    <n v="16"/>
    <x v="1"/>
    <n v="67"/>
    <n v="15"/>
    <n v="1005"/>
    <n v="14"/>
    <n v="938"/>
    <n v="67"/>
    <n v="14"/>
    <x v="2"/>
    <x v="1"/>
    <n v="6.6666666666666666E-2"/>
  </r>
  <r>
    <x v="4"/>
    <n v="2"/>
    <x v="3"/>
    <n v="79"/>
    <n v="12"/>
    <n v="948"/>
    <n v="6"/>
    <n v="474"/>
    <n v="474"/>
    <n v="572"/>
    <x v="3"/>
    <x v="2"/>
    <n v="0.5"/>
  </r>
  <r>
    <x v="5"/>
    <n v="16"/>
    <x v="1"/>
    <n v="46"/>
    <n v="15"/>
    <n v="690"/>
    <n v="14"/>
    <n v="644"/>
    <n v="46"/>
    <n v="23"/>
    <x v="4"/>
    <x v="2"/>
    <n v="6.6666666666666666E-2"/>
  </r>
  <r>
    <x v="6"/>
    <n v="16"/>
    <x v="1"/>
    <n v="52"/>
    <n v="15"/>
    <n v="780"/>
    <n v="14"/>
    <n v="728"/>
    <n v="52"/>
    <n v="6"/>
    <x v="5"/>
    <x v="1"/>
    <n v="6.6666666666666666E-2"/>
  </r>
  <r>
    <x v="7"/>
    <n v="30"/>
    <x v="2"/>
    <n v="39"/>
    <n v="12"/>
    <n v="468"/>
    <n v="8"/>
    <n v="312"/>
    <n v="156"/>
    <n v="95"/>
    <x v="6"/>
    <x v="2"/>
    <n v="0.33333333333333331"/>
  </r>
  <r>
    <x v="8"/>
    <n v="16"/>
    <x v="1"/>
    <n v="66"/>
    <n v="15"/>
    <n v="990"/>
    <n v="14"/>
    <n v="924"/>
    <n v="66"/>
    <n v="846"/>
    <x v="7"/>
    <x v="2"/>
    <n v="6.6666666666666666E-2"/>
  </r>
  <r>
    <x v="9"/>
    <n v="16"/>
    <x v="1"/>
    <n v="58"/>
    <n v="15"/>
    <n v="870"/>
    <n v="14"/>
    <n v="812"/>
    <n v="58"/>
    <n v="557"/>
    <x v="8"/>
    <x v="2"/>
    <n v="6.6666666666666666E-2"/>
  </r>
  <r>
    <x v="10"/>
    <n v="39"/>
    <x v="4"/>
    <n v="40"/>
    <n v="33"/>
    <n v="1320"/>
    <n v="28"/>
    <n v="1120"/>
    <n v="200"/>
    <n v="315"/>
    <x v="0"/>
    <x v="2"/>
    <n v="0.15151515151515152"/>
  </r>
  <r>
    <x v="11"/>
    <n v="39"/>
    <x v="4"/>
    <n v="71"/>
    <n v="33"/>
    <n v="2343"/>
    <n v="28"/>
    <n v="1988"/>
    <n v="355"/>
    <n v="846"/>
    <x v="7"/>
    <x v="2"/>
    <n v="0.15151515151515152"/>
  </r>
  <r>
    <x v="12"/>
    <n v="16"/>
    <x v="1"/>
    <n v="18"/>
    <n v="15"/>
    <n v="270"/>
    <n v="14"/>
    <n v="252"/>
    <n v="18"/>
    <n v="557"/>
    <x v="8"/>
    <x v="2"/>
    <n v="6.6666666666666666E-2"/>
  </r>
  <r>
    <x v="13"/>
    <n v="16"/>
    <x v="1"/>
    <n v="28"/>
    <n v="15"/>
    <n v="420"/>
    <n v="14"/>
    <n v="392"/>
    <n v="28"/>
    <n v="572"/>
    <x v="3"/>
    <x v="0"/>
    <n v="6.6666666666666666E-2"/>
  </r>
  <r>
    <x v="14"/>
    <n v="85"/>
    <x v="5"/>
    <n v="33"/>
    <n v="53"/>
    <n v="1749"/>
    <n v="35"/>
    <n v="1155"/>
    <n v="594"/>
    <n v="14"/>
    <x v="2"/>
    <x v="1"/>
    <n v="0.33962264150943394"/>
  </r>
  <r>
    <x v="15"/>
    <n v="100"/>
    <x v="6"/>
    <n v="14"/>
    <n v="8"/>
    <n v="112"/>
    <n v="4"/>
    <n v="56"/>
    <n v="56"/>
    <n v="14"/>
    <x v="2"/>
    <x v="2"/>
    <n v="0.5"/>
  </r>
  <r>
    <x v="16"/>
    <n v="100"/>
    <x v="6"/>
    <n v="72"/>
    <n v="8"/>
    <n v="576"/>
    <n v="4"/>
    <n v="288"/>
    <n v="288"/>
    <n v="95"/>
    <x v="6"/>
    <x v="1"/>
    <n v="0.5"/>
  </r>
  <r>
    <x v="17"/>
    <n v="100"/>
    <x v="6"/>
    <n v="10"/>
    <n v="8"/>
    <n v="80"/>
    <n v="4"/>
    <n v="40"/>
    <n v="40"/>
    <n v="95"/>
    <x v="6"/>
    <x v="2"/>
    <n v="0.5"/>
  </r>
  <r>
    <x v="18"/>
    <n v="16"/>
    <x v="1"/>
    <n v="42"/>
    <n v="15"/>
    <n v="630"/>
    <n v="14"/>
    <n v="588"/>
    <n v="42"/>
    <n v="14"/>
    <x v="2"/>
    <x v="1"/>
    <n v="6.6666666666666666E-2"/>
  </r>
  <r>
    <x v="19"/>
    <n v="4"/>
    <x v="7"/>
    <n v="48"/>
    <n v="9"/>
    <n v="432"/>
    <n v="7"/>
    <n v="336"/>
    <n v="96"/>
    <n v="23"/>
    <x v="4"/>
    <x v="2"/>
    <n v="0.22222222222222221"/>
  </r>
  <r>
    <x v="20"/>
    <n v="31"/>
    <x v="8"/>
    <n v="29"/>
    <n v="21"/>
    <n v="609"/>
    <n v="12"/>
    <n v="348"/>
    <n v="261"/>
    <n v="846"/>
    <x v="7"/>
    <x v="1"/>
    <n v="0.42857142857142855"/>
  </r>
  <r>
    <x v="21"/>
    <n v="22"/>
    <x v="0"/>
    <n v="10"/>
    <n v="24"/>
    <n v="240"/>
    <n v="18"/>
    <n v="180"/>
    <n v="60"/>
    <n v="95"/>
    <x v="6"/>
    <x v="0"/>
    <n v="0.25"/>
  </r>
  <r>
    <x v="22"/>
    <n v="2"/>
    <x v="3"/>
    <n v="98"/>
    <n v="12"/>
    <n v="1176"/>
    <n v="6"/>
    <n v="588"/>
    <n v="588"/>
    <n v="23"/>
    <x v="4"/>
    <x v="1"/>
    <n v="0.5"/>
  </r>
  <r>
    <x v="23"/>
    <n v="22"/>
    <x v="0"/>
    <n v="45"/>
    <n v="24"/>
    <n v="1080"/>
    <n v="18"/>
    <n v="810"/>
    <n v="270"/>
    <n v="557"/>
    <x v="8"/>
    <x v="2"/>
    <n v="0.25"/>
  </r>
  <r>
    <x v="24"/>
    <n v="16"/>
    <x v="1"/>
    <n v="58"/>
    <n v="15"/>
    <n v="870"/>
    <n v="14"/>
    <n v="812"/>
    <n v="58"/>
    <n v="23"/>
    <x v="4"/>
    <x v="2"/>
    <n v="6.6666666666666666E-2"/>
  </r>
  <r>
    <x v="25"/>
    <n v="100"/>
    <x v="6"/>
    <n v="66"/>
    <n v="8"/>
    <n v="528"/>
    <n v="4"/>
    <n v="264"/>
    <n v="264"/>
    <n v="572"/>
    <x v="3"/>
    <x v="2"/>
    <n v="0.5"/>
  </r>
  <r>
    <x v="26"/>
    <n v="31"/>
    <x v="8"/>
    <n v="85"/>
    <n v="21"/>
    <n v="1785"/>
    <n v="12"/>
    <n v="1020"/>
    <n v="765"/>
    <n v="6"/>
    <x v="5"/>
    <x v="2"/>
    <n v="0.42857142857142855"/>
  </r>
  <r>
    <x v="27"/>
    <n v="22"/>
    <x v="0"/>
    <n v="12"/>
    <n v="24"/>
    <n v="288"/>
    <n v="18"/>
    <n v="216"/>
    <n v="72"/>
    <n v="846"/>
    <x v="7"/>
    <x v="0"/>
    <n v="0.25"/>
  </r>
  <r>
    <x v="28"/>
    <n v="4"/>
    <x v="7"/>
    <n v="40"/>
    <n v="9"/>
    <n v="360"/>
    <n v="7"/>
    <n v="280"/>
    <n v="80"/>
    <n v="6"/>
    <x v="5"/>
    <x v="1"/>
    <n v="0.22222222222222221"/>
  </r>
  <r>
    <x v="29"/>
    <n v="31"/>
    <x v="8"/>
    <n v="5"/>
    <n v="21"/>
    <n v="105"/>
    <n v="12"/>
    <n v="60"/>
    <n v="45"/>
    <n v="6"/>
    <x v="5"/>
    <x v="1"/>
    <n v="0.42857142857142855"/>
  </r>
  <r>
    <x v="30"/>
    <n v="16"/>
    <x v="1"/>
    <n v="49"/>
    <n v="15"/>
    <n v="735"/>
    <n v="14"/>
    <n v="686"/>
    <n v="49"/>
    <n v="572"/>
    <x v="3"/>
    <x v="2"/>
    <n v="6.6666666666666666E-2"/>
  </r>
  <r>
    <x v="31"/>
    <n v="30"/>
    <x v="2"/>
    <n v="13"/>
    <n v="12"/>
    <n v="156"/>
    <n v="8"/>
    <n v="104"/>
    <n v="52"/>
    <n v="14"/>
    <x v="2"/>
    <x v="2"/>
    <n v="0.33333333333333331"/>
  </r>
  <r>
    <x v="32"/>
    <n v="100"/>
    <x v="6"/>
    <n v="38"/>
    <n v="8"/>
    <n v="304"/>
    <n v="4"/>
    <n v="152"/>
    <n v="152"/>
    <n v="95"/>
    <x v="6"/>
    <x v="0"/>
    <n v="0.5"/>
  </r>
  <r>
    <x v="33"/>
    <n v="16"/>
    <x v="1"/>
    <n v="51"/>
    <n v="15"/>
    <n v="765"/>
    <n v="14"/>
    <n v="714"/>
    <n v="51"/>
    <n v="23"/>
    <x v="4"/>
    <x v="2"/>
    <n v="6.6666666666666666E-2"/>
  </r>
  <r>
    <x v="34"/>
    <n v="30"/>
    <x v="2"/>
    <n v="85"/>
    <n v="12"/>
    <n v="1020"/>
    <n v="8"/>
    <n v="680"/>
    <n v="340"/>
    <n v="572"/>
    <x v="3"/>
    <x v="2"/>
    <n v="0.33333333333333331"/>
  </r>
  <r>
    <x v="35"/>
    <n v="16"/>
    <x v="1"/>
    <n v="82"/>
    <n v="15"/>
    <n v="1230"/>
    <n v="14"/>
    <n v="1148"/>
    <n v="82"/>
    <n v="14"/>
    <x v="2"/>
    <x v="2"/>
    <n v="6.6666666666666666E-2"/>
  </r>
  <r>
    <x v="36"/>
    <n v="39"/>
    <x v="4"/>
    <n v="64"/>
    <n v="33"/>
    <n v="2112"/>
    <n v="28"/>
    <n v="1792"/>
    <n v="320"/>
    <n v="846"/>
    <x v="7"/>
    <x v="2"/>
    <n v="0.15151515151515152"/>
  </r>
  <r>
    <x v="37"/>
    <n v="22"/>
    <x v="0"/>
    <n v="22"/>
    <n v="24"/>
    <n v="528"/>
    <n v="18"/>
    <n v="396"/>
    <n v="132"/>
    <n v="846"/>
    <x v="7"/>
    <x v="0"/>
    <n v="0.25"/>
  </r>
  <r>
    <x v="38"/>
    <n v="16"/>
    <x v="1"/>
    <n v="74"/>
    <n v="15"/>
    <n v="1110"/>
    <n v="14"/>
    <n v="1036"/>
    <n v="74"/>
    <n v="6"/>
    <x v="5"/>
    <x v="2"/>
    <n v="6.6666666666666666E-2"/>
  </r>
  <r>
    <x v="39"/>
    <n v="4"/>
    <x v="7"/>
    <n v="13"/>
    <n v="9"/>
    <n v="117"/>
    <n v="7"/>
    <n v="91"/>
    <n v="26"/>
    <n v="686"/>
    <x v="9"/>
    <x v="1"/>
    <n v="0.22222222222222221"/>
  </r>
  <r>
    <x v="40"/>
    <n v="4"/>
    <x v="7"/>
    <n v="64"/>
    <n v="9"/>
    <n v="576"/>
    <n v="7"/>
    <n v="448"/>
    <n v="128"/>
    <n v="6"/>
    <x v="5"/>
    <x v="2"/>
    <n v="0.22222222222222221"/>
  </r>
  <r>
    <x v="41"/>
    <n v="31"/>
    <x v="8"/>
    <n v="59"/>
    <n v="21"/>
    <n v="1239"/>
    <n v="12"/>
    <n v="708"/>
    <n v="531"/>
    <n v="23"/>
    <x v="4"/>
    <x v="1"/>
    <n v="0.42857142857142855"/>
  </r>
  <r>
    <x v="42"/>
    <n v="6"/>
    <x v="9"/>
    <n v="12"/>
    <n v="55"/>
    <n v="660"/>
    <n v="25"/>
    <n v="300"/>
    <n v="360"/>
    <n v="6"/>
    <x v="5"/>
    <x v="2"/>
    <n v="0.54545454545454541"/>
  </r>
  <r>
    <x v="43"/>
    <n v="16"/>
    <x v="1"/>
    <n v="7"/>
    <n v="15"/>
    <n v="105"/>
    <n v="14"/>
    <n v="98"/>
    <n v="7"/>
    <n v="95"/>
    <x v="6"/>
    <x v="0"/>
    <n v="6.6666666666666666E-2"/>
  </r>
  <r>
    <x v="44"/>
    <n v="100"/>
    <x v="6"/>
    <n v="14"/>
    <n v="8"/>
    <n v="112"/>
    <n v="4"/>
    <n v="56"/>
    <n v="56"/>
    <n v="95"/>
    <x v="6"/>
    <x v="2"/>
    <n v="0.5"/>
  </r>
  <r>
    <x v="45"/>
    <n v="30"/>
    <x v="2"/>
    <n v="7"/>
    <n v="12"/>
    <n v="84"/>
    <n v="8"/>
    <n v="56"/>
    <n v="28"/>
    <n v="23"/>
    <x v="4"/>
    <x v="2"/>
    <n v="0.33333333333333331"/>
  </r>
  <r>
    <x v="46"/>
    <n v="16"/>
    <x v="1"/>
    <n v="87"/>
    <n v="15"/>
    <n v="1305"/>
    <n v="14"/>
    <n v="1218"/>
    <n v="87"/>
    <n v="23"/>
    <x v="4"/>
    <x v="1"/>
    <n v="6.6666666666666666E-2"/>
  </r>
  <r>
    <x v="47"/>
    <n v="4"/>
    <x v="7"/>
    <n v="70"/>
    <n v="9"/>
    <n v="630"/>
    <n v="7"/>
    <n v="490"/>
    <n v="140"/>
    <n v="557"/>
    <x v="8"/>
    <x v="1"/>
    <n v="0.22222222222222221"/>
  </r>
  <r>
    <x v="48"/>
    <n v="100"/>
    <x v="6"/>
    <n v="38"/>
    <n v="8"/>
    <n v="304"/>
    <n v="4"/>
    <n v="152"/>
    <n v="152"/>
    <n v="95"/>
    <x v="6"/>
    <x v="0"/>
    <n v="0.5"/>
  </r>
  <r>
    <x v="49"/>
    <n v="2"/>
    <x v="3"/>
    <n v="4"/>
    <n v="12"/>
    <n v="48"/>
    <n v="6"/>
    <n v="24"/>
    <n v="24"/>
    <n v="6"/>
    <x v="5"/>
    <x v="2"/>
    <n v="0.5"/>
  </r>
  <r>
    <x v="50"/>
    <n v="31"/>
    <x v="8"/>
    <n v="44"/>
    <n v="21"/>
    <n v="924"/>
    <n v="12"/>
    <n v="528"/>
    <n v="396"/>
    <n v="557"/>
    <x v="8"/>
    <x v="1"/>
    <n v="0.42857142857142855"/>
  </r>
  <r>
    <x v="51"/>
    <n v="19"/>
    <x v="10"/>
    <n v="41"/>
    <n v="36"/>
    <n v="1476"/>
    <n v="25"/>
    <n v="1025"/>
    <n v="451"/>
    <n v="14"/>
    <x v="2"/>
    <x v="1"/>
    <n v="0.30555555555555558"/>
  </r>
  <r>
    <x v="52"/>
    <n v="16"/>
    <x v="1"/>
    <n v="15"/>
    <n v="15"/>
    <n v="225"/>
    <n v="14"/>
    <n v="210"/>
    <n v="15"/>
    <n v="686"/>
    <x v="9"/>
    <x v="2"/>
    <n v="6.6666666666666666E-2"/>
  </r>
  <r>
    <x v="53"/>
    <n v="30"/>
    <x v="2"/>
    <n v="76"/>
    <n v="12"/>
    <n v="912"/>
    <n v="8"/>
    <n v="608"/>
    <n v="304"/>
    <n v="14"/>
    <x v="2"/>
    <x v="2"/>
    <n v="0.33333333333333331"/>
  </r>
  <r>
    <x v="54"/>
    <n v="4"/>
    <x v="7"/>
    <n v="49"/>
    <n v="9"/>
    <n v="441"/>
    <n v="7"/>
    <n v="343"/>
    <n v="98"/>
    <n v="846"/>
    <x v="7"/>
    <x v="2"/>
    <n v="0.22222222222222221"/>
  </r>
  <r>
    <x v="55"/>
    <n v="4"/>
    <x v="7"/>
    <n v="86"/>
    <n v="9"/>
    <n v="774"/>
    <n v="7"/>
    <n v="602"/>
    <n v="172"/>
    <n v="14"/>
    <x v="2"/>
    <x v="1"/>
    <n v="0.22222222222222221"/>
  </r>
  <r>
    <x v="56"/>
    <n v="16"/>
    <x v="1"/>
    <n v="68"/>
    <n v="15"/>
    <n v="1020"/>
    <n v="14"/>
    <n v="952"/>
    <n v="68"/>
    <n v="14"/>
    <x v="2"/>
    <x v="2"/>
    <n v="6.6666666666666666E-2"/>
  </r>
  <r>
    <x v="57"/>
    <n v="19"/>
    <x v="10"/>
    <n v="50"/>
    <n v="36"/>
    <n v="1800"/>
    <n v="25"/>
    <n v="1250"/>
    <n v="550"/>
    <n v="14"/>
    <x v="2"/>
    <x v="1"/>
    <n v="0.30555555555555558"/>
  </r>
  <r>
    <x v="58"/>
    <n v="31"/>
    <x v="8"/>
    <n v="31"/>
    <n v="21"/>
    <n v="651"/>
    <n v="12"/>
    <n v="372"/>
    <n v="279"/>
    <n v="14"/>
    <x v="2"/>
    <x v="1"/>
    <n v="0.42857142857142855"/>
  </r>
  <r>
    <x v="59"/>
    <n v="31"/>
    <x v="8"/>
    <n v="62"/>
    <n v="21"/>
    <n v="1302"/>
    <n v="12"/>
    <n v="744"/>
    <n v="558"/>
    <n v="572"/>
    <x v="3"/>
    <x v="2"/>
    <n v="0.42857142857142855"/>
  </r>
  <r>
    <x v="60"/>
    <n v="4"/>
    <x v="7"/>
    <n v="13"/>
    <n v="9"/>
    <n v="117"/>
    <n v="7"/>
    <n v="91"/>
    <n v="26"/>
    <n v="572"/>
    <x v="3"/>
    <x v="2"/>
    <n v="0.22222222222222221"/>
  </r>
  <r>
    <x v="61"/>
    <n v="4"/>
    <x v="7"/>
    <n v="84"/>
    <n v="9"/>
    <n v="756"/>
    <n v="7"/>
    <n v="588"/>
    <n v="168"/>
    <n v="846"/>
    <x v="7"/>
    <x v="2"/>
    <n v="0.22222222222222221"/>
  </r>
  <r>
    <x v="62"/>
    <n v="19"/>
    <x v="10"/>
    <n v="55"/>
    <n v="36"/>
    <n v="1980"/>
    <n v="25"/>
    <n v="1375"/>
    <n v="605"/>
    <n v="14"/>
    <x v="2"/>
    <x v="2"/>
    <n v="0.30555555555555558"/>
  </r>
  <r>
    <x v="63"/>
    <n v="31"/>
    <x v="8"/>
    <n v="89"/>
    <n v="21"/>
    <n v="1869"/>
    <n v="12"/>
    <n v="1068"/>
    <n v="801"/>
    <n v="95"/>
    <x v="6"/>
    <x v="1"/>
    <n v="0.42857142857142855"/>
  </r>
  <r>
    <x v="64"/>
    <n v="39"/>
    <x v="4"/>
    <n v="56"/>
    <n v="33"/>
    <n v="1848"/>
    <n v="28"/>
    <n v="1568"/>
    <n v="280"/>
    <n v="557"/>
    <x v="8"/>
    <x v="2"/>
    <n v="0.15151515151515152"/>
  </r>
  <r>
    <x v="65"/>
    <n v="2"/>
    <x v="3"/>
    <n v="16"/>
    <n v="12"/>
    <n v="192"/>
    <n v="6"/>
    <n v="96"/>
    <n v="96"/>
    <n v="95"/>
    <x v="6"/>
    <x v="2"/>
    <n v="0.5"/>
  </r>
  <r>
    <x v="66"/>
    <n v="6"/>
    <x v="9"/>
    <n v="2"/>
    <n v="55"/>
    <n v="110"/>
    <n v="25"/>
    <n v="50"/>
    <n v="60"/>
    <n v="6"/>
    <x v="5"/>
    <x v="2"/>
    <n v="0.54545454545454541"/>
  </r>
  <r>
    <x v="67"/>
    <n v="39"/>
    <x v="4"/>
    <n v="67"/>
    <n v="33"/>
    <n v="2211"/>
    <n v="28"/>
    <n v="1876"/>
    <n v="335"/>
    <n v="6"/>
    <x v="5"/>
    <x v="1"/>
    <n v="0.15151515151515152"/>
  </r>
  <r>
    <x v="68"/>
    <n v="4"/>
    <x v="7"/>
    <n v="2"/>
    <n v="9"/>
    <n v="18"/>
    <n v="7"/>
    <n v="14"/>
    <n v="4"/>
    <n v="95"/>
    <x v="6"/>
    <x v="2"/>
    <n v="0.22222222222222221"/>
  </r>
  <r>
    <x v="69"/>
    <n v="4"/>
    <x v="7"/>
    <n v="59"/>
    <n v="9"/>
    <n v="531"/>
    <n v="7"/>
    <n v="413"/>
    <n v="118"/>
    <n v="846"/>
    <x v="7"/>
    <x v="2"/>
    <n v="0.22222222222222221"/>
  </r>
  <r>
    <x v="70"/>
    <n v="4"/>
    <x v="7"/>
    <n v="37"/>
    <n v="9"/>
    <n v="333"/>
    <n v="7"/>
    <n v="259"/>
    <n v="74"/>
    <n v="572"/>
    <x v="3"/>
    <x v="1"/>
    <n v="0.22222222222222221"/>
  </r>
  <r>
    <x v="71"/>
    <n v="100"/>
    <x v="6"/>
    <n v="19"/>
    <n v="8"/>
    <n v="152"/>
    <n v="4"/>
    <n v="76"/>
    <n v="76"/>
    <n v="686"/>
    <x v="9"/>
    <x v="2"/>
    <n v="0.5"/>
  </r>
  <r>
    <x v="72"/>
    <n v="39"/>
    <x v="4"/>
    <n v="48"/>
    <n v="33"/>
    <n v="1584"/>
    <n v="28"/>
    <n v="1344"/>
    <n v="240"/>
    <n v="14"/>
    <x v="2"/>
    <x v="1"/>
    <n v="0.15151515151515152"/>
  </r>
  <r>
    <x v="73"/>
    <n v="4"/>
    <x v="7"/>
    <n v="41"/>
    <n v="9"/>
    <n v="369"/>
    <n v="7"/>
    <n v="287"/>
    <n v="82"/>
    <n v="572"/>
    <x v="3"/>
    <x v="2"/>
    <n v="0.22222222222222221"/>
  </r>
  <r>
    <x v="74"/>
    <n v="19"/>
    <x v="10"/>
    <n v="64"/>
    <n v="36"/>
    <n v="2304"/>
    <n v="25"/>
    <n v="1600"/>
    <n v="704"/>
    <n v="6"/>
    <x v="5"/>
    <x v="1"/>
    <n v="0.30555555555555558"/>
  </r>
  <r>
    <x v="75"/>
    <n v="31"/>
    <x v="8"/>
    <n v="33"/>
    <n v="21"/>
    <n v="693"/>
    <n v="12"/>
    <n v="396"/>
    <n v="297"/>
    <n v="6"/>
    <x v="5"/>
    <x v="2"/>
    <n v="0.42857142857142855"/>
  </r>
  <r>
    <x v="76"/>
    <n v="16"/>
    <x v="1"/>
    <n v="66"/>
    <n v="15"/>
    <n v="990"/>
    <n v="14"/>
    <n v="924"/>
    <n v="66"/>
    <n v="557"/>
    <x v="8"/>
    <x v="2"/>
    <n v="6.6666666666666666E-2"/>
  </r>
  <r>
    <x v="77"/>
    <n v="22"/>
    <x v="0"/>
    <n v="92"/>
    <n v="24"/>
    <n v="2208"/>
    <n v="18"/>
    <n v="1656"/>
    <n v="552"/>
    <n v="6"/>
    <x v="5"/>
    <x v="1"/>
    <n v="0.25"/>
  </r>
  <r>
    <x v="78"/>
    <n v="2"/>
    <x v="3"/>
    <n v="32"/>
    <n v="12"/>
    <n v="384"/>
    <n v="6"/>
    <n v="192"/>
    <n v="192"/>
    <n v="686"/>
    <x v="9"/>
    <x v="1"/>
    <n v="0.5"/>
  </r>
  <r>
    <x v="79"/>
    <n v="4"/>
    <x v="7"/>
    <n v="17"/>
    <n v="9"/>
    <n v="153"/>
    <n v="7"/>
    <n v="119"/>
    <n v="34"/>
    <n v="95"/>
    <x v="6"/>
    <x v="2"/>
    <n v="0.22222222222222221"/>
  </r>
  <r>
    <x v="80"/>
    <n v="19"/>
    <x v="10"/>
    <n v="83"/>
    <n v="36"/>
    <n v="2988"/>
    <n v="25"/>
    <n v="2075"/>
    <n v="913"/>
    <n v="23"/>
    <x v="4"/>
    <x v="2"/>
    <n v="0.30555555555555558"/>
  </r>
  <r>
    <x v="81"/>
    <n v="30"/>
    <x v="2"/>
    <n v="89"/>
    <n v="12"/>
    <n v="1068"/>
    <n v="8"/>
    <n v="712"/>
    <n v="356"/>
    <n v="846"/>
    <x v="7"/>
    <x v="2"/>
    <n v="0.33333333333333331"/>
  </r>
  <r>
    <x v="82"/>
    <n v="16"/>
    <x v="1"/>
    <n v="8"/>
    <n v="15"/>
    <n v="120"/>
    <n v="14"/>
    <n v="112"/>
    <n v="8"/>
    <n v="6"/>
    <x v="5"/>
    <x v="1"/>
    <n v="6.6666666666666666E-2"/>
  </r>
  <r>
    <x v="83"/>
    <n v="19"/>
    <x v="10"/>
    <n v="25"/>
    <n v="36"/>
    <n v="900"/>
    <n v="25"/>
    <n v="625"/>
    <n v="275"/>
    <n v="572"/>
    <x v="3"/>
    <x v="2"/>
    <n v="0.30555555555555558"/>
  </r>
  <r>
    <x v="84"/>
    <n v="16"/>
    <x v="1"/>
    <n v="5"/>
    <n v="15"/>
    <n v="75"/>
    <n v="14"/>
    <n v="70"/>
    <n v="5"/>
    <n v="557"/>
    <x v="8"/>
    <x v="2"/>
    <n v="6.6666666666666666E-2"/>
  </r>
  <r>
    <x v="85"/>
    <n v="2"/>
    <x v="3"/>
    <n v="73"/>
    <n v="12"/>
    <n v="876"/>
    <n v="6"/>
    <n v="438"/>
    <n v="438"/>
    <n v="14"/>
    <x v="2"/>
    <x v="1"/>
    <n v="0.5"/>
  </r>
  <r>
    <x v="86"/>
    <n v="16"/>
    <x v="1"/>
    <n v="36"/>
    <n v="15"/>
    <n v="540"/>
    <n v="14"/>
    <n v="504"/>
    <n v="36"/>
    <n v="557"/>
    <x v="8"/>
    <x v="0"/>
    <n v="6.6666666666666666E-2"/>
  </r>
  <r>
    <x v="87"/>
    <n v="4"/>
    <x v="7"/>
    <n v="16"/>
    <n v="9"/>
    <n v="144"/>
    <n v="7"/>
    <n v="112"/>
    <n v="32"/>
    <n v="846"/>
    <x v="7"/>
    <x v="1"/>
    <n v="0.22222222222222221"/>
  </r>
  <r>
    <x v="88"/>
    <n v="39"/>
    <x v="4"/>
    <n v="33"/>
    <n v="33"/>
    <n v="1089"/>
    <n v="28"/>
    <n v="924"/>
    <n v="165"/>
    <n v="572"/>
    <x v="3"/>
    <x v="2"/>
    <n v="0.15151515151515152"/>
  </r>
  <r>
    <x v="89"/>
    <n v="30"/>
    <x v="2"/>
    <n v="90"/>
    <n v="12"/>
    <n v="1080"/>
    <n v="8"/>
    <n v="720"/>
    <n v="360"/>
    <n v="14"/>
    <x v="2"/>
    <x v="2"/>
    <n v="0.33333333333333331"/>
  </r>
  <r>
    <x v="90"/>
    <n v="16"/>
    <x v="1"/>
    <n v="74"/>
    <n v="15"/>
    <n v="1110"/>
    <n v="14"/>
    <n v="1036"/>
    <n v="74"/>
    <n v="95"/>
    <x v="6"/>
    <x v="1"/>
    <n v="6.6666666666666666E-2"/>
  </r>
  <r>
    <x v="91"/>
    <n v="16"/>
    <x v="1"/>
    <n v="72"/>
    <n v="15"/>
    <n v="1080"/>
    <n v="14"/>
    <n v="1008"/>
    <n v="72"/>
    <n v="557"/>
    <x v="8"/>
    <x v="1"/>
    <n v="6.6666666666666666E-2"/>
  </r>
  <r>
    <x v="92"/>
    <n v="4"/>
    <x v="7"/>
    <n v="53"/>
    <n v="9"/>
    <n v="477"/>
    <n v="7"/>
    <n v="371"/>
    <n v="106"/>
    <n v="23"/>
    <x v="4"/>
    <x v="2"/>
    <n v="0.22222222222222221"/>
  </r>
  <r>
    <x v="93"/>
    <n v="30"/>
    <x v="2"/>
    <n v="59"/>
    <n v="12"/>
    <n v="708"/>
    <n v="8"/>
    <n v="472"/>
    <n v="236"/>
    <n v="6"/>
    <x v="5"/>
    <x v="2"/>
    <n v="0.33333333333333331"/>
  </r>
  <r>
    <x v="94"/>
    <n v="31"/>
    <x v="8"/>
    <n v="71"/>
    <n v="21"/>
    <n v="1491"/>
    <n v="12"/>
    <n v="852"/>
    <n v="639"/>
    <n v="557"/>
    <x v="8"/>
    <x v="1"/>
    <n v="0.42857142857142855"/>
  </r>
  <r>
    <x v="95"/>
    <n v="16"/>
    <x v="1"/>
    <n v="9"/>
    <n v="15"/>
    <n v="135"/>
    <n v="14"/>
    <n v="126"/>
    <n v="9"/>
    <n v="572"/>
    <x v="3"/>
    <x v="2"/>
    <n v="6.6666666666666666E-2"/>
  </r>
  <r>
    <x v="96"/>
    <n v="39"/>
    <x v="4"/>
    <n v="95"/>
    <n v="33"/>
    <n v="3135"/>
    <n v="28"/>
    <n v="2660"/>
    <n v="475"/>
    <n v="95"/>
    <x v="6"/>
    <x v="2"/>
    <n v="0.15151515151515152"/>
  </r>
  <r>
    <x v="97"/>
    <n v="16"/>
    <x v="1"/>
    <n v="72"/>
    <n v="15"/>
    <n v="1080"/>
    <n v="14"/>
    <n v="1008"/>
    <n v="72"/>
    <n v="23"/>
    <x v="4"/>
    <x v="1"/>
    <n v="6.6666666666666666E-2"/>
  </r>
  <r>
    <x v="98"/>
    <n v="100"/>
    <x v="6"/>
    <n v="39"/>
    <n v="8"/>
    <n v="312"/>
    <n v="4"/>
    <n v="156"/>
    <n v="156"/>
    <n v="95"/>
    <x v="6"/>
    <x v="2"/>
    <n v="0.5"/>
  </r>
  <r>
    <x v="99"/>
    <n v="16"/>
    <x v="1"/>
    <n v="68"/>
    <n v="15"/>
    <n v="1020"/>
    <n v="14"/>
    <n v="952"/>
    <n v="68"/>
    <n v="6"/>
    <x v="5"/>
    <x v="1"/>
    <n v="6.6666666666666666E-2"/>
  </r>
  <r>
    <x v="100"/>
    <n v="16"/>
    <x v="1"/>
    <n v="38"/>
    <n v="15"/>
    <n v="570"/>
    <n v="14"/>
    <n v="532"/>
    <n v="38"/>
    <n v="6"/>
    <x v="5"/>
    <x v="2"/>
    <n v="6.6666666666666666E-2"/>
  </r>
  <r>
    <x v="101"/>
    <n v="4"/>
    <x v="7"/>
    <n v="87"/>
    <n v="9"/>
    <n v="783"/>
    <n v="7"/>
    <n v="609"/>
    <n v="174"/>
    <n v="846"/>
    <x v="7"/>
    <x v="2"/>
    <n v="0.22222222222222221"/>
  </r>
  <r>
    <x v="102"/>
    <n v="30"/>
    <x v="2"/>
    <n v="54"/>
    <n v="12"/>
    <n v="648"/>
    <n v="8"/>
    <n v="432"/>
    <n v="216"/>
    <n v="95"/>
    <x v="6"/>
    <x v="2"/>
    <n v="0.33333333333333331"/>
  </r>
  <r>
    <x v="103"/>
    <n v="31"/>
    <x v="8"/>
    <n v="85"/>
    <n v="21"/>
    <n v="1785"/>
    <n v="12"/>
    <n v="1020"/>
    <n v="765"/>
    <n v="95"/>
    <x v="6"/>
    <x v="2"/>
    <n v="0.42857142857142855"/>
  </r>
  <r>
    <x v="104"/>
    <n v="19"/>
    <x v="10"/>
    <n v="1"/>
    <n v="36"/>
    <n v="36"/>
    <n v="25"/>
    <n v="25"/>
    <n v="11"/>
    <n v="14"/>
    <x v="2"/>
    <x v="2"/>
    <n v="0.30555555555555558"/>
  </r>
  <r>
    <x v="105"/>
    <n v="4"/>
    <x v="7"/>
    <n v="93"/>
    <n v="9"/>
    <n v="837"/>
    <n v="7"/>
    <n v="651"/>
    <n v="186"/>
    <n v="557"/>
    <x v="8"/>
    <x v="2"/>
    <n v="0.22222222222222221"/>
  </r>
  <r>
    <x v="106"/>
    <n v="85"/>
    <x v="5"/>
    <n v="41"/>
    <n v="53"/>
    <n v="2173"/>
    <n v="35"/>
    <n v="1435"/>
    <n v="738"/>
    <n v="686"/>
    <x v="9"/>
    <x v="1"/>
    <n v="0.33962264150943394"/>
  </r>
  <r>
    <x v="107"/>
    <n v="100"/>
    <x v="6"/>
    <n v="95"/>
    <n v="8"/>
    <n v="760"/>
    <n v="4"/>
    <n v="380"/>
    <n v="380"/>
    <n v="557"/>
    <x v="8"/>
    <x v="1"/>
    <n v="0.5"/>
  </r>
  <r>
    <x v="108"/>
    <n v="31"/>
    <x v="8"/>
    <n v="7"/>
    <n v="21"/>
    <n v="147"/>
    <n v="12"/>
    <n v="84"/>
    <n v="63"/>
    <n v="23"/>
    <x v="4"/>
    <x v="1"/>
    <n v="0.42857142857142855"/>
  </r>
  <r>
    <x v="109"/>
    <n v="31"/>
    <x v="8"/>
    <n v="92"/>
    <n v="21"/>
    <n v="1932"/>
    <n v="12"/>
    <n v="1104"/>
    <n v="828"/>
    <n v="572"/>
    <x v="3"/>
    <x v="0"/>
    <n v="0.42857142857142855"/>
  </r>
  <r>
    <x v="110"/>
    <n v="85"/>
    <x v="5"/>
    <n v="30"/>
    <n v="53"/>
    <n v="1590"/>
    <n v="35"/>
    <n v="1050"/>
    <n v="540"/>
    <n v="14"/>
    <x v="2"/>
    <x v="1"/>
    <n v="0.33962264150943394"/>
  </r>
  <r>
    <x v="111"/>
    <n v="4"/>
    <x v="7"/>
    <n v="38"/>
    <n v="9"/>
    <n v="342"/>
    <n v="7"/>
    <n v="266"/>
    <n v="76"/>
    <n v="686"/>
    <x v="9"/>
    <x v="1"/>
    <n v="0.22222222222222221"/>
  </r>
  <r>
    <x v="112"/>
    <n v="31"/>
    <x v="8"/>
    <n v="21"/>
    <n v="21"/>
    <n v="441"/>
    <n v="12"/>
    <n v="252"/>
    <n v="189"/>
    <n v="23"/>
    <x v="4"/>
    <x v="2"/>
    <n v="0.42857142857142855"/>
  </r>
  <r>
    <x v="113"/>
    <n v="100"/>
    <x v="6"/>
    <n v="95"/>
    <n v="8"/>
    <n v="760"/>
    <n v="4"/>
    <n v="380"/>
    <n v="380"/>
    <n v="95"/>
    <x v="6"/>
    <x v="0"/>
    <n v="0.5"/>
  </r>
  <r>
    <x v="114"/>
    <n v="4"/>
    <x v="7"/>
    <n v="69"/>
    <n v="9"/>
    <n v="621"/>
    <n v="7"/>
    <n v="483"/>
    <n v="138"/>
    <n v="95"/>
    <x v="6"/>
    <x v="2"/>
    <n v="0.22222222222222221"/>
  </r>
  <r>
    <x v="115"/>
    <n v="16"/>
    <x v="1"/>
    <n v="96"/>
    <n v="15"/>
    <n v="1440"/>
    <n v="14"/>
    <n v="1344"/>
    <n v="96"/>
    <n v="14"/>
    <x v="2"/>
    <x v="1"/>
    <n v="6.6666666666666666E-2"/>
  </r>
  <r>
    <x v="116"/>
    <n v="4"/>
    <x v="7"/>
    <n v="36"/>
    <n v="9"/>
    <n v="324"/>
    <n v="7"/>
    <n v="252"/>
    <n v="72"/>
    <n v="315"/>
    <x v="0"/>
    <x v="2"/>
    <n v="0.22222222222222221"/>
  </r>
  <r>
    <x v="117"/>
    <n v="22"/>
    <x v="0"/>
    <n v="86"/>
    <n v="24"/>
    <n v="2064"/>
    <n v="18"/>
    <n v="1548"/>
    <n v="516"/>
    <n v="686"/>
    <x v="9"/>
    <x v="1"/>
    <n v="0.25"/>
  </r>
  <r>
    <x v="118"/>
    <n v="30"/>
    <x v="2"/>
    <n v="58"/>
    <n v="12"/>
    <n v="696"/>
    <n v="8"/>
    <n v="464"/>
    <n v="232"/>
    <n v="557"/>
    <x v="8"/>
    <x v="2"/>
    <n v="0.33333333333333331"/>
  </r>
  <r>
    <x v="119"/>
    <n v="100"/>
    <x v="6"/>
    <n v="99"/>
    <n v="8"/>
    <n v="792"/>
    <n v="4"/>
    <n v="396"/>
    <n v="396"/>
    <n v="233"/>
    <x v="1"/>
    <x v="1"/>
    <n v="0.5"/>
  </r>
  <r>
    <x v="120"/>
    <n v="16"/>
    <x v="1"/>
    <n v="63"/>
    <n v="15"/>
    <n v="945"/>
    <n v="14"/>
    <n v="882"/>
    <n v="63"/>
    <n v="557"/>
    <x v="8"/>
    <x v="0"/>
    <n v="6.6666666666666666E-2"/>
  </r>
  <r>
    <x v="121"/>
    <n v="31"/>
    <x v="8"/>
    <n v="15"/>
    <n v="21"/>
    <n v="315"/>
    <n v="12"/>
    <n v="180"/>
    <n v="135"/>
    <n v="846"/>
    <x v="7"/>
    <x v="0"/>
    <n v="0.42857142857142855"/>
  </r>
  <r>
    <x v="122"/>
    <n v="85"/>
    <x v="5"/>
    <n v="11"/>
    <n v="53"/>
    <n v="583"/>
    <n v="35"/>
    <n v="385"/>
    <n v="198"/>
    <n v="23"/>
    <x v="4"/>
    <x v="1"/>
    <n v="0.33962264150943394"/>
  </r>
  <r>
    <x v="123"/>
    <n v="2"/>
    <x v="3"/>
    <n v="89"/>
    <n v="12"/>
    <n v="1068"/>
    <n v="6"/>
    <n v="534"/>
    <n v="534"/>
    <n v="557"/>
    <x v="8"/>
    <x v="2"/>
    <n v="0.5"/>
  </r>
  <r>
    <x v="124"/>
    <n v="2"/>
    <x v="3"/>
    <n v="77"/>
    <n v="12"/>
    <n v="924"/>
    <n v="6"/>
    <n v="462"/>
    <n v="462"/>
    <n v="846"/>
    <x v="7"/>
    <x v="2"/>
    <n v="0.5"/>
  </r>
  <r>
    <x v="125"/>
    <n v="100"/>
    <x v="6"/>
    <n v="16"/>
    <n v="8"/>
    <n v="128"/>
    <n v="4"/>
    <n v="64"/>
    <n v="64"/>
    <n v="14"/>
    <x v="2"/>
    <x v="2"/>
    <n v="0.5"/>
  </r>
  <r>
    <x v="126"/>
    <n v="100"/>
    <x v="6"/>
    <n v="58"/>
    <n v="8"/>
    <n v="464"/>
    <n v="4"/>
    <n v="232"/>
    <n v="232"/>
    <n v="846"/>
    <x v="7"/>
    <x v="2"/>
    <n v="0.5"/>
  </r>
  <r>
    <x v="127"/>
    <n v="4"/>
    <x v="7"/>
    <n v="55"/>
    <n v="9"/>
    <n v="495"/>
    <n v="7"/>
    <n v="385"/>
    <n v="110"/>
    <n v="6"/>
    <x v="5"/>
    <x v="2"/>
    <n v="0.22222222222222221"/>
  </r>
  <r>
    <x v="128"/>
    <n v="19"/>
    <x v="10"/>
    <n v="59"/>
    <n v="36"/>
    <n v="2124"/>
    <n v="25"/>
    <n v="1475"/>
    <n v="649"/>
    <n v="6"/>
    <x v="5"/>
    <x v="2"/>
    <n v="0.30555555555555558"/>
  </r>
  <r>
    <x v="129"/>
    <n v="19"/>
    <x v="10"/>
    <n v="2"/>
    <n v="36"/>
    <n v="72"/>
    <n v="25"/>
    <n v="50"/>
    <n v="22"/>
    <n v="686"/>
    <x v="9"/>
    <x v="1"/>
    <n v="0.30555555555555558"/>
  </r>
  <r>
    <x v="130"/>
    <n v="31"/>
    <x v="8"/>
    <n v="85"/>
    <n v="21"/>
    <n v="1785"/>
    <n v="12"/>
    <n v="1020"/>
    <n v="765"/>
    <n v="6"/>
    <x v="5"/>
    <x v="1"/>
    <n v="0.42857142857142855"/>
  </r>
  <r>
    <x v="131"/>
    <n v="22"/>
    <x v="0"/>
    <n v="11"/>
    <n v="24"/>
    <n v="264"/>
    <n v="18"/>
    <n v="198"/>
    <n v="66"/>
    <n v="23"/>
    <x v="4"/>
    <x v="2"/>
    <n v="0.25"/>
  </r>
  <r>
    <x v="132"/>
    <n v="4"/>
    <x v="7"/>
    <n v="84"/>
    <n v="9"/>
    <n v="756"/>
    <n v="7"/>
    <n v="588"/>
    <n v="168"/>
    <n v="14"/>
    <x v="2"/>
    <x v="2"/>
    <n v="0.22222222222222221"/>
  </r>
  <r>
    <x v="133"/>
    <n v="16"/>
    <x v="1"/>
    <n v="82"/>
    <n v="15"/>
    <n v="1230"/>
    <n v="14"/>
    <n v="1148"/>
    <n v="82"/>
    <n v="6"/>
    <x v="5"/>
    <x v="2"/>
    <n v="6.6666666666666666E-2"/>
  </r>
  <r>
    <x v="134"/>
    <n v="100"/>
    <x v="6"/>
    <n v="18"/>
    <n v="8"/>
    <n v="144"/>
    <n v="4"/>
    <n v="72"/>
    <n v="72"/>
    <n v="557"/>
    <x v="8"/>
    <x v="2"/>
    <n v="0.5"/>
  </r>
  <r>
    <x v="135"/>
    <n v="19"/>
    <x v="10"/>
    <n v="43"/>
    <n v="36"/>
    <n v="1548"/>
    <n v="25"/>
    <n v="1075"/>
    <n v="473"/>
    <n v="315"/>
    <x v="0"/>
    <x v="2"/>
    <n v="0.30555555555555558"/>
  </r>
  <r>
    <x v="136"/>
    <n v="16"/>
    <x v="1"/>
    <n v="29"/>
    <n v="15"/>
    <n v="435"/>
    <n v="14"/>
    <n v="406"/>
    <n v="29"/>
    <n v="572"/>
    <x v="3"/>
    <x v="2"/>
    <n v="6.6666666666666666E-2"/>
  </r>
  <r>
    <x v="137"/>
    <n v="22"/>
    <x v="0"/>
    <n v="78"/>
    <n v="24"/>
    <n v="1872"/>
    <n v="18"/>
    <n v="1404"/>
    <n v="468"/>
    <n v="572"/>
    <x v="3"/>
    <x v="0"/>
    <n v="0.25"/>
  </r>
  <r>
    <x v="138"/>
    <n v="30"/>
    <x v="2"/>
    <n v="61"/>
    <n v="12"/>
    <n v="732"/>
    <n v="8"/>
    <n v="488"/>
    <n v="244"/>
    <n v="686"/>
    <x v="9"/>
    <x v="2"/>
    <n v="0.33333333333333331"/>
  </r>
  <r>
    <x v="139"/>
    <n v="16"/>
    <x v="1"/>
    <n v="17"/>
    <n v="15"/>
    <n v="255"/>
    <n v="14"/>
    <n v="238"/>
    <n v="17"/>
    <n v="14"/>
    <x v="2"/>
    <x v="1"/>
    <n v="6.6666666666666666E-2"/>
  </r>
  <r>
    <x v="140"/>
    <n v="22"/>
    <x v="0"/>
    <n v="60"/>
    <n v="24"/>
    <n v="1440"/>
    <n v="18"/>
    <n v="1080"/>
    <n v="360"/>
    <n v="846"/>
    <x v="7"/>
    <x v="2"/>
    <n v="0.25"/>
  </r>
  <r>
    <x v="141"/>
    <n v="100"/>
    <x v="6"/>
    <n v="27"/>
    <n v="8"/>
    <n v="216"/>
    <n v="4"/>
    <n v="108"/>
    <n v="108"/>
    <n v="6"/>
    <x v="5"/>
    <x v="2"/>
    <n v="0.5"/>
  </r>
  <r>
    <x v="142"/>
    <n v="98"/>
    <x v="11"/>
    <n v="74"/>
    <n v="18"/>
    <n v="1332"/>
    <n v="8"/>
    <n v="592"/>
    <n v="740"/>
    <n v="315"/>
    <x v="0"/>
    <x v="2"/>
    <n v="0.55555555555555558"/>
  </r>
  <r>
    <x v="143"/>
    <n v="98"/>
    <x v="11"/>
    <n v="36"/>
    <n v="18"/>
    <n v="648"/>
    <n v="8"/>
    <n v="288"/>
    <n v="360"/>
    <n v="557"/>
    <x v="8"/>
    <x v="2"/>
    <n v="0.55555555555555558"/>
  </r>
  <r>
    <x v="144"/>
    <n v="6"/>
    <x v="9"/>
    <n v="9"/>
    <n v="55"/>
    <n v="495"/>
    <n v="25"/>
    <n v="225"/>
    <n v="270"/>
    <n v="686"/>
    <x v="9"/>
    <x v="2"/>
    <n v="0.54545454545454541"/>
  </r>
  <r>
    <x v="145"/>
    <n v="100"/>
    <x v="6"/>
    <n v="16"/>
    <n v="8"/>
    <n v="128"/>
    <n v="4"/>
    <n v="64"/>
    <n v="64"/>
    <n v="846"/>
    <x v="7"/>
    <x v="2"/>
    <n v="0.5"/>
  </r>
  <r>
    <x v="146"/>
    <n v="85"/>
    <x v="5"/>
    <n v="80"/>
    <n v="53"/>
    <n v="4240"/>
    <n v="35"/>
    <n v="2800"/>
    <n v="1440"/>
    <n v="23"/>
    <x v="4"/>
    <x v="1"/>
    <n v="0.33962264150943394"/>
  </r>
  <r>
    <x v="147"/>
    <n v="100"/>
    <x v="6"/>
    <n v="34"/>
    <n v="8"/>
    <n v="272"/>
    <n v="4"/>
    <n v="136"/>
    <n v="136"/>
    <n v="14"/>
    <x v="2"/>
    <x v="1"/>
    <n v="0.5"/>
  </r>
  <r>
    <x v="148"/>
    <n v="22"/>
    <x v="0"/>
    <n v="14"/>
    <n v="24"/>
    <n v="336"/>
    <n v="18"/>
    <n v="252"/>
    <n v="84"/>
    <n v="6"/>
    <x v="5"/>
    <x v="2"/>
    <n v="0.25"/>
  </r>
  <r>
    <x v="149"/>
    <n v="16"/>
    <x v="1"/>
    <n v="30"/>
    <n v="15"/>
    <n v="450"/>
    <n v="14"/>
    <n v="420"/>
    <n v="30"/>
    <n v="846"/>
    <x v="7"/>
    <x v="1"/>
    <n v="6.6666666666666666E-2"/>
  </r>
  <r>
    <x v="150"/>
    <n v="16"/>
    <x v="1"/>
    <n v="34"/>
    <n v="15"/>
    <n v="510"/>
    <n v="14"/>
    <n v="476"/>
    <n v="34"/>
    <n v="6"/>
    <x v="5"/>
    <x v="1"/>
    <n v="6.6666666666666666E-2"/>
  </r>
  <r>
    <x v="151"/>
    <n v="16"/>
    <x v="1"/>
    <n v="17"/>
    <n v="15"/>
    <n v="255"/>
    <n v="14"/>
    <n v="238"/>
    <n v="17"/>
    <n v="572"/>
    <x v="3"/>
    <x v="1"/>
    <n v="6.6666666666666666E-2"/>
  </r>
  <r>
    <x v="152"/>
    <n v="31"/>
    <x v="8"/>
    <n v="28"/>
    <n v="21"/>
    <n v="588"/>
    <n v="12"/>
    <n v="336"/>
    <n v="252"/>
    <n v="846"/>
    <x v="7"/>
    <x v="1"/>
    <n v="0.42857142857142855"/>
  </r>
  <r>
    <x v="153"/>
    <n v="31"/>
    <x v="8"/>
    <n v="45"/>
    <n v="21"/>
    <n v="945"/>
    <n v="12"/>
    <n v="540"/>
    <n v="405"/>
    <n v="557"/>
    <x v="8"/>
    <x v="0"/>
    <n v="0.42857142857142855"/>
  </r>
  <r>
    <x v="154"/>
    <n v="16"/>
    <x v="1"/>
    <n v="54"/>
    <n v="15"/>
    <n v="810"/>
    <n v="14"/>
    <n v="756"/>
    <n v="54"/>
    <n v="233"/>
    <x v="1"/>
    <x v="2"/>
    <n v="6.6666666666666666E-2"/>
  </r>
  <r>
    <x v="155"/>
    <n v="30"/>
    <x v="2"/>
    <n v="23"/>
    <n v="12"/>
    <n v="276"/>
    <n v="8"/>
    <n v="184"/>
    <n v="92"/>
    <n v="6"/>
    <x v="5"/>
    <x v="2"/>
    <n v="0.33333333333333331"/>
  </r>
  <r>
    <x v="156"/>
    <n v="16"/>
    <x v="1"/>
    <n v="85"/>
    <n v="15"/>
    <n v="1275"/>
    <n v="14"/>
    <n v="1190"/>
    <n v="85"/>
    <n v="686"/>
    <x v="9"/>
    <x v="1"/>
    <n v="6.6666666666666666E-2"/>
  </r>
  <r>
    <x v="157"/>
    <n v="100"/>
    <x v="6"/>
    <n v="89"/>
    <n v="8"/>
    <n v="712"/>
    <n v="4"/>
    <n v="356"/>
    <n v="356"/>
    <n v="23"/>
    <x v="4"/>
    <x v="1"/>
    <n v="0.5"/>
  </r>
  <r>
    <x v="158"/>
    <n v="16"/>
    <x v="1"/>
    <n v="24"/>
    <n v="15"/>
    <n v="360"/>
    <n v="14"/>
    <n v="336"/>
    <n v="24"/>
    <n v="686"/>
    <x v="9"/>
    <x v="1"/>
    <n v="6.6666666666666666E-2"/>
  </r>
  <r>
    <x v="159"/>
    <n v="30"/>
    <x v="2"/>
    <n v="85"/>
    <n v="12"/>
    <n v="1020"/>
    <n v="8"/>
    <n v="680"/>
    <n v="340"/>
    <n v="14"/>
    <x v="2"/>
    <x v="2"/>
    <n v="0.33333333333333331"/>
  </r>
  <r>
    <x v="160"/>
    <n v="4"/>
    <x v="7"/>
    <n v="86"/>
    <n v="9"/>
    <n v="774"/>
    <n v="7"/>
    <n v="602"/>
    <n v="172"/>
    <n v="6"/>
    <x v="5"/>
    <x v="1"/>
    <n v="0.22222222222222221"/>
  </r>
  <r>
    <x v="161"/>
    <n v="30"/>
    <x v="2"/>
    <n v="95"/>
    <n v="12"/>
    <n v="1140"/>
    <n v="8"/>
    <n v="760"/>
    <n v="380"/>
    <n v="686"/>
    <x v="9"/>
    <x v="2"/>
    <n v="0.33333333333333331"/>
  </r>
  <r>
    <x v="162"/>
    <n v="4"/>
    <x v="7"/>
    <n v="19"/>
    <n v="9"/>
    <n v="171"/>
    <n v="7"/>
    <n v="133"/>
    <n v="38"/>
    <n v="14"/>
    <x v="2"/>
    <x v="2"/>
    <n v="0.22222222222222221"/>
  </r>
  <r>
    <x v="163"/>
    <n v="4"/>
    <x v="7"/>
    <n v="82"/>
    <n v="9"/>
    <n v="738"/>
    <n v="7"/>
    <n v="574"/>
    <n v="164"/>
    <n v="233"/>
    <x v="1"/>
    <x v="2"/>
    <n v="0.22222222222222221"/>
  </r>
  <r>
    <x v="164"/>
    <n v="30"/>
    <x v="2"/>
    <n v="48"/>
    <n v="12"/>
    <n v="576"/>
    <n v="8"/>
    <n v="384"/>
    <n v="192"/>
    <n v="557"/>
    <x v="8"/>
    <x v="0"/>
    <n v="0.33333333333333331"/>
  </r>
  <r>
    <x v="165"/>
    <n v="100"/>
    <x v="6"/>
    <n v="10"/>
    <n v="8"/>
    <n v="80"/>
    <n v="4"/>
    <n v="40"/>
    <n v="40"/>
    <n v="572"/>
    <x v="3"/>
    <x v="0"/>
    <n v="0.5"/>
  </r>
  <r>
    <x v="166"/>
    <n v="4"/>
    <x v="7"/>
    <n v="62"/>
    <n v="9"/>
    <n v="558"/>
    <n v="7"/>
    <n v="434"/>
    <n v="124"/>
    <n v="846"/>
    <x v="7"/>
    <x v="2"/>
    <n v="0.22222222222222221"/>
  </r>
  <r>
    <x v="167"/>
    <n v="39"/>
    <x v="4"/>
    <n v="3"/>
    <n v="33"/>
    <n v="99"/>
    <n v="28"/>
    <n v="84"/>
    <n v="15"/>
    <n v="572"/>
    <x v="3"/>
    <x v="2"/>
    <n v="0.15151515151515152"/>
  </r>
  <r>
    <x v="168"/>
    <n v="30"/>
    <x v="2"/>
    <n v="25"/>
    <n v="12"/>
    <n v="300"/>
    <n v="8"/>
    <n v="200"/>
    <n v="100"/>
    <n v="23"/>
    <x v="4"/>
    <x v="2"/>
    <n v="0.33333333333333331"/>
  </r>
  <r>
    <x v="169"/>
    <n v="4"/>
    <x v="7"/>
    <n v="25"/>
    <n v="9"/>
    <n v="225"/>
    <n v="7"/>
    <n v="175"/>
    <n v="50"/>
    <n v="23"/>
    <x v="4"/>
    <x v="2"/>
    <n v="0.22222222222222221"/>
  </r>
  <r>
    <x v="170"/>
    <n v="16"/>
    <x v="1"/>
    <n v="84"/>
    <n v="15"/>
    <n v="1260"/>
    <n v="14"/>
    <n v="1176"/>
    <n v="84"/>
    <n v="846"/>
    <x v="7"/>
    <x v="2"/>
    <n v="6.6666666666666666E-2"/>
  </r>
  <r>
    <x v="171"/>
    <n v="39"/>
    <x v="4"/>
    <n v="51"/>
    <n v="33"/>
    <n v="1683"/>
    <n v="28"/>
    <n v="1428"/>
    <n v="255"/>
    <n v="95"/>
    <x v="6"/>
    <x v="2"/>
    <n v="0.15151515151515152"/>
  </r>
  <r>
    <x v="172"/>
    <n v="2"/>
    <x v="3"/>
    <n v="63"/>
    <n v="12"/>
    <n v="756"/>
    <n v="6"/>
    <n v="378"/>
    <n v="378"/>
    <n v="23"/>
    <x v="4"/>
    <x v="2"/>
    <n v="0.5"/>
  </r>
  <r>
    <x v="173"/>
    <n v="16"/>
    <x v="1"/>
    <n v="18"/>
    <n v="15"/>
    <n v="270"/>
    <n v="14"/>
    <n v="252"/>
    <n v="18"/>
    <n v="315"/>
    <x v="0"/>
    <x v="2"/>
    <n v="6.6666666666666666E-2"/>
  </r>
  <r>
    <x v="174"/>
    <n v="4"/>
    <x v="7"/>
    <n v="10"/>
    <n v="9"/>
    <n v="90"/>
    <n v="7"/>
    <n v="70"/>
    <n v="20"/>
    <n v="14"/>
    <x v="2"/>
    <x v="2"/>
    <n v="0.22222222222222221"/>
  </r>
  <r>
    <x v="175"/>
    <n v="19"/>
    <x v="10"/>
    <n v="84"/>
    <n v="36"/>
    <n v="3024"/>
    <n v="25"/>
    <n v="2100"/>
    <n v="924"/>
    <n v="23"/>
    <x v="4"/>
    <x v="2"/>
    <n v="0.30555555555555558"/>
  </r>
  <r>
    <x v="176"/>
    <n v="22"/>
    <x v="0"/>
    <n v="69"/>
    <n v="24"/>
    <n v="1656"/>
    <n v="18"/>
    <n v="1242"/>
    <n v="414"/>
    <n v="557"/>
    <x v="8"/>
    <x v="2"/>
    <n v="0.25"/>
  </r>
  <r>
    <x v="177"/>
    <n v="16"/>
    <x v="1"/>
    <n v="88"/>
    <n v="15"/>
    <n v="1320"/>
    <n v="14"/>
    <n v="1232"/>
    <n v="88"/>
    <n v="572"/>
    <x v="3"/>
    <x v="2"/>
    <n v="6.6666666666666666E-2"/>
  </r>
  <r>
    <x v="178"/>
    <n v="16"/>
    <x v="1"/>
    <n v="98"/>
    <n v="15"/>
    <n v="1470"/>
    <n v="14"/>
    <n v="1372"/>
    <n v="98"/>
    <n v="686"/>
    <x v="9"/>
    <x v="2"/>
    <n v="6.6666666666666666E-2"/>
  </r>
  <r>
    <x v="179"/>
    <n v="98"/>
    <x v="11"/>
    <n v="52"/>
    <n v="18"/>
    <n v="936"/>
    <n v="8"/>
    <n v="416"/>
    <n v="520"/>
    <n v="572"/>
    <x v="3"/>
    <x v="2"/>
    <n v="0.55555555555555558"/>
  </r>
  <r>
    <x v="180"/>
    <n v="100"/>
    <x v="6"/>
    <n v="28"/>
    <n v="8"/>
    <n v="224"/>
    <n v="4"/>
    <n v="112"/>
    <n v="112"/>
    <n v="846"/>
    <x v="7"/>
    <x v="2"/>
    <n v="0.5"/>
  </r>
  <r>
    <x v="181"/>
    <n v="30"/>
    <x v="2"/>
    <n v="79"/>
    <n v="12"/>
    <n v="948"/>
    <n v="8"/>
    <n v="632"/>
    <n v="316"/>
    <n v="572"/>
    <x v="3"/>
    <x v="2"/>
    <n v="0.33333333333333331"/>
  </r>
  <r>
    <x v="182"/>
    <n v="30"/>
    <x v="2"/>
    <n v="53"/>
    <n v="12"/>
    <n v="636"/>
    <n v="8"/>
    <n v="424"/>
    <n v="212"/>
    <n v="846"/>
    <x v="7"/>
    <x v="2"/>
    <n v="0.33333333333333331"/>
  </r>
  <r>
    <x v="183"/>
    <n v="100"/>
    <x v="6"/>
    <n v="78"/>
    <n v="8"/>
    <n v="624"/>
    <n v="4"/>
    <n v="312"/>
    <n v="312"/>
    <n v="95"/>
    <x v="6"/>
    <x v="2"/>
    <n v="0.5"/>
  </r>
  <r>
    <x v="184"/>
    <n v="100"/>
    <x v="6"/>
    <n v="69"/>
    <n v="8"/>
    <n v="552"/>
    <n v="4"/>
    <n v="276"/>
    <n v="276"/>
    <n v="686"/>
    <x v="9"/>
    <x v="1"/>
    <n v="0.5"/>
  </r>
  <r>
    <x v="185"/>
    <n v="31"/>
    <x v="8"/>
    <n v="60"/>
    <n v="21"/>
    <n v="1260"/>
    <n v="12"/>
    <n v="720"/>
    <n v="540"/>
    <n v="572"/>
    <x v="3"/>
    <x v="1"/>
    <n v="0.42857142857142855"/>
  </r>
  <r>
    <x v="186"/>
    <n v="19"/>
    <x v="10"/>
    <n v="34"/>
    <n v="36"/>
    <n v="1224"/>
    <n v="25"/>
    <n v="850"/>
    <n v="374"/>
    <n v="95"/>
    <x v="6"/>
    <x v="2"/>
    <n v="0.30555555555555558"/>
  </r>
  <r>
    <x v="187"/>
    <n v="4"/>
    <x v="7"/>
    <n v="30"/>
    <n v="9"/>
    <n v="270"/>
    <n v="7"/>
    <n v="210"/>
    <n v="60"/>
    <n v="23"/>
    <x v="4"/>
    <x v="2"/>
    <n v="0.22222222222222221"/>
  </r>
  <r>
    <x v="188"/>
    <n v="16"/>
    <x v="1"/>
    <n v="60"/>
    <n v="15"/>
    <n v="900"/>
    <n v="14"/>
    <n v="840"/>
    <n v="60"/>
    <n v="95"/>
    <x v="6"/>
    <x v="2"/>
    <n v="6.6666666666666666E-2"/>
  </r>
  <r>
    <x v="189"/>
    <n v="100"/>
    <x v="6"/>
    <n v="78"/>
    <n v="8"/>
    <n v="624"/>
    <n v="4"/>
    <n v="312"/>
    <n v="312"/>
    <n v="315"/>
    <x v="0"/>
    <x v="2"/>
    <n v="0.5"/>
  </r>
  <r>
    <x v="190"/>
    <n v="100"/>
    <x v="6"/>
    <n v="46"/>
    <n v="8"/>
    <n v="368"/>
    <n v="4"/>
    <n v="184"/>
    <n v="184"/>
    <n v="23"/>
    <x v="4"/>
    <x v="1"/>
    <n v="0.5"/>
  </r>
  <r>
    <x v="191"/>
    <n v="39"/>
    <x v="4"/>
    <n v="65"/>
    <n v="33"/>
    <n v="2145"/>
    <n v="28"/>
    <n v="1820"/>
    <n v="325"/>
    <n v="846"/>
    <x v="7"/>
    <x v="2"/>
    <n v="0.15151515151515152"/>
  </r>
  <r>
    <x v="192"/>
    <n v="31"/>
    <x v="8"/>
    <n v="88"/>
    <n v="21"/>
    <n v="1848"/>
    <n v="12"/>
    <n v="1056"/>
    <n v="792"/>
    <n v="95"/>
    <x v="6"/>
    <x v="2"/>
    <n v="0.42857142857142855"/>
  </r>
  <r>
    <x v="193"/>
    <n v="30"/>
    <x v="2"/>
    <n v="76"/>
    <n v="12"/>
    <n v="912"/>
    <n v="8"/>
    <n v="608"/>
    <n v="304"/>
    <n v="557"/>
    <x v="8"/>
    <x v="2"/>
    <n v="0.33333333333333331"/>
  </r>
  <r>
    <x v="194"/>
    <n v="100"/>
    <x v="6"/>
    <n v="11"/>
    <n v="8"/>
    <n v="88"/>
    <n v="4"/>
    <n v="44"/>
    <n v="44"/>
    <n v="572"/>
    <x v="3"/>
    <x v="2"/>
    <n v="0.5"/>
  </r>
  <r>
    <x v="195"/>
    <n v="22"/>
    <x v="0"/>
    <n v="35"/>
    <n v="24"/>
    <n v="840"/>
    <n v="18"/>
    <n v="630"/>
    <n v="210"/>
    <n v="6"/>
    <x v="5"/>
    <x v="1"/>
    <n v="0.25"/>
  </r>
  <r>
    <x v="196"/>
    <n v="16"/>
    <x v="1"/>
    <n v="98"/>
    <n v="15"/>
    <n v="1470"/>
    <n v="14"/>
    <n v="1372"/>
    <n v="98"/>
    <n v="233"/>
    <x v="1"/>
    <x v="1"/>
    <n v="6.6666666666666666E-2"/>
  </r>
  <r>
    <x v="197"/>
    <n v="31"/>
    <x v="8"/>
    <n v="57"/>
    <n v="21"/>
    <n v="1197"/>
    <n v="12"/>
    <n v="684"/>
    <n v="513"/>
    <n v="846"/>
    <x v="7"/>
    <x v="2"/>
    <n v="0.42857142857142855"/>
  </r>
  <r>
    <x v="198"/>
    <n v="31"/>
    <x v="8"/>
    <n v="11"/>
    <n v="21"/>
    <n v="231"/>
    <n v="12"/>
    <n v="132"/>
    <n v="99"/>
    <n v="95"/>
    <x v="6"/>
    <x v="1"/>
    <n v="0.42857142857142855"/>
  </r>
  <r>
    <x v="199"/>
    <n v="31"/>
    <x v="8"/>
    <n v="81"/>
    <n v="21"/>
    <n v="1701"/>
    <n v="12"/>
    <n v="972"/>
    <n v="729"/>
    <n v="6"/>
    <x v="5"/>
    <x v="2"/>
    <n v="0.42857142857142855"/>
  </r>
  <r>
    <x v="200"/>
    <n v="19"/>
    <x v="10"/>
    <n v="93"/>
    <n v="36"/>
    <n v="3348"/>
    <n v="25"/>
    <n v="2325"/>
    <n v="1023"/>
    <n v="95"/>
    <x v="6"/>
    <x v="2"/>
    <n v="0.30555555555555558"/>
  </r>
  <r>
    <x v="201"/>
    <n v="16"/>
    <x v="1"/>
    <n v="2"/>
    <n v="15"/>
    <n v="30"/>
    <n v="14"/>
    <n v="28"/>
    <n v="2"/>
    <n v="572"/>
    <x v="3"/>
    <x v="2"/>
    <n v="6.6666666666666666E-2"/>
  </r>
  <r>
    <x v="202"/>
    <n v="98"/>
    <x v="11"/>
    <n v="78"/>
    <n v="18"/>
    <n v="1404"/>
    <n v="8"/>
    <n v="624"/>
    <n v="780"/>
    <n v="14"/>
    <x v="2"/>
    <x v="1"/>
    <n v="0.55555555555555558"/>
  </r>
  <r>
    <x v="203"/>
    <n v="30"/>
    <x v="2"/>
    <n v="99"/>
    <n v="12"/>
    <n v="1188"/>
    <n v="8"/>
    <n v="792"/>
    <n v="396"/>
    <n v="557"/>
    <x v="8"/>
    <x v="2"/>
    <n v="0.33333333333333331"/>
  </r>
  <r>
    <x v="204"/>
    <n v="98"/>
    <x v="11"/>
    <n v="43"/>
    <n v="18"/>
    <n v="774"/>
    <n v="8"/>
    <n v="344"/>
    <n v="430"/>
    <n v="686"/>
    <x v="9"/>
    <x v="1"/>
    <n v="0.55555555555555558"/>
  </r>
  <r>
    <x v="205"/>
    <n v="39"/>
    <x v="4"/>
    <n v="51"/>
    <n v="33"/>
    <n v="1683"/>
    <n v="28"/>
    <n v="1428"/>
    <n v="255"/>
    <n v="572"/>
    <x v="3"/>
    <x v="2"/>
    <n v="0.15151515151515152"/>
  </r>
  <r>
    <x v="206"/>
    <n v="16"/>
    <x v="1"/>
    <n v="46"/>
    <n v="15"/>
    <n v="690"/>
    <n v="14"/>
    <n v="644"/>
    <n v="46"/>
    <n v="23"/>
    <x v="4"/>
    <x v="2"/>
    <n v="6.6666666666666666E-2"/>
  </r>
  <r>
    <x v="207"/>
    <n v="39"/>
    <x v="4"/>
    <n v="29"/>
    <n v="33"/>
    <n v="957"/>
    <n v="28"/>
    <n v="812"/>
    <n v="145"/>
    <n v="557"/>
    <x v="8"/>
    <x v="2"/>
    <n v="0.15151515151515152"/>
  </r>
  <r>
    <x v="208"/>
    <n v="30"/>
    <x v="2"/>
    <n v="63"/>
    <n v="12"/>
    <n v="756"/>
    <n v="8"/>
    <n v="504"/>
    <n v="252"/>
    <n v="23"/>
    <x v="4"/>
    <x v="2"/>
    <n v="0.33333333333333331"/>
  </r>
  <r>
    <x v="209"/>
    <n v="39"/>
    <x v="4"/>
    <n v="60"/>
    <n v="33"/>
    <n v="1980"/>
    <n v="28"/>
    <n v="1680"/>
    <n v="300"/>
    <n v="557"/>
    <x v="8"/>
    <x v="2"/>
    <n v="0.15151515151515152"/>
  </r>
  <r>
    <x v="210"/>
    <n v="100"/>
    <x v="6"/>
    <n v="46"/>
    <n v="8"/>
    <n v="368"/>
    <n v="4"/>
    <n v="184"/>
    <n v="184"/>
    <n v="6"/>
    <x v="5"/>
    <x v="2"/>
    <n v="0.5"/>
  </r>
  <r>
    <x v="211"/>
    <n v="4"/>
    <x v="7"/>
    <n v="5"/>
    <n v="9"/>
    <n v="45"/>
    <n v="7"/>
    <n v="35"/>
    <n v="10"/>
    <n v="14"/>
    <x v="2"/>
    <x v="1"/>
    <n v="0.22222222222222221"/>
  </r>
  <r>
    <x v="212"/>
    <n v="31"/>
    <x v="8"/>
    <n v="92"/>
    <n v="21"/>
    <n v="1932"/>
    <n v="12"/>
    <n v="1104"/>
    <n v="828"/>
    <n v="557"/>
    <x v="8"/>
    <x v="1"/>
    <n v="0.42857142857142855"/>
  </r>
  <r>
    <x v="213"/>
    <n v="31"/>
    <x v="8"/>
    <n v="1"/>
    <n v="21"/>
    <n v="21"/>
    <n v="12"/>
    <n v="12"/>
    <n v="9"/>
    <n v="95"/>
    <x v="6"/>
    <x v="1"/>
    <n v="0.42857142857142855"/>
  </r>
  <r>
    <x v="214"/>
    <n v="31"/>
    <x v="8"/>
    <n v="33"/>
    <n v="21"/>
    <n v="693"/>
    <n v="12"/>
    <n v="396"/>
    <n v="297"/>
    <n v="14"/>
    <x v="2"/>
    <x v="2"/>
    <n v="0.42857142857142855"/>
  </r>
  <r>
    <x v="215"/>
    <n v="4"/>
    <x v="7"/>
    <n v="56"/>
    <n v="9"/>
    <n v="504"/>
    <n v="7"/>
    <n v="392"/>
    <n v="112"/>
    <n v="23"/>
    <x v="4"/>
    <x v="2"/>
    <n v="0.22222222222222221"/>
  </r>
  <r>
    <x v="216"/>
    <n v="4"/>
    <x v="7"/>
    <n v="54"/>
    <n v="9"/>
    <n v="486"/>
    <n v="7"/>
    <n v="378"/>
    <n v="108"/>
    <n v="23"/>
    <x v="4"/>
    <x v="1"/>
    <n v="0.22222222222222221"/>
  </r>
  <r>
    <x v="217"/>
    <n v="85"/>
    <x v="5"/>
    <n v="63"/>
    <n v="53"/>
    <n v="3339"/>
    <n v="35"/>
    <n v="2205"/>
    <n v="1134"/>
    <n v="233"/>
    <x v="1"/>
    <x v="1"/>
    <n v="0.33962264150943394"/>
  </r>
  <r>
    <x v="218"/>
    <n v="30"/>
    <x v="2"/>
    <n v="48"/>
    <n v="12"/>
    <n v="576"/>
    <n v="8"/>
    <n v="384"/>
    <n v="192"/>
    <n v="686"/>
    <x v="9"/>
    <x v="2"/>
    <n v="0.33333333333333331"/>
  </r>
  <r>
    <x v="219"/>
    <n v="31"/>
    <x v="8"/>
    <n v="39"/>
    <n v="21"/>
    <n v="819"/>
    <n v="12"/>
    <n v="468"/>
    <n v="351"/>
    <n v="95"/>
    <x v="6"/>
    <x v="1"/>
    <n v="0.42857142857142855"/>
  </r>
  <r>
    <x v="220"/>
    <n v="16"/>
    <x v="1"/>
    <n v="53"/>
    <n v="15"/>
    <n v="795"/>
    <n v="14"/>
    <n v="742"/>
    <n v="53"/>
    <n v="95"/>
    <x v="6"/>
    <x v="2"/>
    <n v="6.6666666666666666E-2"/>
  </r>
  <r>
    <x v="221"/>
    <n v="22"/>
    <x v="0"/>
    <n v="76"/>
    <n v="24"/>
    <n v="1824"/>
    <n v="18"/>
    <n v="1368"/>
    <n v="456"/>
    <n v="14"/>
    <x v="2"/>
    <x v="1"/>
    <n v="0.25"/>
  </r>
  <r>
    <x v="222"/>
    <n v="39"/>
    <x v="4"/>
    <n v="70"/>
    <n v="33"/>
    <n v="2310"/>
    <n v="28"/>
    <n v="1960"/>
    <n v="350"/>
    <n v="686"/>
    <x v="9"/>
    <x v="1"/>
    <n v="0.15151515151515152"/>
  </r>
  <r>
    <x v="223"/>
    <n v="30"/>
    <x v="2"/>
    <n v="38"/>
    <n v="12"/>
    <n v="456"/>
    <n v="8"/>
    <n v="304"/>
    <n v="152"/>
    <n v="6"/>
    <x v="5"/>
    <x v="2"/>
    <n v="0.33333333333333331"/>
  </r>
  <r>
    <x v="224"/>
    <n v="4"/>
    <x v="7"/>
    <n v="48"/>
    <n v="9"/>
    <n v="432"/>
    <n v="7"/>
    <n v="336"/>
    <n v="96"/>
    <n v="846"/>
    <x v="7"/>
    <x v="1"/>
    <n v="0.22222222222222221"/>
  </r>
  <r>
    <x v="225"/>
    <n v="100"/>
    <x v="6"/>
    <n v="95"/>
    <n v="8"/>
    <n v="760"/>
    <n v="4"/>
    <n v="380"/>
    <n v="380"/>
    <n v="95"/>
    <x v="6"/>
    <x v="2"/>
    <n v="0.5"/>
  </r>
  <r>
    <x v="226"/>
    <n v="31"/>
    <x v="8"/>
    <n v="55"/>
    <n v="21"/>
    <n v="1155"/>
    <n v="12"/>
    <n v="660"/>
    <n v="495"/>
    <n v="95"/>
    <x v="6"/>
    <x v="1"/>
    <n v="0.42857142857142855"/>
  </r>
  <r>
    <x v="227"/>
    <n v="16"/>
    <x v="1"/>
    <n v="10"/>
    <n v="15"/>
    <n v="150"/>
    <n v="14"/>
    <n v="140"/>
    <n v="10"/>
    <n v="23"/>
    <x v="4"/>
    <x v="2"/>
    <n v="6.6666666666666666E-2"/>
  </r>
  <r>
    <x v="228"/>
    <n v="6"/>
    <x v="9"/>
    <n v="8"/>
    <n v="55"/>
    <n v="440"/>
    <n v="25"/>
    <n v="200"/>
    <n v="240"/>
    <n v="6"/>
    <x v="5"/>
    <x v="2"/>
    <n v="0.54545454545454541"/>
  </r>
  <r>
    <x v="229"/>
    <n v="100"/>
    <x v="6"/>
    <n v="95"/>
    <n v="8"/>
    <n v="760"/>
    <n v="4"/>
    <n v="380"/>
    <n v="380"/>
    <n v="557"/>
    <x v="8"/>
    <x v="0"/>
    <n v="0.5"/>
  </r>
  <r>
    <x v="230"/>
    <n v="4"/>
    <x v="7"/>
    <n v="45"/>
    <n v="9"/>
    <n v="405"/>
    <n v="7"/>
    <n v="315"/>
    <n v="90"/>
    <n v="315"/>
    <x v="0"/>
    <x v="2"/>
    <n v="0.22222222222222221"/>
  </r>
  <r>
    <x v="231"/>
    <n v="30"/>
    <x v="2"/>
    <n v="87"/>
    <n v="12"/>
    <n v="1044"/>
    <n v="8"/>
    <n v="696"/>
    <n v="348"/>
    <n v="557"/>
    <x v="8"/>
    <x v="2"/>
    <n v="0.33333333333333331"/>
  </r>
  <r>
    <x v="232"/>
    <n v="100"/>
    <x v="6"/>
    <n v="2"/>
    <n v="8"/>
    <n v="16"/>
    <n v="4"/>
    <n v="8"/>
    <n v="8"/>
    <n v="14"/>
    <x v="2"/>
    <x v="1"/>
    <n v="0.5"/>
  </r>
  <r>
    <x v="233"/>
    <n v="100"/>
    <x v="6"/>
    <n v="85"/>
    <n v="8"/>
    <n v="680"/>
    <n v="4"/>
    <n v="340"/>
    <n v="340"/>
    <n v="572"/>
    <x v="3"/>
    <x v="2"/>
    <n v="0.5"/>
  </r>
  <r>
    <x v="234"/>
    <n v="19"/>
    <x v="10"/>
    <n v="19"/>
    <n v="36"/>
    <n v="684"/>
    <n v="25"/>
    <n v="475"/>
    <n v="209"/>
    <n v="6"/>
    <x v="5"/>
    <x v="2"/>
    <n v="0.30555555555555558"/>
  </r>
  <r>
    <x v="235"/>
    <n v="100"/>
    <x v="6"/>
    <n v="98"/>
    <n v="8"/>
    <n v="784"/>
    <n v="4"/>
    <n v="392"/>
    <n v="392"/>
    <n v="572"/>
    <x v="3"/>
    <x v="2"/>
    <n v="0.5"/>
  </r>
  <r>
    <x v="236"/>
    <n v="16"/>
    <x v="1"/>
    <n v="37"/>
    <n v="15"/>
    <n v="555"/>
    <n v="14"/>
    <n v="518"/>
    <n v="37"/>
    <n v="6"/>
    <x v="5"/>
    <x v="2"/>
    <n v="6.6666666666666666E-2"/>
  </r>
  <r>
    <x v="237"/>
    <n v="22"/>
    <x v="0"/>
    <n v="74"/>
    <n v="24"/>
    <n v="1776"/>
    <n v="18"/>
    <n v="1332"/>
    <n v="444"/>
    <n v="95"/>
    <x v="6"/>
    <x v="0"/>
    <n v="0.25"/>
  </r>
  <r>
    <x v="238"/>
    <n v="31"/>
    <x v="8"/>
    <n v="39"/>
    <n v="21"/>
    <n v="819"/>
    <n v="12"/>
    <n v="468"/>
    <n v="351"/>
    <n v="686"/>
    <x v="9"/>
    <x v="1"/>
    <n v="0.42857142857142855"/>
  </r>
  <r>
    <x v="239"/>
    <n v="85"/>
    <x v="5"/>
    <n v="55"/>
    <n v="53"/>
    <n v="2915"/>
    <n v="35"/>
    <n v="1925"/>
    <n v="990"/>
    <n v="6"/>
    <x v="5"/>
    <x v="1"/>
    <n v="0.33962264150943394"/>
  </r>
  <r>
    <x v="240"/>
    <n v="98"/>
    <x v="11"/>
    <n v="44"/>
    <n v="18"/>
    <n v="792"/>
    <n v="8"/>
    <n v="352"/>
    <n v="440"/>
    <n v="95"/>
    <x v="6"/>
    <x v="2"/>
    <n v="0.55555555555555558"/>
  </r>
  <r>
    <x v="241"/>
    <n v="16"/>
    <x v="1"/>
    <n v="58"/>
    <n v="15"/>
    <n v="870"/>
    <n v="14"/>
    <n v="812"/>
    <n v="58"/>
    <n v="572"/>
    <x v="3"/>
    <x v="2"/>
    <n v="6.6666666666666666E-2"/>
  </r>
  <r>
    <x v="242"/>
    <n v="4"/>
    <x v="7"/>
    <n v="7"/>
    <n v="9"/>
    <n v="63"/>
    <n v="7"/>
    <n v="49"/>
    <n v="14"/>
    <n v="686"/>
    <x v="9"/>
    <x v="2"/>
    <n v="0.22222222222222221"/>
  </r>
  <r>
    <x v="243"/>
    <n v="4"/>
    <x v="7"/>
    <n v="99"/>
    <n v="9"/>
    <n v="891"/>
    <n v="7"/>
    <n v="693"/>
    <n v="198"/>
    <n v="14"/>
    <x v="2"/>
    <x v="2"/>
    <n v="0.22222222222222221"/>
  </r>
  <r>
    <x v="244"/>
    <n v="4"/>
    <x v="7"/>
    <n v="83"/>
    <n v="9"/>
    <n v="747"/>
    <n v="7"/>
    <n v="581"/>
    <n v="166"/>
    <n v="23"/>
    <x v="4"/>
    <x v="1"/>
    <n v="0.22222222222222221"/>
  </r>
  <r>
    <x v="245"/>
    <n v="22"/>
    <x v="0"/>
    <n v="4"/>
    <n v="24"/>
    <n v="96"/>
    <n v="18"/>
    <n v="72"/>
    <n v="24"/>
    <n v="23"/>
    <x v="4"/>
    <x v="1"/>
    <n v="0.25"/>
  </r>
  <r>
    <x v="246"/>
    <n v="16"/>
    <x v="1"/>
    <n v="81"/>
    <n v="15"/>
    <n v="1215"/>
    <n v="14"/>
    <n v="1134"/>
    <n v="81"/>
    <n v="557"/>
    <x v="8"/>
    <x v="2"/>
    <n v="6.6666666666666666E-2"/>
  </r>
  <r>
    <x v="247"/>
    <n v="4"/>
    <x v="7"/>
    <n v="91"/>
    <n v="9"/>
    <n v="819"/>
    <n v="7"/>
    <n v="637"/>
    <n v="182"/>
    <n v="557"/>
    <x v="8"/>
    <x v="1"/>
    <n v="0.22222222222222221"/>
  </r>
  <r>
    <x v="248"/>
    <n v="6"/>
    <x v="9"/>
    <n v="36"/>
    <n v="55"/>
    <n v="1980"/>
    <n v="25"/>
    <n v="900"/>
    <n v="1080"/>
    <n v="686"/>
    <x v="9"/>
    <x v="2"/>
    <n v="0.54545454545454541"/>
  </r>
  <r>
    <x v="249"/>
    <n v="4"/>
    <x v="7"/>
    <n v="94"/>
    <n v="9"/>
    <n v="846"/>
    <n v="7"/>
    <n v="658"/>
    <n v="188"/>
    <n v="95"/>
    <x v="6"/>
    <x v="1"/>
    <n v="0.22222222222222221"/>
  </r>
  <r>
    <x v="250"/>
    <n v="100"/>
    <x v="6"/>
    <n v="12"/>
    <n v="8"/>
    <n v="96"/>
    <n v="4"/>
    <n v="48"/>
    <n v="48"/>
    <n v="14"/>
    <x v="2"/>
    <x v="1"/>
    <n v="0.5"/>
  </r>
  <r>
    <x v="251"/>
    <n v="31"/>
    <x v="8"/>
    <n v="3"/>
    <n v="21"/>
    <n v="63"/>
    <n v="12"/>
    <n v="36"/>
    <n v="27"/>
    <n v="233"/>
    <x v="1"/>
    <x v="1"/>
    <n v="0.42857142857142855"/>
  </r>
  <r>
    <x v="252"/>
    <n v="4"/>
    <x v="7"/>
    <n v="49"/>
    <n v="9"/>
    <n v="441"/>
    <n v="7"/>
    <n v="343"/>
    <n v="98"/>
    <n v="14"/>
    <x v="2"/>
    <x v="2"/>
    <n v="0.22222222222222221"/>
  </r>
  <r>
    <x v="253"/>
    <n v="98"/>
    <x v="11"/>
    <n v="96"/>
    <n v="18"/>
    <n v="1728"/>
    <n v="8"/>
    <n v="768"/>
    <n v="960"/>
    <n v="23"/>
    <x v="4"/>
    <x v="1"/>
    <n v="0.55555555555555558"/>
  </r>
  <r>
    <x v="254"/>
    <n v="100"/>
    <x v="6"/>
    <n v="94"/>
    <n v="8"/>
    <n v="752"/>
    <n v="4"/>
    <n v="376"/>
    <n v="376"/>
    <n v="23"/>
    <x v="4"/>
    <x v="2"/>
    <n v="0.5"/>
  </r>
  <r>
    <x v="255"/>
    <n v="30"/>
    <x v="2"/>
    <n v="4"/>
    <n v="12"/>
    <n v="48"/>
    <n v="8"/>
    <n v="32"/>
    <n v="16"/>
    <n v="95"/>
    <x v="6"/>
    <x v="2"/>
    <n v="0.33333333333333331"/>
  </r>
  <r>
    <x v="256"/>
    <n v="31"/>
    <x v="8"/>
    <n v="58"/>
    <n v="21"/>
    <n v="1218"/>
    <n v="12"/>
    <n v="696"/>
    <n v="522"/>
    <n v="6"/>
    <x v="5"/>
    <x v="1"/>
    <n v="0.42857142857142855"/>
  </r>
  <r>
    <x v="257"/>
    <n v="22"/>
    <x v="0"/>
    <n v="31"/>
    <n v="24"/>
    <n v="744"/>
    <n v="18"/>
    <n v="558"/>
    <n v="186"/>
    <n v="572"/>
    <x v="3"/>
    <x v="0"/>
    <n v="0.25"/>
  </r>
  <r>
    <x v="258"/>
    <n v="16"/>
    <x v="1"/>
    <n v="3"/>
    <n v="15"/>
    <n v="45"/>
    <n v="14"/>
    <n v="42"/>
    <n v="3"/>
    <n v="572"/>
    <x v="3"/>
    <x v="0"/>
    <n v="6.6666666666666666E-2"/>
  </r>
  <r>
    <x v="259"/>
    <n v="16"/>
    <x v="1"/>
    <n v="10"/>
    <n v="15"/>
    <n v="150"/>
    <n v="14"/>
    <n v="140"/>
    <n v="10"/>
    <n v="846"/>
    <x v="7"/>
    <x v="2"/>
    <n v="6.6666666666666666E-2"/>
  </r>
  <r>
    <x v="260"/>
    <n v="16"/>
    <x v="1"/>
    <n v="21"/>
    <n v="15"/>
    <n v="315"/>
    <n v="14"/>
    <n v="294"/>
    <n v="21"/>
    <n v="846"/>
    <x v="7"/>
    <x v="2"/>
    <n v="6.6666666666666666E-2"/>
  </r>
  <r>
    <x v="261"/>
    <n v="16"/>
    <x v="1"/>
    <n v="65"/>
    <n v="15"/>
    <n v="975"/>
    <n v="14"/>
    <n v="910"/>
    <n v="65"/>
    <n v="686"/>
    <x v="9"/>
    <x v="1"/>
    <n v="6.6666666666666666E-2"/>
  </r>
  <r>
    <x v="262"/>
    <n v="2"/>
    <x v="3"/>
    <n v="96"/>
    <n v="12"/>
    <n v="1152"/>
    <n v="6"/>
    <n v="576"/>
    <n v="576"/>
    <n v="14"/>
    <x v="2"/>
    <x v="1"/>
    <n v="0.5"/>
  </r>
  <r>
    <x v="263"/>
    <n v="98"/>
    <x v="11"/>
    <n v="79"/>
    <n v="18"/>
    <n v="1422"/>
    <n v="8"/>
    <n v="632"/>
    <n v="790"/>
    <n v="6"/>
    <x v="5"/>
    <x v="1"/>
    <n v="0.55555555555555558"/>
  </r>
  <r>
    <x v="264"/>
    <n v="100"/>
    <x v="6"/>
    <n v="99"/>
    <n v="8"/>
    <n v="792"/>
    <n v="4"/>
    <n v="396"/>
    <n v="396"/>
    <n v="6"/>
    <x v="5"/>
    <x v="1"/>
    <n v="0.5"/>
  </r>
  <r>
    <x v="265"/>
    <n v="19"/>
    <x v="10"/>
    <n v="94"/>
    <n v="36"/>
    <n v="3384"/>
    <n v="25"/>
    <n v="2350"/>
    <n v="1034"/>
    <n v="6"/>
    <x v="5"/>
    <x v="1"/>
    <n v="0.30555555555555558"/>
  </r>
  <r>
    <x v="266"/>
    <n v="85"/>
    <x v="5"/>
    <n v="69"/>
    <n v="53"/>
    <n v="3657"/>
    <n v="35"/>
    <n v="2415"/>
    <n v="1242"/>
    <n v="6"/>
    <x v="5"/>
    <x v="1"/>
    <n v="0.33962264150943394"/>
  </r>
  <r>
    <x v="267"/>
    <n v="39"/>
    <x v="4"/>
    <n v="94"/>
    <n v="33"/>
    <n v="3102"/>
    <n v="28"/>
    <n v="2632"/>
    <n v="470"/>
    <n v="572"/>
    <x v="3"/>
    <x v="2"/>
    <n v="0.15151515151515152"/>
  </r>
  <r>
    <x v="268"/>
    <n v="2"/>
    <x v="3"/>
    <n v="57"/>
    <n v="12"/>
    <n v="684"/>
    <n v="6"/>
    <n v="342"/>
    <n v="342"/>
    <n v="95"/>
    <x v="6"/>
    <x v="2"/>
    <n v="0.5"/>
  </r>
  <r>
    <x v="269"/>
    <n v="30"/>
    <x v="2"/>
    <n v="77"/>
    <n v="12"/>
    <n v="924"/>
    <n v="8"/>
    <n v="616"/>
    <n v="308"/>
    <n v="95"/>
    <x v="6"/>
    <x v="2"/>
    <n v="0.33333333333333331"/>
  </r>
  <r>
    <x v="270"/>
    <n v="16"/>
    <x v="1"/>
    <n v="37"/>
    <n v="15"/>
    <n v="555"/>
    <n v="14"/>
    <n v="518"/>
    <n v="37"/>
    <n v="95"/>
    <x v="6"/>
    <x v="2"/>
    <n v="6.6666666666666666E-2"/>
  </r>
  <r>
    <x v="271"/>
    <n v="100"/>
    <x v="6"/>
    <n v="30"/>
    <n v="8"/>
    <n v="240"/>
    <n v="4"/>
    <n v="120"/>
    <n v="120"/>
    <n v="846"/>
    <x v="7"/>
    <x v="1"/>
    <n v="0.5"/>
  </r>
  <r>
    <x v="272"/>
    <n v="31"/>
    <x v="8"/>
    <n v="65"/>
    <n v="21"/>
    <n v="1365"/>
    <n v="12"/>
    <n v="780"/>
    <n v="585"/>
    <n v="14"/>
    <x v="2"/>
    <x v="2"/>
    <n v="0.42857142857142855"/>
  </r>
  <r>
    <x v="273"/>
    <n v="30"/>
    <x v="2"/>
    <n v="71"/>
    <n v="12"/>
    <n v="852"/>
    <n v="8"/>
    <n v="568"/>
    <n v="284"/>
    <n v="6"/>
    <x v="5"/>
    <x v="2"/>
    <n v="0.33333333333333331"/>
  </r>
  <r>
    <x v="274"/>
    <n v="16"/>
    <x v="1"/>
    <n v="5"/>
    <n v="15"/>
    <n v="75"/>
    <n v="14"/>
    <n v="70"/>
    <n v="5"/>
    <n v="572"/>
    <x v="3"/>
    <x v="2"/>
    <n v="6.6666666666666666E-2"/>
  </r>
  <r>
    <x v="275"/>
    <n v="39"/>
    <x v="4"/>
    <n v="77"/>
    <n v="33"/>
    <n v="2541"/>
    <n v="28"/>
    <n v="2156"/>
    <n v="385"/>
    <n v="23"/>
    <x v="4"/>
    <x v="1"/>
    <n v="0.15151515151515152"/>
  </r>
  <r>
    <x v="276"/>
    <n v="30"/>
    <x v="2"/>
    <n v="16"/>
    <n v="12"/>
    <n v="192"/>
    <n v="8"/>
    <n v="128"/>
    <n v="64"/>
    <n v="572"/>
    <x v="3"/>
    <x v="2"/>
    <n v="0.33333333333333331"/>
  </r>
  <r>
    <x v="277"/>
    <n v="98"/>
    <x v="11"/>
    <n v="27"/>
    <n v="18"/>
    <n v="486"/>
    <n v="8"/>
    <n v="216"/>
    <n v="270"/>
    <n v="846"/>
    <x v="7"/>
    <x v="2"/>
    <n v="0.55555555555555558"/>
  </r>
  <r>
    <x v="278"/>
    <n v="31"/>
    <x v="8"/>
    <n v="81"/>
    <n v="21"/>
    <n v="1701"/>
    <n v="12"/>
    <n v="972"/>
    <n v="729"/>
    <n v="572"/>
    <x v="3"/>
    <x v="1"/>
    <n v="0.42857142857142855"/>
  </r>
  <r>
    <x v="279"/>
    <n v="100"/>
    <x v="6"/>
    <n v="55"/>
    <n v="8"/>
    <n v="440"/>
    <n v="4"/>
    <n v="220"/>
    <n v="220"/>
    <n v="95"/>
    <x v="6"/>
    <x v="1"/>
    <n v="0.5"/>
  </r>
  <r>
    <x v="280"/>
    <n v="4"/>
    <x v="7"/>
    <n v="80"/>
    <n v="9"/>
    <n v="720"/>
    <n v="7"/>
    <n v="560"/>
    <n v="160"/>
    <n v="23"/>
    <x v="4"/>
    <x v="2"/>
    <n v="0.22222222222222221"/>
  </r>
  <r>
    <x v="281"/>
    <n v="30"/>
    <x v="2"/>
    <n v="64"/>
    <n v="12"/>
    <n v="768"/>
    <n v="8"/>
    <n v="512"/>
    <n v="256"/>
    <n v="95"/>
    <x v="6"/>
    <x v="0"/>
    <n v="0.33333333333333331"/>
  </r>
  <r>
    <x v="282"/>
    <n v="4"/>
    <x v="7"/>
    <n v="61"/>
    <n v="9"/>
    <n v="549"/>
    <n v="7"/>
    <n v="427"/>
    <n v="122"/>
    <n v="6"/>
    <x v="5"/>
    <x v="2"/>
    <n v="0.22222222222222221"/>
  </r>
  <r>
    <x v="283"/>
    <n v="19"/>
    <x v="10"/>
    <n v="82"/>
    <n v="36"/>
    <n v="2952"/>
    <n v="25"/>
    <n v="2050"/>
    <n v="902"/>
    <n v="686"/>
    <x v="9"/>
    <x v="2"/>
    <n v="0.30555555555555558"/>
  </r>
  <r>
    <x v="284"/>
    <n v="100"/>
    <x v="6"/>
    <n v="9"/>
    <n v="8"/>
    <n v="72"/>
    <n v="4"/>
    <n v="36"/>
    <n v="36"/>
    <n v="846"/>
    <x v="7"/>
    <x v="2"/>
    <n v="0.5"/>
  </r>
  <r>
    <x v="285"/>
    <n v="30"/>
    <x v="2"/>
    <n v="82"/>
    <n v="12"/>
    <n v="984"/>
    <n v="8"/>
    <n v="656"/>
    <n v="328"/>
    <n v="572"/>
    <x v="3"/>
    <x v="2"/>
    <n v="0.33333333333333331"/>
  </r>
  <r>
    <x v="286"/>
    <n v="4"/>
    <x v="7"/>
    <n v="93"/>
    <n v="9"/>
    <n v="837"/>
    <n v="7"/>
    <n v="651"/>
    <n v="186"/>
    <n v="95"/>
    <x v="6"/>
    <x v="2"/>
    <n v="0.22222222222222221"/>
  </r>
  <r>
    <x v="287"/>
    <n v="16"/>
    <x v="1"/>
    <n v="47"/>
    <n v="15"/>
    <n v="705"/>
    <n v="14"/>
    <n v="658"/>
    <n v="47"/>
    <n v="315"/>
    <x v="0"/>
    <x v="2"/>
    <n v="6.6666666666666666E-2"/>
  </r>
  <r>
    <x v="288"/>
    <n v="4"/>
    <x v="7"/>
    <n v="77"/>
    <n v="9"/>
    <n v="693"/>
    <n v="7"/>
    <n v="539"/>
    <n v="154"/>
    <n v="557"/>
    <x v="8"/>
    <x v="2"/>
    <n v="0.22222222222222221"/>
  </r>
  <r>
    <x v="289"/>
    <n v="100"/>
    <x v="6"/>
    <n v="23"/>
    <n v="8"/>
    <n v="184"/>
    <n v="4"/>
    <n v="92"/>
    <n v="92"/>
    <n v="95"/>
    <x v="6"/>
    <x v="2"/>
    <n v="0.5"/>
  </r>
  <r>
    <x v="290"/>
    <n v="100"/>
    <x v="6"/>
    <n v="1"/>
    <n v="8"/>
    <n v="8"/>
    <n v="4"/>
    <n v="4"/>
    <n v="4"/>
    <n v="6"/>
    <x v="5"/>
    <x v="1"/>
    <n v="0.5"/>
  </r>
  <r>
    <x v="291"/>
    <n v="4"/>
    <x v="7"/>
    <n v="76"/>
    <n v="9"/>
    <n v="684"/>
    <n v="7"/>
    <n v="532"/>
    <n v="152"/>
    <n v="572"/>
    <x v="3"/>
    <x v="2"/>
    <n v="0.22222222222222221"/>
  </r>
  <r>
    <x v="292"/>
    <n v="30"/>
    <x v="2"/>
    <n v="97"/>
    <n v="12"/>
    <n v="1164"/>
    <n v="8"/>
    <n v="776"/>
    <n v="388"/>
    <n v="572"/>
    <x v="3"/>
    <x v="2"/>
    <n v="0.33333333333333331"/>
  </r>
  <r>
    <x v="293"/>
    <n v="100"/>
    <x v="6"/>
    <n v="8"/>
    <n v="8"/>
    <n v="64"/>
    <n v="4"/>
    <n v="32"/>
    <n v="32"/>
    <n v="572"/>
    <x v="3"/>
    <x v="1"/>
    <n v="0.5"/>
  </r>
  <r>
    <x v="294"/>
    <n v="22"/>
    <x v="0"/>
    <n v="60"/>
    <n v="24"/>
    <n v="1440"/>
    <n v="18"/>
    <n v="1080"/>
    <n v="360"/>
    <n v="572"/>
    <x v="3"/>
    <x v="2"/>
    <n v="0.25"/>
  </r>
  <r>
    <x v="295"/>
    <n v="31"/>
    <x v="8"/>
    <n v="30"/>
    <n v="21"/>
    <n v="630"/>
    <n v="12"/>
    <n v="360"/>
    <n v="270"/>
    <n v="572"/>
    <x v="3"/>
    <x v="1"/>
    <n v="0.42857142857142855"/>
  </r>
  <r>
    <x v="296"/>
    <n v="16"/>
    <x v="1"/>
    <n v="27"/>
    <n v="15"/>
    <n v="405"/>
    <n v="14"/>
    <n v="378"/>
    <n v="27"/>
    <n v="95"/>
    <x v="6"/>
    <x v="2"/>
    <n v="6.6666666666666666E-2"/>
  </r>
  <r>
    <x v="297"/>
    <n v="16"/>
    <x v="1"/>
    <n v="31"/>
    <n v="15"/>
    <n v="465"/>
    <n v="14"/>
    <n v="434"/>
    <n v="31"/>
    <n v="846"/>
    <x v="7"/>
    <x v="1"/>
    <n v="6.6666666666666666E-2"/>
  </r>
  <r>
    <x v="298"/>
    <n v="22"/>
    <x v="0"/>
    <n v="27"/>
    <n v="24"/>
    <n v="648"/>
    <n v="18"/>
    <n v="486"/>
    <n v="162"/>
    <n v="6"/>
    <x v="5"/>
    <x v="2"/>
    <n v="0.25"/>
  </r>
  <r>
    <x v="299"/>
    <n v="30"/>
    <x v="2"/>
    <n v="34"/>
    <n v="12"/>
    <n v="408"/>
    <n v="8"/>
    <n v="272"/>
    <n v="136"/>
    <n v="14"/>
    <x v="2"/>
    <x v="2"/>
    <n v="0.33333333333333331"/>
  </r>
  <r>
    <x v="300"/>
    <n v="16"/>
    <x v="1"/>
    <n v="45"/>
    <n v="15"/>
    <n v="675"/>
    <n v="14"/>
    <n v="630"/>
    <n v="45"/>
    <n v="846"/>
    <x v="7"/>
    <x v="2"/>
    <n v="6.6666666666666666E-2"/>
  </r>
  <r>
    <x v="301"/>
    <n v="16"/>
    <x v="1"/>
    <n v="40"/>
    <n v="15"/>
    <n v="600"/>
    <n v="14"/>
    <n v="560"/>
    <n v="40"/>
    <n v="6"/>
    <x v="5"/>
    <x v="1"/>
    <n v="6.6666666666666666E-2"/>
  </r>
  <r>
    <x v="302"/>
    <n v="100"/>
    <x v="6"/>
    <n v="45"/>
    <n v="8"/>
    <n v="360"/>
    <n v="4"/>
    <n v="180"/>
    <n v="180"/>
    <n v="557"/>
    <x v="8"/>
    <x v="2"/>
    <n v="0.5"/>
  </r>
  <r>
    <x v="303"/>
    <n v="4"/>
    <x v="7"/>
    <n v="25"/>
    <n v="9"/>
    <n v="225"/>
    <n v="7"/>
    <n v="175"/>
    <n v="50"/>
    <n v="6"/>
    <x v="5"/>
    <x v="2"/>
    <n v="0.22222222222222221"/>
  </r>
  <r>
    <x v="304"/>
    <n v="4"/>
    <x v="7"/>
    <n v="39"/>
    <n v="9"/>
    <n v="351"/>
    <n v="7"/>
    <n v="273"/>
    <n v="78"/>
    <n v="6"/>
    <x v="5"/>
    <x v="2"/>
    <n v="0.22222222222222221"/>
  </r>
  <r>
    <x v="305"/>
    <n v="16"/>
    <x v="1"/>
    <n v="2"/>
    <n v="15"/>
    <n v="30"/>
    <n v="14"/>
    <n v="28"/>
    <n v="2"/>
    <n v="686"/>
    <x v="9"/>
    <x v="1"/>
    <n v="6.6666666666666666E-2"/>
  </r>
  <r>
    <x v="306"/>
    <n v="30"/>
    <x v="2"/>
    <n v="21"/>
    <n v="12"/>
    <n v="252"/>
    <n v="8"/>
    <n v="168"/>
    <n v="84"/>
    <n v="14"/>
    <x v="2"/>
    <x v="2"/>
    <n v="0.33333333333333331"/>
  </r>
  <r>
    <x v="307"/>
    <n v="2"/>
    <x v="3"/>
    <n v="21"/>
    <n v="12"/>
    <n v="252"/>
    <n v="6"/>
    <n v="126"/>
    <n v="126"/>
    <n v="6"/>
    <x v="5"/>
    <x v="1"/>
    <n v="0.5"/>
  </r>
  <r>
    <x v="308"/>
    <n v="30"/>
    <x v="2"/>
    <n v="53"/>
    <n v="12"/>
    <n v="636"/>
    <n v="8"/>
    <n v="424"/>
    <n v="212"/>
    <n v="572"/>
    <x v="3"/>
    <x v="2"/>
    <n v="0.33333333333333331"/>
  </r>
  <r>
    <x v="309"/>
    <n v="16"/>
    <x v="1"/>
    <n v="35"/>
    <n v="15"/>
    <n v="525"/>
    <n v="14"/>
    <n v="490"/>
    <n v="35"/>
    <n v="846"/>
    <x v="7"/>
    <x v="2"/>
    <n v="6.6666666666666666E-2"/>
  </r>
  <r>
    <x v="310"/>
    <n v="30"/>
    <x v="2"/>
    <n v="95"/>
    <n v="12"/>
    <n v="1140"/>
    <n v="8"/>
    <n v="760"/>
    <n v="380"/>
    <n v="572"/>
    <x v="3"/>
    <x v="0"/>
    <n v="0.33333333333333331"/>
  </r>
  <r>
    <x v="311"/>
    <n v="16"/>
    <x v="1"/>
    <n v="6"/>
    <n v="15"/>
    <n v="90"/>
    <n v="14"/>
    <n v="84"/>
    <n v="6"/>
    <n v="572"/>
    <x v="3"/>
    <x v="1"/>
    <n v="6.6666666666666666E-2"/>
  </r>
  <r>
    <x v="312"/>
    <n v="100"/>
    <x v="6"/>
    <n v="82"/>
    <n v="8"/>
    <n v="656"/>
    <n v="4"/>
    <n v="328"/>
    <n v="328"/>
    <n v="23"/>
    <x v="4"/>
    <x v="2"/>
    <n v="0.5"/>
  </r>
  <r>
    <x v="313"/>
    <n v="2"/>
    <x v="3"/>
    <n v="22"/>
    <n v="12"/>
    <n v="264"/>
    <n v="6"/>
    <n v="132"/>
    <n v="132"/>
    <n v="233"/>
    <x v="1"/>
    <x v="2"/>
    <n v="0.5"/>
  </r>
  <r>
    <x v="314"/>
    <n v="31"/>
    <x v="8"/>
    <n v="72"/>
    <n v="21"/>
    <n v="1512"/>
    <n v="12"/>
    <n v="864"/>
    <n v="648"/>
    <n v="6"/>
    <x v="5"/>
    <x v="1"/>
    <n v="0.42857142857142855"/>
  </r>
  <r>
    <x v="315"/>
    <n v="16"/>
    <x v="1"/>
    <n v="64"/>
    <n v="15"/>
    <n v="960"/>
    <n v="14"/>
    <n v="896"/>
    <n v="64"/>
    <n v="23"/>
    <x v="4"/>
    <x v="1"/>
    <n v="6.6666666666666666E-2"/>
  </r>
  <r>
    <x v="316"/>
    <n v="100"/>
    <x v="6"/>
    <n v="74"/>
    <n v="8"/>
    <n v="592"/>
    <n v="4"/>
    <n v="296"/>
    <n v="296"/>
    <n v="95"/>
    <x v="6"/>
    <x v="2"/>
    <n v="0.5"/>
  </r>
  <r>
    <x v="317"/>
    <n v="16"/>
    <x v="1"/>
    <n v="93"/>
    <n v="15"/>
    <n v="1395"/>
    <n v="14"/>
    <n v="1302"/>
    <n v="93"/>
    <n v="6"/>
    <x v="5"/>
    <x v="1"/>
    <n v="6.6666666666666666E-2"/>
  </r>
  <r>
    <x v="318"/>
    <n v="4"/>
    <x v="7"/>
    <n v="67"/>
    <n v="9"/>
    <n v="603"/>
    <n v="7"/>
    <n v="469"/>
    <n v="134"/>
    <n v="233"/>
    <x v="1"/>
    <x v="2"/>
    <n v="0.22222222222222221"/>
  </r>
  <r>
    <x v="319"/>
    <n v="100"/>
    <x v="6"/>
    <n v="10"/>
    <n v="8"/>
    <n v="80"/>
    <n v="4"/>
    <n v="40"/>
    <n v="40"/>
    <n v="686"/>
    <x v="9"/>
    <x v="1"/>
    <n v="0.5"/>
  </r>
  <r>
    <x v="320"/>
    <n v="2"/>
    <x v="3"/>
    <n v="97"/>
    <n v="12"/>
    <n v="1164"/>
    <n v="6"/>
    <n v="582"/>
    <n v="582"/>
    <n v="6"/>
    <x v="5"/>
    <x v="2"/>
    <n v="0.5"/>
  </r>
  <r>
    <x v="321"/>
    <n v="19"/>
    <x v="10"/>
    <n v="8"/>
    <n v="36"/>
    <n v="288"/>
    <n v="25"/>
    <n v="200"/>
    <n v="88"/>
    <n v="846"/>
    <x v="7"/>
    <x v="2"/>
    <n v="0.30555555555555558"/>
  </r>
  <r>
    <x v="322"/>
    <n v="19"/>
    <x v="10"/>
    <n v="60"/>
    <n v="36"/>
    <n v="2160"/>
    <n v="25"/>
    <n v="1500"/>
    <n v="660"/>
    <n v="557"/>
    <x v="8"/>
    <x v="2"/>
    <n v="0.30555555555555558"/>
  </r>
  <r>
    <x v="323"/>
    <n v="4"/>
    <x v="7"/>
    <n v="72"/>
    <n v="9"/>
    <n v="648"/>
    <n v="7"/>
    <n v="504"/>
    <n v="144"/>
    <n v="686"/>
    <x v="9"/>
    <x v="2"/>
    <n v="0.22222222222222221"/>
  </r>
  <r>
    <x v="324"/>
    <n v="98"/>
    <x v="11"/>
    <n v="97"/>
    <n v="18"/>
    <n v="1746"/>
    <n v="8"/>
    <n v="776"/>
    <n v="970"/>
    <n v="23"/>
    <x v="4"/>
    <x v="1"/>
    <n v="0.55555555555555558"/>
  </r>
  <r>
    <x v="325"/>
    <n v="30"/>
    <x v="2"/>
    <n v="42"/>
    <n v="12"/>
    <n v="504"/>
    <n v="8"/>
    <n v="336"/>
    <n v="168"/>
    <n v="572"/>
    <x v="3"/>
    <x v="2"/>
    <n v="0.33333333333333331"/>
  </r>
  <r>
    <x v="326"/>
    <n v="100"/>
    <x v="6"/>
    <n v="70"/>
    <n v="8"/>
    <n v="560"/>
    <n v="4"/>
    <n v="280"/>
    <n v="280"/>
    <n v="572"/>
    <x v="3"/>
    <x v="1"/>
    <n v="0.5"/>
  </r>
  <r>
    <x v="327"/>
    <n v="4"/>
    <x v="7"/>
    <n v="36"/>
    <n v="9"/>
    <n v="324"/>
    <n v="7"/>
    <n v="252"/>
    <n v="72"/>
    <n v="23"/>
    <x v="4"/>
    <x v="2"/>
    <n v="0.22222222222222221"/>
  </r>
  <r>
    <x v="328"/>
    <n v="16"/>
    <x v="1"/>
    <n v="35"/>
    <n v="15"/>
    <n v="525"/>
    <n v="14"/>
    <n v="490"/>
    <n v="35"/>
    <n v="846"/>
    <x v="7"/>
    <x v="1"/>
    <n v="6.6666666666666666E-2"/>
  </r>
  <r>
    <x v="329"/>
    <n v="16"/>
    <x v="1"/>
    <n v="56"/>
    <n v="15"/>
    <n v="840"/>
    <n v="14"/>
    <n v="784"/>
    <n v="56"/>
    <n v="233"/>
    <x v="1"/>
    <x v="1"/>
    <n v="6.6666666666666666E-2"/>
  </r>
  <r>
    <x v="330"/>
    <n v="4"/>
    <x v="7"/>
    <n v="9"/>
    <n v="9"/>
    <n v="81"/>
    <n v="7"/>
    <n v="63"/>
    <n v="18"/>
    <n v="686"/>
    <x v="9"/>
    <x v="1"/>
    <n v="0.22222222222222221"/>
  </r>
  <r>
    <x v="331"/>
    <n v="100"/>
    <x v="6"/>
    <n v="90"/>
    <n v="8"/>
    <n v="720"/>
    <n v="4"/>
    <n v="360"/>
    <n v="360"/>
    <n v="846"/>
    <x v="7"/>
    <x v="2"/>
    <n v="0.5"/>
  </r>
  <r>
    <x v="332"/>
    <n v="30"/>
    <x v="2"/>
    <n v="35"/>
    <n v="12"/>
    <n v="420"/>
    <n v="8"/>
    <n v="280"/>
    <n v="140"/>
    <n v="14"/>
    <x v="2"/>
    <x v="2"/>
    <n v="0.33333333333333331"/>
  </r>
  <r>
    <x v="333"/>
    <n v="4"/>
    <x v="7"/>
    <n v="76"/>
    <n v="9"/>
    <n v="684"/>
    <n v="7"/>
    <n v="532"/>
    <n v="152"/>
    <n v="6"/>
    <x v="5"/>
    <x v="1"/>
    <n v="0.22222222222222221"/>
  </r>
  <r>
    <x v="334"/>
    <n v="100"/>
    <x v="6"/>
    <n v="4"/>
    <n v="8"/>
    <n v="32"/>
    <n v="4"/>
    <n v="16"/>
    <n v="16"/>
    <n v="14"/>
    <x v="2"/>
    <x v="1"/>
    <n v="0.5"/>
  </r>
  <r>
    <x v="335"/>
    <n v="16"/>
    <x v="1"/>
    <n v="69"/>
    <n v="15"/>
    <n v="1035"/>
    <n v="14"/>
    <n v="966"/>
    <n v="69"/>
    <n v="572"/>
    <x v="3"/>
    <x v="2"/>
    <n v="6.6666666666666666E-2"/>
  </r>
  <r>
    <x v="336"/>
    <n v="31"/>
    <x v="8"/>
    <n v="2"/>
    <n v="21"/>
    <n v="42"/>
    <n v="12"/>
    <n v="24"/>
    <n v="18"/>
    <n v="557"/>
    <x v="8"/>
    <x v="2"/>
    <n v="0.42857142857142855"/>
  </r>
  <r>
    <x v="337"/>
    <n v="4"/>
    <x v="7"/>
    <n v="77"/>
    <n v="9"/>
    <n v="693"/>
    <n v="7"/>
    <n v="539"/>
    <n v="154"/>
    <n v="6"/>
    <x v="5"/>
    <x v="2"/>
    <n v="0.22222222222222221"/>
  </r>
  <r>
    <x v="338"/>
    <n v="31"/>
    <x v="8"/>
    <n v="20"/>
    <n v="21"/>
    <n v="420"/>
    <n v="12"/>
    <n v="240"/>
    <n v="180"/>
    <n v="23"/>
    <x v="4"/>
    <x v="1"/>
    <n v="0.42857142857142855"/>
  </r>
  <r>
    <x v="339"/>
    <n v="16"/>
    <x v="1"/>
    <n v="32"/>
    <n v="15"/>
    <n v="480"/>
    <n v="14"/>
    <n v="448"/>
    <n v="32"/>
    <n v="23"/>
    <x v="4"/>
    <x v="1"/>
    <n v="6.6666666666666666E-2"/>
  </r>
  <r>
    <x v="340"/>
    <n v="4"/>
    <x v="7"/>
    <n v="39"/>
    <n v="9"/>
    <n v="351"/>
    <n v="7"/>
    <n v="273"/>
    <n v="78"/>
    <n v="14"/>
    <x v="2"/>
    <x v="2"/>
    <n v="0.22222222222222221"/>
  </r>
  <r>
    <x v="341"/>
    <n v="6"/>
    <x v="9"/>
    <n v="1"/>
    <n v="55"/>
    <n v="55"/>
    <n v="25"/>
    <n v="25"/>
    <n v="30"/>
    <n v="6"/>
    <x v="5"/>
    <x v="2"/>
    <n v="0.54545454545454541"/>
  </r>
  <r>
    <x v="342"/>
    <n v="22"/>
    <x v="0"/>
    <n v="79"/>
    <n v="24"/>
    <n v="1896"/>
    <n v="18"/>
    <n v="1422"/>
    <n v="474"/>
    <n v="572"/>
    <x v="3"/>
    <x v="2"/>
    <n v="0.25"/>
  </r>
  <r>
    <x v="343"/>
    <n v="16"/>
    <x v="1"/>
    <n v="41"/>
    <n v="15"/>
    <n v="615"/>
    <n v="14"/>
    <n v="574"/>
    <n v="41"/>
    <n v="6"/>
    <x v="5"/>
    <x v="1"/>
    <n v="6.6666666666666666E-2"/>
  </r>
  <r>
    <x v="344"/>
    <n v="4"/>
    <x v="7"/>
    <n v="33"/>
    <n v="9"/>
    <n v="297"/>
    <n v="7"/>
    <n v="231"/>
    <n v="66"/>
    <n v="686"/>
    <x v="9"/>
    <x v="2"/>
    <n v="0.22222222222222221"/>
  </r>
  <r>
    <x v="345"/>
    <n v="22"/>
    <x v="0"/>
    <n v="92"/>
    <n v="24"/>
    <n v="2208"/>
    <n v="18"/>
    <n v="1656"/>
    <n v="552"/>
    <n v="6"/>
    <x v="5"/>
    <x v="2"/>
    <n v="0.25"/>
  </r>
  <r>
    <x v="346"/>
    <n v="30"/>
    <x v="2"/>
    <n v="15"/>
    <n v="12"/>
    <n v="180"/>
    <n v="8"/>
    <n v="120"/>
    <n v="60"/>
    <n v="95"/>
    <x v="6"/>
    <x v="2"/>
    <n v="0.33333333333333331"/>
  </r>
  <r>
    <x v="347"/>
    <n v="4"/>
    <x v="7"/>
    <n v="20"/>
    <n v="9"/>
    <n v="180"/>
    <n v="7"/>
    <n v="140"/>
    <n v="40"/>
    <n v="6"/>
    <x v="5"/>
    <x v="1"/>
    <n v="0.22222222222222221"/>
  </r>
  <r>
    <x v="348"/>
    <n v="100"/>
    <x v="6"/>
    <n v="13"/>
    <n v="8"/>
    <n v="104"/>
    <n v="4"/>
    <n v="52"/>
    <n v="52"/>
    <n v="572"/>
    <x v="3"/>
    <x v="2"/>
    <n v="0.5"/>
  </r>
  <r>
    <x v="349"/>
    <n v="22"/>
    <x v="0"/>
    <n v="17"/>
    <n v="24"/>
    <n v="408"/>
    <n v="18"/>
    <n v="306"/>
    <n v="102"/>
    <n v="6"/>
    <x v="5"/>
    <x v="2"/>
    <n v="0.25"/>
  </r>
  <r>
    <x v="350"/>
    <n v="4"/>
    <x v="7"/>
    <n v="19"/>
    <n v="9"/>
    <n v="171"/>
    <n v="7"/>
    <n v="133"/>
    <n v="38"/>
    <n v="572"/>
    <x v="3"/>
    <x v="2"/>
    <n v="0.22222222222222221"/>
  </r>
  <r>
    <x v="351"/>
    <n v="30"/>
    <x v="2"/>
    <n v="74"/>
    <n v="12"/>
    <n v="888"/>
    <n v="8"/>
    <n v="592"/>
    <n v="296"/>
    <n v="846"/>
    <x v="7"/>
    <x v="0"/>
    <n v="0.33333333333333331"/>
  </r>
  <r>
    <x v="352"/>
    <n v="100"/>
    <x v="6"/>
    <n v="62"/>
    <n v="8"/>
    <n v="496"/>
    <n v="4"/>
    <n v="248"/>
    <n v="248"/>
    <n v="557"/>
    <x v="8"/>
    <x v="0"/>
    <n v="0.5"/>
  </r>
  <r>
    <x v="353"/>
    <n v="2"/>
    <x v="3"/>
    <n v="90"/>
    <n v="12"/>
    <n v="1080"/>
    <n v="6"/>
    <n v="540"/>
    <n v="540"/>
    <n v="572"/>
    <x v="3"/>
    <x v="2"/>
    <n v="0.5"/>
  </r>
  <r>
    <x v="354"/>
    <n v="30"/>
    <x v="2"/>
    <n v="78"/>
    <n v="12"/>
    <n v="936"/>
    <n v="8"/>
    <n v="624"/>
    <n v="312"/>
    <n v="557"/>
    <x v="8"/>
    <x v="2"/>
    <n v="0.33333333333333331"/>
  </r>
  <r>
    <x v="355"/>
    <n v="30"/>
    <x v="2"/>
    <n v="63"/>
    <n v="12"/>
    <n v="756"/>
    <n v="8"/>
    <n v="504"/>
    <n v="252"/>
    <n v="315"/>
    <x v="0"/>
    <x v="0"/>
    <n v="0.33333333333333331"/>
  </r>
  <r>
    <x v="356"/>
    <n v="39"/>
    <x v="4"/>
    <n v="34"/>
    <n v="33"/>
    <n v="1122"/>
    <n v="28"/>
    <n v="952"/>
    <n v="170"/>
    <n v="95"/>
    <x v="6"/>
    <x v="2"/>
    <n v="0.15151515151515152"/>
  </r>
  <r>
    <x v="357"/>
    <n v="16"/>
    <x v="1"/>
    <n v="8"/>
    <n v="15"/>
    <n v="120"/>
    <n v="14"/>
    <n v="112"/>
    <n v="8"/>
    <n v="6"/>
    <x v="5"/>
    <x v="1"/>
    <n v="6.6666666666666666E-2"/>
  </r>
  <r>
    <x v="358"/>
    <n v="19"/>
    <x v="10"/>
    <n v="56"/>
    <n v="36"/>
    <n v="2016"/>
    <n v="25"/>
    <n v="1400"/>
    <n v="616"/>
    <n v="846"/>
    <x v="7"/>
    <x v="2"/>
    <n v="0.30555555555555558"/>
  </r>
  <r>
    <x v="359"/>
    <n v="39"/>
    <x v="4"/>
    <n v="32"/>
    <n v="33"/>
    <n v="1056"/>
    <n v="28"/>
    <n v="896"/>
    <n v="160"/>
    <n v="572"/>
    <x v="3"/>
    <x v="2"/>
    <n v="0.15151515151515152"/>
  </r>
  <r>
    <x v="360"/>
    <n v="100"/>
    <x v="6"/>
    <n v="52"/>
    <n v="8"/>
    <n v="416"/>
    <n v="4"/>
    <n v="208"/>
    <n v="208"/>
    <n v="23"/>
    <x v="4"/>
    <x v="1"/>
    <n v="0.5"/>
  </r>
  <r>
    <x v="361"/>
    <n v="31"/>
    <x v="8"/>
    <n v="97"/>
    <n v="21"/>
    <n v="2037"/>
    <n v="12"/>
    <n v="1164"/>
    <n v="873"/>
    <n v="233"/>
    <x v="1"/>
    <x v="1"/>
    <n v="0.42857142857142855"/>
  </r>
  <r>
    <x v="362"/>
    <n v="100"/>
    <x v="6"/>
    <n v="79"/>
    <n v="8"/>
    <n v="632"/>
    <n v="4"/>
    <n v="316"/>
    <n v="316"/>
    <n v="95"/>
    <x v="6"/>
    <x v="2"/>
    <n v="0.5"/>
  </r>
  <r>
    <x v="363"/>
    <n v="4"/>
    <x v="7"/>
    <n v="70"/>
    <n v="9"/>
    <n v="630"/>
    <n v="7"/>
    <n v="490"/>
    <n v="140"/>
    <n v="23"/>
    <x v="4"/>
    <x v="1"/>
    <n v="0.22222222222222221"/>
  </r>
  <r>
    <x v="364"/>
    <n v="98"/>
    <x v="11"/>
    <n v="98"/>
    <n v="18"/>
    <n v="1764"/>
    <n v="8"/>
    <n v="784"/>
    <n v="980"/>
    <n v="846"/>
    <x v="7"/>
    <x v="2"/>
    <n v="0.55555555555555558"/>
  </r>
  <r>
    <x v="365"/>
    <n v="30"/>
    <x v="2"/>
    <n v="14"/>
    <n v="12"/>
    <n v="168"/>
    <n v="8"/>
    <n v="112"/>
    <n v="56"/>
    <n v="95"/>
    <x v="6"/>
    <x v="2"/>
    <n v="0.33333333333333331"/>
  </r>
  <r>
    <x v="366"/>
    <n v="4"/>
    <x v="7"/>
    <n v="59"/>
    <n v="9"/>
    <n v="531"/>
    <n v="7"/>
    <n v="413"/>
    <n v="118"/>
    <n v="686"/>
    <x v="9"/>
    <x v="1"/>
    <n v="0.22222222222222221"/>
  </r>
  <r>
    <x v="367"/>
    <n v="2"/>
    <x v="3"/>
    <n v="82"/>
    <n v="12"/>
    <n v="984"/>
    <n v="6"/>
    <n v="492"/>
    <n v="492"/>
    <n v="572"/>
    <x v="3"/>
    <x v="2"/>
    <n v="0.5"/>
  </r>
  <r>
    <x v="368"/>
    <n v="31"/>
    <x v="8"/>
    <n v="79"/>
    <n v="21"/>
    <n v="1659"/>
    <n v="12"/>
    <n v="948"/>
    <n v="711"/>
    <n v="846"/>
    <x v="7"/>
    <x v="2"/>
    <n v="0.42857142857142855"/>
  </r>
  <r>
    <x v="369"/>
    <n v="4"/>
    <x v="7"/>
    <n v="7"/>
    <n v="9"/>
    <n v="63"/>
    <n v="7"/>
    <n v="49"/>
    <n v="14"/>
    <n v="6"/>
    <x v="5"/>
    <x v="2"/>
    <n v="0.22222222222222221"/>
  </r>
  <r>
    <x v="370"/>
    <n v="30"/>
    <x v="2"/>
    <n v="48"/>
    <n v="12"/>
    <n v="576"/>
    <n v="8"/>
    <n v="384"/>
    <n v="192"/>
    <n v="572"/>
    <x v="3"/>
    <x v="2"/>
    <n v="0.33333333333333331"/>
  </r>
  <r>
    <x v="371"/>
    <n v="39"/>
    <x v="4"/>
    <n v="24"/>
    <n v="33"/>
    <n v="792"/>
    <n v="28"/>
    <n v="672"/>
    <n v="120"/>
    <n v="23"/>
    <x v="4"/>
    <x v="1"/>
    <n v="0.15151515151515152"/>
  </r>
  <r>
    <x v="372"/>
    <n v="22"/>
    <x v="0"/>
    <n v="49"/>
    <n v="24"/>
    <n v="1176"/>
    <n v="18"/>
    <n v="882"/>
    <n v="294"/>
    <n v="572"/>
    <x v="3"/>
    <x v="2"/>
    <n v="0.25"/>
  </r>
  <r>
    <x v="373"/>
    <n v="4"/>
    <x v="7"/>
    <n v="77"/>
    <n v="9"/>
    <n v="693"/>
    <n v="7"/>
    <n v="539"/>
    <n v="154"/>
    <n v="572"/>
    <x v="3"/>
    <x v="1"/>
    <n v="0.22222222222222221"/>
  </r>
  <r>
    <x v="374"/>
    <n v="100"/>
    <x v="6"/>
    <n v="61"/>
    <n v="8"/>
    <n v="488"/>
    <n v="4"/>
    <n v="244"/>
    <n v="244"/>
    <n v="14"/>
    <x v="2"/>
    <x v="1"/>
    <n v="0.5"/>
  </r>
  <r>
    <x v="375"/>
    <n v="16"/>
    <x v="1"/>
    <n v="24"/>
    <n v="15"/>
    <n v="360"/>
    <n v="14"/>
    <n v="336"/>
    <n v="24"/>
    <n v="557"/>
    <x v="8"/>
    <x v="2"/>
    <n v="6.6666666666666666E-2"/>
  </r>
  <r>
    <x v="376"/>
    <n v="16"/>
    <x v="1"/>
    <n v="64"/>
    <n v="15"/>
    <n v="960"/>
    <n v="14"/>
    <n v="896"/>
    <n v="64"/>
    <n v="95"/>
    <x v="6"/>
    <x v="2"/>
    <n v="6.6666666666666666E-2"/>
  </r>
  <r>
    <x v="377"/>
    <n v="4"/>
    <x v="7"/>
    <n v="37"/>
    <n v="9"/>
    <n v="333"/>
    <n v="7"/>
    <n v="259"/>
    <n v="74"/>
    <n v="572"/>
    <x v="3"/>
    <x v="1"/>
    <n v="0.22222222222222221"/>
  </r>
  <r>
    <x v="378"/>
    <n v="30"/>
    <x v="2"/>
    <n v="91"/>
    <n v="12"/>
    <n v="1092"/>
    <n v="8"/>
    <n v="728"/>
    <n v="364"/>
    <n v="23"/>
    <x v="4"/>
    <x v="2"/>
    <n v="0.33333333333333331"/>
  </r>
  <r>
    <x v="379"/>
    <n v="4"/>
    <x v="7"/>
    <n v="78"/>
    <n v="9"/>
    <n v="702"/>
    <n v="7"/>
    <n v="546"/>
    <n v="156"/>
    <n v="14"/>
    <x v="2"/>
    <x v="1"/>
    <n v="0.22222222222222221"/>
  </r>
  <r>
    <x v="380"/>
    <n v="30"/>
    <x v="2"/>
    <n v="95"/>
    <n v="12"/>
    <n v="1140"/>
    <n v="8"/>
    <n v="760"/>
    <n v="380"/>
    <n v="23"/>
    <x v="4"/>
    <x v="2"/>
    <n v="0.33333333333333331"/>
  </r>
  <r>
    <x v="381"/>
    <n v="30"/>
    <x v="2"/>
    <n v="46"/>
    <n v="12"/>
    <n v="552"/>
    <n v="8"/>
    <n v="368"/>
    <n v="184"/>
    <n v="572"/>
    <x v="3"/>
    <x v="2"/>
    <n v="0.33333333333333331"/>
  </r>
  <r>
    <x v="382"/>
    <n v="16"/>
    <x v="1"/>
    <n v="46"/>
    <n v="15"/>
    <n v="690"/>
    <n v="14"/>
    <n v="644"/>
    <n v="46"/>
    <n v="557"/>
    <x v="8"/>
    <x v="2"/>
    <n v="6.6666666666666666E-2"/>
  </r>
  <r>
    <x v="383"/>
    <n v="100"/>
    <x v="6"/>
    <n v="65"/>
    <n v="8"/>
    <n v="520"/>
    <n v="4"/>
    <n v="260"/>
    <n v="260"/>
    <n v="846"/>
    <x v="7"/>
    <x v="0"/>
    <n v="0.5"/>
  </r>
  <r>
    <x v="384"/>
    <n v="31"/>
    <x v="8"/>
    <n v="25"/>
    <n v="21"/>
    <n v="525"/>
    <n v="12"/>
    <n v="300"/>
    <n v="225"/>
    <n v="572"/>
    <x v="3"/>
    <x v="2"/>
    <n v="0.42857142857142855"/>
  </r>
  <r>
    <x v="385"/>
    <n v="98"/>
    <x v="11"/>
    <n v="60"/>
    <n v="18"/>
    <n v="1080"/>
    <n v="8"/>
    <n v="480"/>
    <n v="600"/>
    <n v="6"/>
    <x v="5"/>
    <x v="1"/>
    <n v="0.55555555555555558"/>
  </r>
  <r>
    <x v="386"/>
    <n v="31"/>
    <x v="8"/>
    <n v="78"/>
    <n v="21"/>
    <n v="1638"/>
    <n v="12"/>
    <n v="936"/>
    <n v="702"/>
    <n v="572"/>
    <x v="3"/>
    <x v="1"/>
    <n v="0.42857142857142855"/>
  </r>
  <r>
    <x v="387"/>
    <n v="16"/>
    <x v="1"/>
    <n v="36"/>
    <n v="15"/>
    <n v="540"/>
    <n v="14"/>
    <n v="504"/>
    <n v="36"/>
    <n v="686"/>
    <x v="9"/>
    <x v="1"/>
    <n v="6.6666666666666666E-2"/>
  </r>
  <r>
    <x v="388"/>
    <n v="22"/>
    <x v="0"/>
    <n v="36"/>
    <n v="24"/>
    <n v="864"/>
    <n v="18"/>
    <n v="648"/>
    <n v="216"/>
    <n v="95"/>
    <x v="6"/>
    <x v="0"/>
    <n v="0.25"/>
  </r>
  <r>
    <x v="389"/>
    <n v="4"/>
    <x v="7"/>
    <n v="75"/>
    <n v="9"/>
    <n v="675"/>
    <n v="7"/>
    <n v="525"/>
    <n v="150"/>
    <n v="6"/>
    <x v="5"/>
    <x v="2"/>
    <n v="0.22222222222222221"/>
  </r>
  <r>
    <x v="390"/>
    <n v="16"/>
    <x v="1"/>
    <n v="91"/>
    <n v="15"/>
    <n v="1365"/>
    <n v="14"/>
    <n v="1274"/>
    <n v="91"/>
    <n v="14"/>
    <x v="2"/>
    <x v="2"/>
    <n v="6.6666666666666666E-2"/>
  </r>
  <r>
    <x v="391"/>
    <n v="4"/>
    <x v="7"/>
    <n v="74"/>
    <n v="9"/>
    <n v="666"/>
    <n v="7"/>
    <n v="518"/>
    <n v="148"/>
    <n v="23"/>
    <x v="4"/>
    <x v="2"/>
    <n v="0.22222222222222221"/>
  </r>
  <r>
    <x v="392"/>
    <n v="16"/>
    <x v="1"/>
    <n v="5"/>
    <n v="15"/>
    <n v="75"/>
    <n v="14"/>
    <n v="70"/>
    <n v="5"/>
    <n v="6"/>
    <x v="5"/>
    <x v="2"/>
    <n v="6.6666666666666666E-2"/>
  </r>
  <r>
    <x v="393"/>
    <n v="100"/>
    <x v="6"/>
    <n v="43"/>
    <n v="8"/>
    <n v="344"/>
    <n v="4"/>
    <n v="172"/>
    <n v="172"/>
    <n v="14"/>
    <x v="2"/>
    <x v="1"/>
    <n v="0.5"/>
  </r>
  <r>
    <x v="394"/>
    <n v="30"/>
    <x v="2"/>
    <n v="94"/>
    <n v="12"/>
    <n v="1128"/>
    <n v="8"/>
    <n v="752"/>
    <n v="376"/>
    <n v="572"/>
    <x v="3"/>
    <x v="0"/>
    <n v="0.33333333333333331"/>
  </r>
  <r>
    <x v="395"/>
    <n v="31"/>
    <x v="8"/>
    <n v="57"/>
    <n v="21"/>
    <n v="1197"/>
    <n v="12"/>
    <n v="684"/>
    <n v="513"/>
    <n v="686"/>
    <x v="9"/>
    <x v="1"/>
    <n v="0.42857142857142855"/>
  </r>
  <r>
    <x v="396"/>
    <n v="100"/>
    <x v="6"/>
    <n v="69"/>
    <n v="8"/>
    <n v="552"/>
    <n v="4"/>
    <n v="276"/>
    <n v="276"/>
    <n v="6"/>
    <x v="5"/>
    <x v="1"/>
    <n v="0.5"/>
  </r>
  <r>
    <x v="397"/>
    <n v="4"/>
    <x v="7"/>
    <n v="37"/>
    <n v="9"/>
    <n v="333"/>
    <n v="7"/>
    <n v="259"/>
    <n v="74"/>
    <n v="846"/>
    <x v="7"/>
    <x v="2"/>
    <n v="0.22222222222222221"/>
  </r>
  <r>
    <x v="398"/>
    <n v="16"/>
    <x v="1"/>
    <n v="90"/>
    <n v="15"/>
    <n v="1350"/>
    <n v="14"/>
    <n v="1260"/>
    <n v="90"/>
    <n v="572"/>
    <x v="3"/>
    <x v="2"/>
    <n v="6.6666666666666666E-2"/>
  </r>
  <r>
    <x v="399"/>
    <n v="31"/>
    <x v="8"/>
    <n v="7"/>
    <n v="21"/>
    <n v="147"/>
    <n v="12"/>
    <n v="84"/>
    <n v="63"/>
    <n v="846"/>
    <x v="7"/>
    <x v="0"/>
    <n v="0.42857142857142855"/>
  </r>
  <r>
    <x v="400"/>
    <n v="2"/>
    <x v="3"/>
    <n v="72"/>
    <n v="12"/>
    <n v="864"/>
    <n v="6"/>
    <n v="432"/>
    <n v="432"/>
    <n v="686"/>
    <x v="9"/>
    <x v="1"/>
    <n v="0.5"/>
  </r>
  <r>
    <x v="401"/>
    <n v="85"/>
    <x v="5"/>
    <n v="45"/>
    <n v="53"/>
    <n v="2385"/>
    <n v="35"/>
    <n v="1575"/>
    <n v="810"/>
    <n v="14"/>
    <x v="2"/>
    <x v="1"/>
    <n v="0.33962264150943394"/>
  </r>
  <r>
    <x v="402"/>
    <n v="6"/>
    <x v="9"/>
    <n v="52"/>
    <n v="55"/>
    <n v="2860"/>
    <n v="25"/>
    <n v="1300"/>
    <n v="1560"/>
    <n v="14"/>
    <x v="2"/>
    <x v="2"/>
    <n v="0.54545454545454541"/>
  </r>
  <r>
    <x v="403"/>
    <n v="16"/>
    <x v="1"/>
    <n v="92"/>
    <n v="15"/>
    <n v="1380"/>
    <n v="14"/>
    <n v="1288"/>
    <n v="92"/>
    <n v="95"/>
    <x v="6"/>
    <x v="2"/>
    <n v="6.6666666666666666E-2"/>
  </r>
  <r>
    <x v="404"/>
    <n v="100"/>
    <x v="6"/>
    <n v="55"/>
    <n v="8"/>
    <n v="440"/>
    <n v="4"/>
    <n v="220"/>
    <n v="220"/>
    <n v="572"/>
    <x v="3"/>
    <x v="2"/>
    <n v="0.5"/>
  </r>
  <r>
    <x v="405"/>
    <n v="31"/>
    <x v="8"/>
    <n v="72"/>
    <n v="21"/>
    <n v="1512"/>
    <n v="12"/>
    <n v="864"/>
    <n v="648"/>
    <n v="95"/>
    <x v="6"/>
    <x v="0"/>
    <n v="0.42857142857142855"/>
  </r>
  <r>
    <x v="406"/>
    <n v="31"/>
    <x v="8"/>
    <n v="66"/>
    <n v="21"/>
    <n v="1386"/>
    <n v="12"/>
    <n v="792"/>
    <n v="594"/>
    <n v="6"/>
    <x v="5"/>
    <x v="1"/>
    <n v="0.42857142857142855"/>
  </r>
  <r>
    <x v="407"/>
    <n v="22"/>
    <x v="0"/>
    <n v="27"/>
    <n v="24"/>
    <n v="648"/>
    <n v="18"/>
    <n v="486"/>
    <n v="162"/>
    <n v="686"/>
    <x v="9"/>
    <x v="2"/>
    <n v="0.25"/>
  </r>
  <r>
    <x v="408"/>
    <n v="31"/>
    <x v="8"/>
    <n v="86"/>
    <n v="21"/>
    <n v="1806"/>
    <n v="12"/>
    <n v="1032"/>
    <n v="774"/>
    <n v="14"/>
    <x v="2"/>
    <x v="1"/>
    <n v="0.42857142857142855"/>
  </r>
  <r>
    <x v="409"/>
    <n v="4"/>
    <x v="7"/>
    <n v="57"/>
    <n v="9"/>
    <n v="513"/>
    <n v="7"/>
    <n v="399"/>
    <n v="114"/>
    <n v="572"/>
    <x v="3"/>
    <x v="2"/>
    <n v="0.22222222222222221"/>
  </r>
  <r>
    <x v="410"/>
    <n v="19"/>
    <x v="10"/>
    <n v="49"/>
    <n v="36"/>
    <n v="1764"/>
    <n v="25"/>
    <n v="1225"/>
    <n v="539"/>
    <n v="14"/>
    <x v="2"/>
    <x v="2"/>
    <n v="0.30555555555555558"/>
  </r>
  <r>
    <x v="411"/>
    <n v="100"/>
    <x v="6"/>
    <n v="33"/>
    <n v="8"/>
    <n v="264"/>
    <n v="4"/>
    <n v="132"/>
    <n v="132"/>
    <n v="572"/>
    <x v="3"/>
    <x v="1"/>
    <n v="0.5"/>
  </r>
  <r>
    <x v="412"/>
    <n v="22"/>
    <x v="0"/>
    <n v="48"/>
    <n v="24"/>
    <n v="1152"/>
    <n v="18"/>
    <n v="864"/>
    <n v="288"/>
    <n v="14"/>
    <x v="2"/>
    <x v="2"/>
    <n v="0.25"/>
  </r>
  <r>
    <x v="413"/>
    <n v="22"/>
    <x v="0"/>
    <n v="97"/>
    <n v="24"/>
    <n v="2328"/>
    <n v="18"/>
    <n v="1746"/>
    <n v="582"/>
    <n v="572"/>
    <x v="3"/>
    <x v="2"/>
    <n v="0.25"/>
  </r>
  <r>
    <x v="414"/>
    <n v="4"/>
    <x v="7"/>
    <n v="67"/>
    <n v="9"/>
    <n v="603"/>
    <n v="7"/>
    <n v="469"/>
    <n v="134"/>
    <n v="572"/>
    <x v="3"/>
    <x v="2"/>
    <n v="0.22222222222222221"/>
  </r>
  <r>
    <x v="415"/>
    <n v="39"/>
    <x v="4"/>
    <n v="58"/>
    <n v="33"/>
    <n v="1914"/>
    <n v="28"/>
    <n v="1624"/>
    <n v="290"/>
    <n v="233"/>
    <x v="1"/>
    <x v="1"/>
    <n v="0.15151515151515152"/>
  </r>
  <r>
    <x v="416"/>
    <n v="31"/>
    <x v="8"/>
    <n v="75"/>
    <n v="21"/>
    <n v="1575"/>
    <n v="12"/>
    <n v="900"/>
    <n v="675"/>
    <n v="6"/>
    <x v="5"/>
    <x v="2"/>
    <n v="0.42857142857142855"/>
  </r>
  <r>
    <x v="417"/>
    <n v="6"/>
    <x v="9"/>
    <n v="41"/>
    <n v="55"/>
    <n v="2255"/>
    <n v="25"/>
    <n v="1025"/>
    <n v="1230"/>
    <n v="14"/>
    <x v="2"/>
    <x v="2"/>
    <n v="0.54545454545454541"/>
  </r>
  <r>
    <x v="418"/>
    <n v="4"/>
    <x v="7"/>
    <n v="83"/>
    <n v="9"/>
    <n v="747"/>
    <n v="7"/>
    <n v="581"/>
    <n v="166"/>
    <n v="233"/>
    <x v="1"/>
    <x v="2"/>
    <n v="0.22222222222222221"/>
  </r>
  <r>
    <x v="419"/>
    <n v="31"/>
    <x v="8"/>
    <n v="65"/>
    <n v="21"/>
    <n v="1365"/>
    <n v="12"/>
    <n v="780"/>
    <n v="585"/>
    <n v="572"/>
    <x v="3"/>
    <x v="1"/>
    <n v="0.42857142857142855"/>
  </r>
  <r>
    <x v="420"/>
    <n v="39"/>
    <x v="4"/>
    <n v="50"/>
    <n v="33"/>
    <n v="1650"/>
    <n v="28"/>
    <n v="1400"/>
    <n v="250"/>
    <n v="6"/>
    <x v="5"/>
    <x v="1"/>
    <n v="0.15151515151515152"/>
  </r>
  <r>
    <x v="421"/>
    <n v="16"/>
    <x v="1"/>
    <n v="1"/>
    <n v="15"/>
    <n v="15"/>
    <n v="14"/>
    <n v="14"/>
    <n v="1"/>
    <n v="95"/>
    <x v="6"/>
    <x v="2"/>
    <n v="6.6666666666666666E-2"/>
  </r>
  <r>
    <x v="422"/>
    <n v="16"/>
    <x v="1"/>
    <n v="6"/>
    <n v="15"/>
    <n v="90"/>
    <n v="14"/>
    <n v="84"/>
    <n v="6"/>
    <n v="846"/>
    <x v="7"/>
    <x v="0"/>
    <n v="6.6666666666666666E-2"/>
  </r>
  <r>
    <x v="423"/>
    <n v="16"/>
    <x v="1"/>
    <n v="87"/>
    <n v="15"/>
    <n v="1305"/>
    <n v="14"/>
    <n v="1218"/>
    <n v="87"/>
    <n v="572"/>
    <x v="3"/>
    <x v="0"/>
    <n v="6.6666666666666666E-2"/>
  </r>
  <r>
    <x v="424"/>
    <n v="100"/>
    <x v="6"/>
    <n v="78"/>
    <n v="8"/>
    <n v="624"/>
    <n v="4"/>
    <n v="312"/>
    <n v="312"/>
    <n v="95"/>
    <x v="6"/>
    <x v="2"/>
    <n v="0.5"/>
  </r>
  <r>
    <x v="425"/>
    <n v="16"/>
    <x v="1"/>
    <n v="66"/>
    <n v="15"/>
    <n v="990"/>
    <n v="14"/>
    <n v="924"/>
    <n v="66"/>
    <n v="572"/>
    <x v="3"/>
    <x v="2"/>
    <n v="6.6666666666666666E-2"/>
  </r>
  <r>
    <x v="426"/>
    <n v="2"/>
    <x v="3"/>
    <n v="38"/>
    <n v="12"/>
    <n v="456"/>
    <n v="6"/>
    <n v="228"/>
    <n v="228"/>
    <n v="23"/>
    <x v="4"/>
    <x v="2"/>
    <n v="0.5"/>
  </r>
  <r>
    <x v="427"/>
    <n v="30"/>
    <x v="2"/>
    <n v="55"/>
    <n v="12"/>
    <n v="660"/>
    <n v="8"/>
    <n v="440"/>
    <n v="220"/>
    <n v="6"/>
    <x v="5"/>
    <x v="2"/>
    <n v="0.33333333333333331"/>
  </r>
  <r>
    <x v="428"/>
    <n v="16"/>
    <x v="1"/>
    <n v="4"/>
    <n v="15"/>
    <n v="60"/>
    <n v="14"/>
    <n v="56"/>
    <n v="4"/>
    <n v="686"/>
    <x v="9"/>
    <x v="2"/>
    <n v="6.6666666666666666E-2"/>
  </r>
  <r>
    <x v="429"/>
    <n v="19"/>
    <x v="10"/>
    <n v="64"/>
    <n v="36"/>
    <n v="2304"/>
    <n v="25"/>
    <n v="1600"/>
    <n v="704"/>
    <n v="6"/>
    <x v="5"/>
    <x v="2"/>
    <n v="0.30555555555555558"/>
  </r>
  <r>
    <x v="430"/>
    <n v="31"/>
    <x v="8"/>
    <n v="93"/>
    <n v="21"/>
    <n v="1953"/>
    <n v="12"/>
    <n v="1116"/>
    <n v="837"/>
    <n v="846"/>
    <x v="7"/>
    <x v="1"/>
    <n v="0.42857142857142855"/>
  </r>
  <r>
    <x v="431"/>
    <n v="4"/>
    <x v="7"/>
    <n v="63"/>
    <n v="9"/>
    <n v="567"/>
    <n v="7"/>
    <n v="441"/>
    <n v="126"/>
    <n v="95"/>
    <x v="6"/>
    <x v="2"/>
    <n v="0.22222222222222221"/>
  </r>
  <r>
    <x v="432"/>
    <n v="16"/>
    <x v="1"/>
    <n v="44"/>
    <n v="15"/>
    <n v="660"/>
    <n v="14"/>
    <n v="616"/>
    <n v="44"/>
    <n v="95"/>
    <x v="6"/>
    <x v="1"/>
    <n v="6.6666666666666666E-2"/>
  </r>
  <r>
    <x v="433"/>
    <n v="4"/>
    <x v="7"/>
    <n v="56"/>
    <n v="9"/>
    <n v="504"/>
    <n v="7"/>
    <n v="392"/>
    <n v="112"/>
    <n v="23"/>
    <x v="4"/>
    <x v="2"/>
    <n v="0.22222222222222221"/>
  </r>
  <r>
    <x v="434"/>
    <n v="2"/>
    <x v="3"/>
    <n v="95"/>
    <n v="12"/>
    <n v="1140"/>
    <n v="6"/>
    <n v="570"/>
    <n v="570"/>
    <n v="572"/>
    <x v="3"/>
    <x v="2"/>
    <n v="0.5"/>
  </r>
  <r>
    <x v="435"/>
    <n v="4"/>
    <x v="7"/>
    <n v="54"/>
    <n v="9"/>
    <n v="486"/>
    <n v="7"/>
    <n v="378"/>
    <n v="108"/>
    <n v="95"/>
    <x v="6"/>
    <x v="2"/>
    <n v="0.22222222222222221"/>
  </r>
  <r>
    <x v="436"/>
    <n v="98"/>
    <x v="11"/>
    <n v="21"/>
    <n v="18"/>
    <n v="378"/>
    <n v="8"/>
    <n v="168"/>
    <n v="210"/>
    <n v="14"/>
    <x v="2"/>
    <x v="1"/>
    <n v="0.55555555555555558"/>
  </r>
  <r>
    <x v="437"/>
    <n v="39"/>
    <x v="4"/>
    <n v="5"/>
    <n v="33"/>
    <n v="165"/>
    <n v="28"/>
    <n v="140"/>
    <n v="25"/>
    <n v="572"/>
    <x v="3"/>
    <x v="2"/>
    <n v="0.15151515151515152"/>
  </r>
  <r>
    <x v="438"/>
    <n v="22"/>
    <x v="0"/>
    <n v="82"/>
    <n v="24"/>
    <n v="1968"/>
    <n v="18"/>
    <n v="1476"/>
    <n v="492"/>
    <n v="14"/>
    <x v="2"/>
    <x v="1"/>
    <n v="0.25"/>
  </r>
  <r>
    <x v="439"/>
    <n v="100"/>
    <x v="6"/>
    <n v="45"/>
    <n v="8"/>
    <n v="360"/>
    <n v="4"/>
    <n v="180"/>
    <n v="180"/>
    <n v="846"/>
    <x v="7"/>
    <x v="2"/>
    <n v="0.5"/>
  </r>
  <r>
    <x v="440"/>
    <n v="98"/>
    <x v="11"/>
    <n v="13"/>
    <n v="18"/>
    <n v="234"/>
    <n v="8"/>
    <n v="104"/>
    <n v="130"/>
    <n v="14"/>
    <x v="2"/>
    <x v="1"/>
    <n v="0.55555555555555558"/>
  </r>
  <r>
    <x v="441"/>
    <n v="22"/>
    <x v="0"/>
    <n v="72"/>
    <n v="24"/>
    <n v="1728"/>
    <n v="18"/>
    <n v="1296"/>
    <n v="432"/>
    <n v="6"/>
    <x v="5"/>
    <x v="1"/>
    <n v="0.25"/>
  </r>
  <r>
    <x v="442"/>
    <n v="2"/>
    <x v="3"/>
    <n v="32"/>
    <n v="12"/>
    <n v="384"/>
    <n v="6"/>
    <n v="192"/>
    <n v="192"/>
    <n v="6"/>
    <x v="5"/>
    <x v="1"/>
    <n v="0.5"/>
  </r>
  <r>
    <x v="443"/>
    <n v="31"/>
    <x v="8"/>
    <n v="92"/>
    <n v="21"/>
    <n v="1932"/>
    <n v="12"/>
    <n v="1104"/>
    <n v="828"/>
    <n v="572"/>
    <x v="3"/>
    <x v="0"/>
    <n v="0.42857142857142855"/>
  </r>
  <r>
    <x v="444"/>
    <n v="19"/>
    <x v="10"/>
    <n v="15"/>
    <n v="36"/>
    <n v="540"/>
    <n v="25"/>
    <n v="375"/>
    <n v="165"/>
    <n v="23"/>
    <x v="4"/>
    <x v="1"/>
    <n v="0.30555555555555558"/>
  </r>
  <r>
    <x v="445"/>
    <n v="31"/>
    <x v="8"/>
    <n v="4"/>
    <n v="21"/>
    <n v="84"/>
    <n v="12"/>
    <n v="48"/>
    <n v="36"/>
    <n v="315"/>
    <x v="0"/>
    <x v="0"/>
    <n v="0.42857142857142855"/>
  </r>
  <r>
    <x v="446"/>
    <n v="16"/>
    <x v="1"/>
    <n v="79"/>
    <n v="15"/>
    <n v="1185"/>
    <n v="14"/>
    <n v="1106"/>
    <n v="79"/>
    <n v="6"/>
    <x v="5"/>
    <x v="1"/>
    <n v="6.6666666666666666E-2"/>
  </r>
  <r>
    <x v="447"/>
    <n v="30"/>
    <x v="2"/>
    <n v="65"/>
    <n v="12"/>
    <n v="780"/>
    <n v="8"/>
    <n v="520"/>
    <n v="260"/>
    <n v="846"/>
    <x v="7"/>
    <x v="2"/>
    <n v="0.33333333333333331"/>
  </r>
  <r>
    <x v="448"/>
    <n v="4"/>
    <x v="7"/>
    <n v="39"/>
    <n v="9"/>
    <n v="351"/>
    <n v="7"/>
    <n v="273"/>
    <n v="78"/>
    <n v="6"/>
    <x v="5"/>
    <x v="1"/>
    <n v="0.22222222222222221"/>
  </r>
  <r>
    <x v="449"/>
    <n v="22"/>
    <x v="0"/>
    <n v="9"/>
    <n v="24"/>
    <n v="216"/>
    <n v="18"/>
    <n v="162"/>
    <n v="54"/>
    <n v="557"/>
    <x v="8"/>
    <x v="0"/>
    <n v="0.25"/>
  </r>
  <r>
    <x v="450"/>
    <n v="31"/>
    <x v="8"/>
    <n v="60"/>
    <n v="21"/>
    <n v="1260"/>
    <n v="12"/>
    <n v="720"/>
    <n v="540"/>
    <n v="14"/>
    <x v="2"/>
    <x v="1"/>
    <n v="0.42857142857142855"/>
  </r>
  <r>
    <x v="451"/>
    <n v="98"/>
    <x v="11"/>
    <n v="93"/>
    <n v="18"/>
    <n v="1674"/>
    <n v="8"/>
    <n v="744"/>
    <n v="930"/>
    <n v="572"/>
    <x v="3"/>
    <x v="2"/>
    <n v="0.55555555555555558"/>
  </r>
  <r>
    <x v="452"/>
    <n v="19"/>
    <x v="10"/>
    <n v="6"/>
    <n v="36"/>
    <n v="216"/>
    <n v="25"/>
    <n v="150"/>
    <n v="66"/>
    <n v="686"/>
    <x v="9"/>
    <x v="1"/>
    <n v="0.30555555555555558"/>
  </r>
  <r>
    <x v="453"/>
    <n v="31"/>
    <x v="8"/>
    <n v="5"/>
    <n v="21"/>
    <n v="105"/>
    <n v="12"/>
    <n v="60"/>
    <n v="45"/>
    <n v="23"/>
    <x v="4"/>
    <x v="1"/>
    <n v="0.42857142857142855"/>
  </r>
  <r>
    <x v="454"/>
    <n v="19"/>
    <x v="10"/>
    <n v="51"/>
    <n v="36"/>
    <n v="1836"/>
    <n v="25"/>
    <n v="1275"/>
    <n v="561"/>
    <n v="6"/>
    <x v="5"/>
    <x v="1"/>
    <n v="0.30555555555555558"/>
  </r>
  <r>
    <x v="455"/>
    <n v="31"/>
    <x v="8"/>
    <n v="4"/>
    <n v="21"/>
    <n v="84"/>
    <n v="12"/>
    <n v="48"/>
    <n v="36"/>
    <n v="315"/>
    <x v="0"/>
    <x v="1"/>
    <n v="0.42857142857142855"/>
  </r>
  <r>
    <x v="456"/>
    <n v="22"/>
    <x v="0"/>
    <n v="92"/>
    <n v="24"/>
    <n v="2208"/>
    <n v="18"/>
    <n v="1656"/>
    <n v="552"/>
    <n v="14"/>
    <x v="2"/>
    <x v="1"/>
    <n v="0.25"/>
  </r>
  <r>
    <x v="457"/>
    <n v="100"/>
    <x v="6"/>
    <n v="48"/>
    <n v="8"/>
    <n v="384"/>
    <n v="4"/>
    <n v="192"/>
    <n v="192"/>
    <n v="572"/>
    <x v="3"/>
    <x v="2"/>
    <n v="0.5"/>
  </r>
  <r>
    <x v="458"/>
    <n v="22"/>
    <x v="0"/>
    <n v="63"/>
    <n v="24"/>
    <n v="1512"/>
    <n v="18"/>
    <n v="1134"/>
    <n v="378"/>
    <n v="686"/>
    <x v="9"/>
    <x v="2"/>
    <n v="0.25"/>
  </r>
  <r>
    <x v="459"/>
    <n v="4"/>
    <x v="7"/>
    <n v="24"/>
    <n v="9"/>
    <n v="216"/>
    <n v="7"/>
    <n v="168"/>
    <n v="48"/>
    <n v="557"/>
    <x v="8"/>
    <x v="2"/>
    <n v="0.22222222222222221"/>
  </r>
  <r>
    <x v="460"/>
    <n v="4"/>
    <x v="7"/>
    <n v="38"/>
    <n v="9"/>
    <n v="342"/>
    <n v="7"/>
    <n v="266"/>
    <n v="76"/>
    <n v="846"/>
    <x v="7"/>
    <x v="2"/>
    <n v="0.22222222222222221"/>
  </r>
  <r>
    <x v="461"/>
    <n v="98"/>
    <x v="11"/>
    <n v="68"/>
    <n v="18"/>
    <n v="1224"/>
    <n v="8"/>
    <n v="544"/>
    <n v="680"/>
    <n v="95"/>
    <x v="6"/>
    <x v="2"/>
    <n v="0.55555555555555558"/>
  </r>
  <r>
    <x v="462"/>
    <n v="30"/>
    <x v="2"/>
    <n v="64"/>
    <n v="12"/>
    <n v="768"/>
    <n v="8"/>
    <n v="512"/>
    <n v="256"/>
    <n v="6"/>
    <x v="5"/>
    <x v="2"/>
    <n v="0.33333333333333331"/>
  </r>
  <r>
    <x v="463"/>
    <n v="16"/>
    <x v="1"/>
    <n v="51"/>
    <n v="15"/>
    <n v="765"/>
    <n v="14"/>
    <n v="714"/>
    <n v="51"/>
    <n v="23"/>
    <x v="4"/>
    <x v="1"/>
    <n v="6.6666666666666666E-2"/>
  </r>
  <r>
    <x v="464"/>
    <n v="16"/>
    <x v="1"/>
    <n v="20"/>
    <n v="15"/>
    <n v="300"/>
    <n v="14"/>
    <n v="280"/>
    <n v="20"/>
    <n v="14"/>
    <x v="2"/>
    <x v="1"/>
    <n v="6.6666666666666666E-2"/>
  </r>
  <r>
    <x v="465"/>
    <n v="100"/>
    <x v="6"/>
    <n v="83"/>
    <n v="8"/>
    <n v="664"/>
    <n v="4"/>
    <n v="332"/>
    <n v="332"/>
    <n v="572"/>
    <x v="3"/>
    <x v="0"/>
    <n v="0.5"/>
  </r>
  <r>
    <x v="466"/>
    <n v="31"/>
    <x v="8"/>
    <n v="96"/>
    <n v="21"/>
    <n v="2016"/>
    <n v="12"/>
    <n v="1152"/>
    <n v="864"/>
    <n v="572"/>
    <x v="3"/>
    <x v="0"/>
    <n v="0.42857142857142855"/>
  </r>
  <r>
    <x v="467"/>
    <n v="30"/>
    <x v="2"/>
    <n v="28"/>
    <n v="12"/>
    <n v="336"/>
    <n v="8"/>
    <n v="224"/>
    <n v="112"/>
    <n v="95"/>
    <x v="6"/>
    <x v="2"/>
    <n v="0.33333333333333331"/>
  </r>
  <r>
    <x v="468"/>
    <n v="30"/>
    <x v="2"/>
    <n v="65"/>
    <n v="12"/>
    <n v="780"/>
    <n v="8"/>
    <n v="520"/>
    <n v="260"/>
    <n v="846"/>
    <x v="7"/>
    <x v="2"/>
    <n v="0.33333333333333331"/>
  </r>
  <r>
    <x v="469"/>
    <n v="30"/>
    <x v="2"/>
    <n v="12"/>
    <n v="12"/>
    <n v="144"/>
    <n v="8"/>
    <n v="96"/>
    <n v="48"/>
    <n v="686"/>
    <x v="9"/>
    <x v="2"/>
    <n v="0.33333333333333331"/>
  </r>
  <r>
    <x v="470"/>
    <n v="100"/>
    <x v="6"/>
    <n v="40"/>
    <n v="8"/>
    <n v="320"/>
    <n v="4"/>
    <n v="160"/>
    <n v="160"/>
    <n v="95"/>
    <x v="6"/>
    <x v="1"/>
    <n v="0.5"/>
  </r>
  <r>
    <x v="471"/>
    <n v="4"/>
    <x v="7"/>
    <n v="81"/>
    <n v="9"/>
    <n v="729"/>
    <n v="7"/>
    <n v="567"/>
    <n v="162"/>
    <n v="6"/>
    <x v="5"/>
    <x v="2"/>
    <n v="0.22222222222222221"/>
  </r>
  <r>
    <x v="472"/>
    <n v="19"/>
    <x v="10"/>
    <n v="31"/>
    <n v="36"/>
    <n v="1116"/>
    <n v="25"/>
    <n v="775"/>
    <n v="341"/>
    <n v="572"/>
    <x v="3"/>
    <x v="2"/>
    <n v="0.30555555555555558"/>
  </r>
  <r>
    <x v="473"/>
    <n v="16"/>
    <x v="1"/>
    <n v="90"/>
    <n v="15"/>
    <n v="1350"/>
    <n v="14"/>
    <n v="1260"/>
    <n v="90"/>
    <n v="572"/>
    <x v="3"/>
    <x v="0"/>
    <n v="6.6666666666666666E-2"/>
  </r>
  <r>
    <x v="474"/>
    <n v="22"/>
    <x v="0"/>
    <n v="66"/>
    <n v="24"/>
    <n v="1584"/>
    <n v="18"/>
    <n v="1188"/>
    <n v="396"/>
    <n v="95"/>
    <x v="6"/>
    <x v="2"/>
    <n v="0.25"/>
  </r>
  <r>
    <x v="475"/>
    <n v="16"/>
    <x v="1"/>
    <n v="25"/>
    <n v="15"/>
    <n v="375"/>
    <n v="14"/>
    <n v="350"/>
    <n v="25"/>
    <n v="95"/>
    <x v="6"/>
    <x v="0"/>
    <n v="6.6666666666666666E-2"/>
  </r>
  <r>
    <x v="476"/>
    <n v="39"/>
    <x v="4"/>
    <n v="98"/>
    <n v="33"/>
    <n v="3234"/>
    <n v="28"/>
    <n v="2744"/>
    <n v="490"/>
    <n v="95"/>
    <x v="6"/>
    <x v="2"/>
    <n v="0.15151515151515152"/>
  </r>
  <r>
    <x v="477"/>
    <n v="100"/>
    <x v="6"/>
    <n v="44"/>
    <n v="8"/>
    <n v="352"/>
    <n v="4"/>
    <n v="176"/>
    <n v="176"/>
    <n v="6"/>
    <x v="5"/>
    <x v="1"/>
    <n v="0.5"/>
  </r>
  <r>
    <x v="478"/>
    <n v="16"/>
    <x v="1"/>
    <n v="24"/>
    <n v="15"/>
    <n v="360"/>
    <n v="14"/>
    <n v="336"/>
    <n v="24"/>
    <n v="23"/>
    <x v="4"/>
    <x v="1"/>
    <n v="6.6666666666666666E-2"/>
  </r>
  <r>
    <x v="479"/>
    <n v="4"/>
    <x v="7"/>
    <n v="51"/>
    <n v="9"/>
    <n v="459"/>
    <n v="7"/>
    <n v="357"/>
    <n v="102"/>
    <n v="14"/>
    <x v="2"/>
    <x v="2"/>
    <n v="0.22222222222222221"/>
  </r>
  <r>
    <x v="480"/>
    <n v="30"/>
    <x v="2"/>
    <n v="85"/>
    <n v="12"/>
    <n v="1020"/>
    <n v="8"/>
    <n v="680"/>
    <n v="340"/>
    <n v="6"/>
    <x v="5"/>
    <x v="2"/>
    <n v="0.33333333333333331"/>
  </r>
  <r>
    <x v="481"/>
    <n v="16"/>
    <x v="1"/>
    <n v="45"/>
    <n v="15"/>
    <n v="675"/>
    <n v="14"/>
    <n v="630"/>
    <n v="45"/>
    <n v="14"/>
    <x v="2"/>
    <x v="2"/>
    <n v="6.6666666666666666E-2"/>
  </r>
  <r>
    <x v="482"/>
    <n v="2"/>
    <x v="3"/>
    <n v="92"/>
    <n v="12"/>
    <n v="1104"/>
    <n v="6"/>
    <n v="552"/>
    <n v="552"/>
    <n v="6"/>
    <x v="5"/>
    <x v="1"/>
    <n v="0.5"/>
  </r>
  <r>
    <x v="483"/>
    <n v="100"/>
    <x v="6"/>
    <n v="22"/>
    <n v="8"/>
    <n v="176"/>
    <n v="4"/>
    <n v="88"/>
    <n v="88"/>
    <n v="14"/>
    <x v="2"/>
    <x v="2"/>
    <n v="0.5"/>
  </r>
  <r>
    <x v="484"/>
    <n v="31"/>
    <x v="8"/>
    <n v="42"/>
    <n v="21"/>
    <n v="882"/>
    <n v="12"/>
    <n v="504"/>
    <n v="378"/>
    <n v="315"/>
    <x v="0"/>
    <x v="2"/>
    <n v="0.42857142857142855"/>
  </r>
  <r>
    <x v="485"/>
    <n v="6"/>
    <x v="9"/>
    <n v="49"/>
    <n v="55"/>
    <n v="2695"/>
    <n v="25"/>
    <n v="1225"/>
    <n v="1470"/>
    <n v="23"/>
    <x v="4"/>
    <x v="2"/>
    <n v="0.54545454545454541"/>
  </r>
  <r>
    <x v="486"/>
    <n v="30"/>
    <x v="2"/>
    <n v="79"/>
    <n v="12"/>
    <n v="948"/>
    <n v="8"/>
    <n v="632"/>
    <n v="316"/>
    <n v="846"/>
    <x v="7"/>
    <x v="0"/>
    <n v="0.33333333333333331"/>
  </r>
  <r>
    <x v="487"/>
    <n v="16"/>
    <x v="1"/>
    <n v="31"/>
    <n v="15"/>
    <n v="465"/>
    <n v="14"/>
    <n v="434"/>
    <n v="31"/>
    <n v="846"/>
    <x v="7"/>
    <x v="2"/>
    <n v="6.6666666666666666E-2"/>
  </r>
  <r>
    <x v="488"/>
    <n v="39"/>
    <x v="4"/>
    <n v="43"/>
    <n v="33"/>
    <n v="1419"/>
    <n v="28"/>
    <n v="1204"/>
    <n v="215"/>
    <n v="14"/>
    <x v="2"/>
    <x v="1"/>
    <n v="0.15151515151515152"/>
  </r>
  <r>
    <x v="489"/>
    <n v="16"/>
    <x v="1"/>
    <n v="1"/>
    <n v="15"/>
    <n v="15"/>
    <n v="14"/>
    <n v="14"/>
    <n v="1"/>
    <n v="846"/>
    <x v="7"/>
    <x v="2"/>
    <n v="6.6666666666666666E-2"/>
  </r>
  <r>
    <x v="490"/>
    <n v="30"/>
    <x v="2"/>
    <n v="31"/>
    <n v="12"/>
    <n v="372"/>
    <n v="8"/>
    <n v="248"/>
    <n v="124"/>
    <n v="95"/>
    <x v="6"/>
    <x v="0"/>
    <n v="0.33333333333333331"/>
  </r>
  <r>
    <x v="491"/>
    <n v="4"/>
    <x v="7"/>
    <n v="84"/>
    <n v="9"/>
    <n v="756"/>
    <n v="7"/>
    <n v="588"/>
    <n v="168"/>
    <n v="686"/>
    <x v="9"/>
    <x v="2"/>
    <n v="0.22222222222222221"/>
  </r>
  <r>
    <x v="492"/>
    <n v="2"/>
    <x v="3"/>
    <n v="9"/>
    <n v="12"/>
    <n v="108"/>
    <n v="6"/>
    <n v="54"/>
    <n v="54"/>
    <n v="14"/>
    <x v="2"/>
    <x v="2"/>
    <n v="0.5"/>
  </r>
  <r>
    <x v="493"/>
    <n v="98"/>
    <x v="11"/>
    <n v="45"/>
    <n v="18"/>
    <n v="810"/>
    <n v="8"/>
    <n v="360"/>
    <n v="450"/>
    <n v="233"/>
    <x v="1"/>
    <x v="1"/>
    <n v="0.55555555555555558"/>
  </r>
  <r>
    <x v="494"/>
    <n v="4"/>
    <x v="7"/>
    <n v="68"/>
    <n v="9"/>
    <n v="612"/>
    <n v="7"/>
    <n v="476"/>
    <n v="136"/>
    <n v="6"/>
    <x v="5"/>
    <x v="1"/>
    <n v="0.22222222222222221"/>
  </r>
  <r>
    <x v="495"/>
    <n v="16"/>
    <x v="1"/>
    <n v="8"/>
    <n v="15"/>
    <n v="120"/>
    <n v="14"/>
    <n v="112"/>
    <n v="8"/>
    <n v="572"/>
    <x v="3"/>
    <x v="2"/>
    <n v="6.6666666666666666E-2"/>
  </r>
  <r>
    <x v="496"/>
    <n v="2"/>
    <x v="3"/>
    <n v="42"/>
    <n v="12"/>
    <n v="504"/>
    <n v="6"/>
    <n v="252"/>
    <n v="252"/>
    <n v="14"/>
    <x v="2"/>
    <x v="1"/>
    <n v="0.5"/>
  </r>
  <r>
    <x v="497"/>
    <n v="16"/>
    <x v="1"/>
    <n v="72"/>
    <n v="15"/>
    <n v="1080"/>
    <n v="14"/>
    <n v="1008"/>
    <n v="72"/>
    <n v="95"/>
    <x v="6"/>
    <x v="2"/>
    <n v="6.6666666666666666E-2"/>
  </r>
  <r>
    <x v="498"/>
    <n v="2"/>
    <x v="3"/>
    <n v="50"/>
    <n v="12"/>
    <n v="600"/>
    <n v="6"/>
    <n v="300"/>
    <n v="300"/>
    <n v="686"/>
    <x v="9"/>
    <x v="2"/>
    <n v="0.5"/>
  </r>
  <r>
    <x v="499"/>
    <n v="2"/>
    <x v="3"/>
    <n v="5"/>
    <n v="12"/>
    <n v="60"/>
    <n v="6"/>
    <n v="30"/>
    <n v="30"/>
    <n v="14"/>
    <x v="2"/>
    <x v="2"/>
    <n v="0.5"/>
  </r>
  <r>
    <x v="500"/>
    <n v="31"/>
    <x v="8"/>
    <n v="31"/>
    <n v="21"/>
    <n v="651"/>
    <n v="12"/>
    <n v="372"/>
    <n v="279"/>
    <n v="686"/>
    <x v="9"/>
    <x v="2"/>
    <n v="0.42857142857142855"/>
  </r>
  <r>
    <x v="501"/>
    <n v="4"/>
    <x v="7"/>
    <n v="76"/>
    <n v="9"/>
    <n v="684"/>
    <n v="7"/>
    <n v="532"/>
    <n v="152"/>
    <n v="14"/>
    <x v="2"/>
    <x v="2"/>
    <n v="0.22222222222222221"/>
  </r>
  <r>
    <x v="501"/>
    <n v="2"/>
    <x v="3"/>
    <n v="50"/>
    <n v="12"/>
    <n v="600"/>
    <n v="6"/>
    <n v="300"/>
    <n v="300"/>
    <n v="686"/>
    <x v="9"/>
    <x v="2"/>
    <n v="0.5"/>
  </r>
  <r>
    <x v="501"/>
    <n v="2"/>
    <x v="3"/>
    <n v="5"/>
    <n v="12"/>
    <n v="60"/>
    <n v="6"/>
    <n v="30"/>
    <n v="30"/>
    <n v="14"/>
    <x v="2"/>
    <x v="2"/>
    <n v="0.5"/>
  </r>
  <r>
    <x v="500"/>
    <n v="31"/>
    <x v="8"/>
    <n v="31"/>
    <n v="21"/>
    <n v="651"/>
    <n v="12"/>
    <n v="372"/>
    <n v="279"/>
    <n v="686"/>
    <x v="9"/>
    <x v="2"/>
    <n v="0.42857142857142855"/>
  </r>
  <r>
    <x v="502"/>
    <n v="4"/>
    <x v="7"/>
    <n v="76"/>
    <n v="9"/>
    <n v="684"/>
    <n v="7"/>
    <n v="532"/>
    <n v="152"/>
    <n v="14"/>
    <x v="2"/>
    <x v="2"/>
    <n v="0.22222222222222221"/>
  </r>
  <r>
    <x v="503"/>
    <n v="2"/>
    <x v="3"/>
    <n v="50"/>
    <n v="12"/>
    <n v="600"/>
    <n v="6"/>
    <n v="300"/>
    <n v="300"/>
    <n v="686"/>
    <x v="9"/>
    <x v="2"/>
    <n v="0.5"/>
  </r>
  <r>
    <x v="503"/>
    <n v="2"/>
    <x v="3"/>
    <n v="5"/>
    <n v="12"/>
    <n v="60"/>
    <n v="6"/>
    <n v="30"/>
    <n v="30"/>
    <n v="14"/>
    <x v="2"/>
    <x v="2"/>
    <n v="0.5"/>
  </r>
  <r>
    <x v="503"/>
    <n v="31"/>
    <x v="8"/>
    <n v="31"/>
    <n v="21"/>
    <n v="651"/>
    <n v="12"/>
    <n v="372"/>
    <n v="279"/>
    <n v="686"/>
    <x v="9"/>
    <x v="2"/>
    <n v="0.42857142857142855"/>
  </r>
  <r>
    <x v="503"/>
    <n v="4"/>
    <x v="7"/>
    <n v="76"/>
    <n v="9"/>
    <n v="684"/>
    <n v="7"/>
    <n v="532"/>
    <n v="152"/>
    <n v="14"/>
    <x v="2"/>
    <x v="2"/>
    <n v="0.2222222222222222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x v="0"/>
    <d v="2011-01-04T00:00:00"/>
    <n v="22"/>
    <s v="Mozzarella cheese"/>
    <n v="41"/>
    <n v="24"/>
    <n v="984"/>
    <n v="18"/>
    <n v="738"/>
    <n v="246"/>
    <n v="315"/>
    <s v="The Station"/>
    <x v="0"/>
    <n v="0.25"/>
  </r>
  <r>
    <x v="0"/>
    <d v="2011-01-04T05:29:52"/>
    <n v="16"/>
    <s v="Romaine lettuce"/>
    <n v="90"/>
    <n v="15"/>
    <n v="1350"/>
    <n v="14"/>
    <n v="1260"/>
    <n v="90"/>
    <n v="315"/>
    <s v="The Station"/>
    <x v="1"/>
    <n v="6.6666666666666666E-2"/>
  </r>
  <r>
    <x v="0"/>
    <d v="2011-01-05T08:25:41"/>
    <n v="30"/>
    <s v="Red onions"/>
    <n v="27"/>
    <n v="12"/>
    <n v="324"/>
    <n v="8"/>
    <n v="216"/>
    <n v="108"/>
    <n v="233"/>
    <s v="Bert's Bistro"/>
    <x v="2"/>
    <n v="0.33333333333333331"/>
  </r>
  <r>
    <x v="0"/>
    <d v="2011-01-06T04:41:16"/>
    <n v="16"/>
    <s v="Romaine lettuce"/>
    <n v="67"/>
    <n v="15"/>
    <n v="1005"/>
    <n v="14"/>
    <n v="938"/>
    <n v="67"/>
    <n v="14"/>
    <s v="Smoke House"/>
    <x v="1"/>
    <n v="6.6666666666666666E-2"/>
  </r>
  <r>
    <x v="0"/>
    <d v="2011-01-07T07:20:35"/>
    <n v="2"/>
    <s v="Black olives"/>
    <n v="79"/>
    <n v="12"/>
    <n v="948"/>
    <n v="6"/>
    <n v="474"/>
    <n v="474"/>
    <n v="572"/>
    <s v="Flagstaff House"/>
    <x v="2"/>
    <n v="0.5"/>
  </r>
  <r>
    <x v="0"/>
    <d v="2011-01-07T08:38:59"/>
    <n v="16"/>
    <s v="Romaine lettuce"/>
    <n v="46"/>
    <n v="15"/>
    <n v="690"/>
    <n v="14"/>
    <n v="644"/>
    <n v="46"/>
    <n v="23"/>
    <s v="Two Bitts"/>
    <x v="2"/>
    <n v="6.6666666666666666E-2"/>
  </r>
  <r>
    <x v="0"/>
    <d v="2011-01-07T14:44:51"/>
    <n v="16"/>
    <s v="Romaine lettuce"/>
    <n v="52"/>
    <n v="15"/>
    <n v="780"/>
    <n v="14"/>
    <n v="728"/>
    <n v="52"/>
    <n v="6"/>
    <s v="Pierce Arrow"/>
    <x v="1"/>
    <n v="6.6666666666666666E-2"/>
  </r>
  <r>
    <x v="0"/>
    <d v="2011-01-08T15:25:01"/>
    <n v="30"/>
    <s v="Red onions"/>
    <n v="39"/>
    <n v="12"/>
    <n v="468"/>
    <n v="8"/>
    <n v="312"/>
    <n v="156"/>
    <n v="95"/>
    <s v="Mamm'a Pasta Palace"/>
    <x v="2"/>
    <n v="0.33333333333333331"/>
  </r>
  <r>
    <x v="0"/>
    <d v="2011-01-09T10:58:41"/>
    <n v="16"/>
    <s v="Romaine lettuce"/>
    <n v="66"/>
    <n v="15"/>
    <n v="990"/>
    <n v="14"/>
    <n v="924"/>
    <n v="66"/>
    <n v="846"/>
    <s v="The Dandelion"/>
    <x v="2"/>
    <n v="6.6666666666666666E-2"/>
  </r>
  <r>
    <x v="0"/>
    <d v="2011-01-10T00:27:29"/>
    <n v="16"/>
    <s v="Romaine lettuce"/>
    <n v="58"/>
    <n v="15"/>
    <n v="870"/>
    <n v="14"/>
    <n v="812"/>
    <n v="58"/>
    <n v="557"/>
    <s v="Carmens"/>
    <x v="2"/>
    <n v="6.6666666666666666E-2"/>
  </r>
  <r>
    <x v="0"/>
    <d v="2011-01-10T10:50:57"/>
    <n v="39"/>
    <s v="Pineapple"/>
    <n v="40"/>
    <n v="33"/>
    <n v="1320"/>
    <n v="28"/>
    <n v="1120"/>
    <n v="200"/>
    <n v="315"/>
    <s v="The Station"/>
    <x v="2"/>
    <n v="0.15151515151515152"/>
  </r>
  <r>
    <x v="0"/>
    <d v="2011-01-11T16:29:21"/>
    <n v="39"/>
    <s v="Pineapple"/>
    <n v="71"/>
    <n v="33"/>
    <n v="2343"/>
    <n v="28"/>
    <n v="1988"/>
    <n v="355"/>
    <n v="846"/>
    <s v="The Dandelion"/>
    <x v="2"/>
    <n v="0.15151515151515152"/>
  </r>
  <r>
    <x v="0"/>
    <d v="2011-01-14T01:22:42"/>
    <n v="16"/>
    <s v="Romaine lettuce"/>
    <n v="18"/>
    <n v="15"/>
    <n v="270"/>
    <n v="14"/>
    <n v="252"/>
    <n v="18"/>
    <n v="557"/>
    <s v="Carmens"/>
    <x v="2"/>
    <n v="6.6666666666666666E-2"/>
  </r>
  <r>
    <x v="0"/>
    <d v="2011-01-14T07:09:18"/>
    <n v="16"/>
    <s v="Romaine lettuce"/>
    <n v="28"/>
    <n v="15"/>
    <n v="420"/>
    <n v="14"/>
    <n v="392"/>
    <n v="28"/>
    <n v="572"/>
    <s v="Flagstaff House"/>
    <x v="0"/>
    <n v="6.6666666666666666E-2"/>
  </r>
  <r>
    <x v="0"/>
    <d v="2011-01-15T15:33:07"/>
    <n v="85"/>
    <s v="Pepperoni"/>
    <n v="33"/>
    <n v="53"/>
    <n v="1749"/>
    <n v="35"/>
    <n v="1155"/>
    <n v="594"/>
    <n v="14"/>
    <s v="Smoke House"/>
    <x v="1"/>
    <n v="0.33962264150943394"/>
  </r>
  <r>
    <x v="0"/>
    <d v="2011-01-15T19:31:26"/>
    <n v="100"/>
    <s v="Parmesan cheese"/>
    <n v="14"/>
    <n v="8"/>
    <n v="112"/>
    <n v="4"/>
    <n v="56"/>
    <n v="56"/>
    <n v="14"/>
    <s v="Smoke House"/>
    <x v="2"/>
    <n v="0.5"/>
  </r>
  <r>
    <x v="0"/>
    <d v="2011-01-16T13:09:59"/>
    <n v="100"/>
    <s v="Parmesan cheese"/>
    <n v="72"/>
    <n v="8"/>
    <n v="576"/>
    <n v="4"/>
    <n v="288"/>
    <n v="288"/>
    <n v="95"/>
    <s v="Mamm'a Pasta Palace"/>
    <x v="1"/>
    <n v="0.5"/>
  </r>
  <r>
    <x v="0"/>
    <d v="2011-01-18T00:12:33"/>
    <n v="100"/>
    <s v="Parmesan cheese"/>
    <n v="10"/>
    <n v="8"/>
    <n v="80"/>
    <n v="4"/>
    <n v="40"/>
    <n v="40"/>
    <n v="95"/>
    <s v="Mamm'a Pasta Palace"/>
    <x v="2"/>
    <n v="0.5"/>
  </r>
  <r>
    <x v="0"/>
    <d v="2011-01-18T07:04:40"/>
    <n v="16"/>
    <s v="Romaine lettuce"/>
    <n v="42"/>
    <n v="15"/>
    <n v="630"/>
    <n v="14"/>
    <n v="588"/>
    <n v="42"/>
    <n v="14"/>
    <s v="Smoke House"/>
    <x v="1"/>
    <n v="6.6666666666666666E-2"/>
  </r>
  <r>
    <x v="0"/>
    <d v="2011-01-20T14:36:30"/>
    <n v="4"/>
    <s v="Tomatoes"/>
    <n v="48"/>
    <n v="9"/>
    <n v="432"/>
    <n v="7"/>
    <n v="336"/>
    <n v="96"/>
    <n v="23"/>
    <s v="Two Bitts"/>
    <x v="2"/>
    <n v="0.22222222222222221"/>
  </r>
  <r>
    <x v="0"/>
    <d v="2011-01-21T03:47:37"/>
    <n v="31"/>
    <s v="Peppers"/>
    <n v="29"/>
    <n v="21"/>
    <n v="609"/>
    <n v="12"/>
    <n v="348"/>
    <n v="261"/>
    <n v="846"/>
    <s v="The Dandelion"/>
    <x v="1"/>
    <n v="0.42857142857142855"/>
  </r>
  <r>
    <x v="0"/>
    <d v="2011-01-21T13:34:45"/>
    <n v="22"/>
    <s v="Mozzarella cheese"/>
    <n v="10"/>
    <n v="24"/>
    <n v="240"/>
    <n v="18"/>
    <n v="180"/>
    <n v="60"/>
    <n v="95"/>
    <s v="Mamm'a Pasta Palace"/>
    <x v="0"/>
    <n v="0.25"/>
  </r>
  <r>
    <x v="0"/>
    <d v="2011-01-23T10:41:55"/>
    <n v="2"/>
    <s v="Black olives"/>
    <n v="98"/>
    <n v="12"/>
    <n v="1176"/>
    <n v="6"/>
    <n v="588"/>
    <n v="588"/>
    <n v="23"/>
    <s v="Two Bitts"/>
    <x v="1"/>
    <n v="0.5"/>
  </r>
  <r>
    <x v="0"/>
    <d v="2011-01-24T20:54:48"/>
    <n v="22"/>
    <s v="Mozzarella cheese"/>
    <n v="45"/>
    <n v="24"/>
    <n v="1080"/>
    <n v="18"/>
    <n v="810"/>
    <n v="270"/>
    <n v="557"/>
    <s v="Carmens"/>
    <x v="2"/>
    <n v="0.25"/>
  </r>
  <r>
    <x v="0"/>
    <d v="2011-01-26T11:26:09"/>
    <n v="16"/>
    <s v="Romaine lettuce"/>
    <n v="58"/>
    <n v="15"/>
    <n v="870"/>
    <n v="14"/>
    <n v="812"/>
    <n v="58"/>
    <n v="23"/>
    <s v="Two Bitts"/>
    <x v="2"/>
    <n v="6.6666666666666666E-2"/>
  </r>
  <r>
    <x v="0"/>
    <d v="2011-01-27T22:35:40"/>
    <n v="100"/>
    <s v="Parmesan cheese"/>
    <n v="66"/>
    <n v="8"/>
    <n v="528"/>
    <n v="4"/>
    <n v="264"/>
    <n v="264"/>
    <n v="572"/>
    <s v="Flagstaff House"/>
    <x v="2"/>
    <n v="0.5"/>
  </r>
  <r>
    <x v="0"/>
    <d v="2011-01-28T11:53:19"/>
    <n v="31"/>
    <s v="Peppers"/>
    <n v="85"/>
    <n v="21"/>
    <n v="1785"/>
    <n v="12"/>
    <n v="1020"/>
    <n v="765"/>
    <n v="6"/>
    <s v="Pierce Arrow"/>
    <x v="2"/>
    <n v="0.42857142857142855"/>
  </r>
  <r>
    <x v="0"/>
    <d v="2011-01-28T20:58:03"/>
    <n v="22"/>
    <s v="Mozzarella cheese"/>
    <n v="12"/>
    <n v="24"/>
    <n v="288"/>
    <n v="18"/>
    <n v="216"/>
    <n v="72"/>
    <n v="846"/>
    <s v="The Dandelion"/>
    <x v="0"/>
    <n v="0.25"/>
  </r>
  <r>
    <x v="0"/>
    <d v="2011-01-29T09:14:44"/>
    <n v="4"/>
    <s v="Tomatoes"/>
    <n v="40"/>
    <n v="9"/>
    <n v="360"/>
    <n v="7"/>
    <n v="280"/>
    <n v="80"/>
    <n v="6"/>
    <s v="Pierce Arrow"/>
    <x v="1"/>
    <n v="0.22222222222222221"/>
  </r>
  <r>
    <x v="0"/>
    <d v="2011-01-29T12:57:01"/>
    <n v="31"/>
    <s v="Peppers"/>
    <n v="5"/>
    <n v="21"/>
    <n v="105"/>
    <n v="12"/>
    <n v="60"/>
    <n v="45"/>
    <n v="6"/>
    <s v="Pierce Arrow"/>
    <x v="1"/>
    <n v="0.42857142857142855"/>
  </r>
  <r>
    <x v="0"/>
    <d v="2011-01-29T23:28:23"/>
    <n v="16"/>
    <s v="Romaine lettuce"/>
    <n v="49"/>
    <n v="15"/>
    <n v="735"/>
    <n v="14"/>
    <n v="686"/>
    <n v="49"/>
    <n v="572"/>
    <s v="Flagstaff House"/>
    <x v="2"/>
    <n v="6.6666666666666666E-2"/>
  </r>
  <r>
    <x v="0"/>
    <d v="2011-01-29T23:45:42"/>
    <n v="30"/>
    <s v="Red onions"/>
    <n v="13"/>
    <n v="12"/>
    <n v="156"/>
    <n v="8"/>
    <n v="104"/>
    <n v="52"/>
    <n v="14"/>
    <s v="Smoke House"/>
    <x v="2"/>
    <n v="0.33333333333333331"/>
  </r>
  <r>
    <x v="0"/>
    <d v="2011-01-31T11:14:17"/>
    <n v="100"/>
    <s v="Parmesan cheese"/>
    <n v="38"/>
    <n v="8"/>
    <n v="304"/>
    <n v="4"/>
    <n v="152"/>
    <n v="152"/>
    <n v="95"/>
    <s v="Mamm'a Pasta Palace"/>
    <x v="0"/>
    <n v="0.5"/>
  </r>
  <r>
    <x v="0"/>
    <d v="2011-01-31T16:49:22"/>
    <n v="16"/>
    <s v="Romaine lettuce"/>
    <n v="51"/>
    <n v="15"/>
    <n v="765"/>
    <n v="14"/>
    <n v="714"/>
    <n v="51"/>
    <n v="23"/>
    <s v="Two Bitts"/>
    <x v="2"/>
    <n v="6.6666666666666666E-2"/>
  </r>
  <r>
    <x v="1"/>
    <d v="2011-02-02T06:48:46"/>
    <n v="30"/>
    <s v="Red onions"/>
    <n v="85"/>
    <n v="12"/>
    <n v="1020"/>
    <n v="8"/>
    <n v="680"/>
    <n v="340"/>
    <n v="572"/>
    <s v="Flagstaff House"/>
    <x v="2"/>
    <n v="0.33333333333333331"/>
  </r>
  <r>
    <x v="1"/>
    <d v="2011-02-02T22:43:49"/>
    <n v="16"/>
    <s v="Romaine lettuce"/>
    <n v="82"/>
    <n v="15"/>
    <n v="1230"/>
    <n v="14"/>
    <n v="1148"/>
    <n v="82"/>
    <n v="14"/>
    <s v="Smoke House"/>
    <x v="2"/>
    <n v="6.6666666666666666E-2"/>
  </r>
  <r>
    <x v="1"/>
    <d v="2011-02-04T23:18:58"/>
    <n v="39"/>
    <s v="Pineapple"/>
    <n v="64"/>
    <n v="33"/>
    <n v="2112"/>
    <n v="28"/>
    <n v="1792"/>
    <n v="320"/>
    <n v="846"/>
    <s v="The Dandelion"/>
    <x v="2"/>
    <n v="0.15151515151515152"/>
  </r>
  <r>
    <x v="1"/>
    <d v="2011-02-05T13:44:14"/>
    <n v="22"/>
    <s v="Mozzarella cheese"/>
    <n v="22"/>
    <n v="24"/>
    <n v="528"/>
    <n v="18"/>
    <n v="396"/>
    <n v="132"/>
    <n v="846"/>
    <s v="The Dandelion"/>
    <x v="0"/>
    <n v="0.25"/>
  </r>
  <r>
    <x v="1"/>
    <d v="2011-02-05T19:53:21"/>
    <n v="16"/>
    <s v="Romaine lettuce"/>
    <n v="74"/>
    <n v="15"/>
    <n v="1110"/>
    <n v="14"/>
    <n v="1036"/>
    <n v="74"/>
    <n v="6"/>
    <s v="Pierce Arrow"/>
    <x v="2"/>
    <n v="6.6666666666666666E-2"/>
  </r>
  <r>
    <x v="1"/>
    <d v="2011-02-05T21:17:42"/>
    <n v="4"/>
    <s v="Tomatoes"/>
    <n v="13"/>
    <n v="9"/>
    <n v="117"/>
    <n v="7"/>
    <n v="91"/>
    <n v="26"/>
    <n v="686"/>
    <s v="Laudisio"/>
    <x v="1"/>
    <n v="0.22222222222222221"/>
  </r>
  <r>
    <x v="1"/>
    <d v="2011-02-05T22:35:41"/>
    <n v="4"/>
    <s v="Tomatoes"/>
    <n v="64"/>
    <n v="9"/>
    <n v="576"/>
    <n v="7"/>
    <n v="448"/>
    <n v="128"/>
    <n v="6"/>
    <s v="Pierce Arrow"/>
    <x v="2"/>
    <n v="0.22222222222222221"/>
  </r>
  <r>
    <x v="1"/>
    <d v="2011-02-06T12:33:06"/>
    <n v="31"/>
    <s v="Peppers"/>
    <n v="59"/>
    <n v="21"/>
    <n v="1239"/>
    <n v="12"/>
    <n v="708"/>
    <n v="531"/>
    <n v="23"/>
    <s v="Two Bitts"/>
    <x v="1"/>
    <n v="0.42857142857142855"/>
  </r>
  <r>
    <x v="1"/>
    <d v="2011-02-07T04:34:56"/>
    <n v="6"/>
    <s v="Sun dried tomatoes"/>
    <n v="12"/>
    <n v="55"/>
    <n v="660"/>
    <n v="25"/>
    <n v="300"/>
    <n v="360"/>
    <n v="6"/>
    <s v="Pierce Arrow"/>
    <x v="2"/>
    <n v="0.54545454545454541"/>
  </r>
  <r>
    <x v="1"/>
    <d v="2011-02-09T00:20:47"/>
    <n v="16"/>
    <s v="Romaine lettuce"/>
    <n v="7"/>
    <n v="15"/>
    <n v="105"/>
    <n v="14"/>
    <n v="98"/>
    <n v="7"/>
    <n v="95"/>
    <s v="Mamm'a Pasta Palace"/>
    <x v="0"/>
    <n v="6.6666666666666666E-2"/>
  </r>
  <r>
    <x v="1"/>
    <d v="2011-02-09T00:48:35"/>
    <n v="100"/>
    <s v="Parmesan cheese"/>
    <n v="14"/>
    <n v="8"/>
    <n v="112"/>
    <n v="4"/>
    <n v="56"/>
    <n v="56"/>
    <n v="95"/>
    <s v="Mamm'a Pasta Palace"/>
    <x v="2"/>
    <n v="0.5"/>
  </r>
  <r>
    <x v="1"/>
    <d v="2011-02-10T17:47:19"/>
    <n v="30"/>
    <s v="Red onions"/>
    <n v="7"/>
    <n v="12"/>
    <n v="84"/>
    <n v="8"/>
    <n v="56"/>
    <n v="28"/>
    <n v="23"/>
    <s v="Two Bitts"/>
    <x v="2"/>
    <n v="0.33333333333333331"/>
  </r>
  <r>
    <x v="1"/>
    <d v="2011-02-10T21:14:48"/>
    <n v="16"/>
    <s v="Romaine lettuce"/>
    <n v="87"/>
    <n v="15"/>
    <n v="1305"/>
    <n v="14"/>
    <n v="1218"/>
    <n v="87"/>
    <n v="23"/>
    <s v="Two Bitts"/>
    <x v="1"/>
    <n v="6.6666666666666666E-2"/>
  </r>
  <r>
    <x v="1"/>
    <d v="2011-02-11T04:04:19"/>
    <n v="4"/>
    <s v="Tomatoes"/>
    <n v="70"/>
    <n v="9"/>
    <n v="630"/>
    <n v="7"/>
    <n v="490"/>
    <n v="140"/>
    <n v="557"/>
    <s v="Carmens"/>
    <x v="1"/>
    <n v="0.22222222222222221"/>
  </r>
  <r>
    <x v="1"/>
    <d v="2011-02-11T14:09:54"/>
    <n v="100"/>
    <s v="Parmesan cheese"/>
    <n v="38"/>
    <n v="8"/>
    <n v="304"/>
    <n v="4"/>
    <n v="152"/>
    <n v="152"/>
    <n v="95"/>
    <s v="Mamm'a Pasta Palace"/>
    <x v="0"/>
    <n v="0.5"/>
  </r>
  <r>
    <x v="1"/>
    <d v="2011-02-12T13:28:34"/>
    <n v="2"/>
    <s v="Black olives"/>
    <n v="4"/>
    <n v="12"/>
    <n v="48"/>
    <n v="6"/>
    <n v="24"/>
    <n v="24"/>
    <n v="6"/>
    <s v="Pierce Arrow"/>
    <x v="2"/>
    <n v="0.5"/>
  </r>
  <r>
    <x v="1"/>
    <d v="2011-02-13T19:06:16"/>
    <n v="31"/>
    <s v="Peppers"/>
    <n v="44"/>
    <n v="21"/>
    <n v="924"/>
    <n v="12"/>
    <n v="528"/>
    <n v="396"/>
    <n v="557"/>
    <s v="Carmens"/>
    <x v="1"/>
    <n v="0.42857142857142855"/>
  </r>
  <r>
    <x v="1"/>
    <d v="2011-02-15T23:15:52"/>
    <n v="19"/>
    <s v="Chicken"/>
    <n v="41"/>
    <n v="36"/>
    <n v="1476"/>
    <n v="25"/>
    <n v="1025"/>
    <n v="451"/>
    <n v="14"/>
    <s v="Smoke House"/>
    <x v="1"/>
    <n v="0.30555555555555558"/>
  </r>
  <r>
    <x v="1"/>
    <d v="2011-02-16T07:15:07"/>
    <n v="16"/>
    <s v="Romaine lettuce"/>
    <n v="15"/>
    <n v="15"/>
    <n v="225"/>
    <n v="14"/>
    <n v="210"/>
    <n v="15"/>
    <n v="686"/>
    <s v="Laudisio"/>
    <x v="2"/>
    <n v="6.6666666666666666E-2"/>
  </r>
  <r>
    <x v="1"/>
    <d v="2011-02-17T21:59:24"/>
    <n v="30"/>
    <s v="Red onions"/>
    <n v="76"/>
    <n v="12"/>
    <n v="912"/>
    <n v="8"/>
    <n v="608"/>
    <n v="304"/>
    <n v="14"/>
    <s v="Smoke House"/>
    <x v="2"/>
    <n v="0.33333333333333331"/>
  </r>
  <r>
    <x v="1"/>
    <d v="2011-02-18T05:07:14"/>
    <n v="4"/>
    <s v="Tomatoes"/>
    <n v="49"/>
    <n v="9"/>
    <n v="441"/>
    <n v="7"/>
    <n v="343"/>
    <n v="98"/>
    <n v="846"/>
    <s v="The Dandelion"/>
    <x v="2"/>
    <n v="0.22222222222222221"/>
  </r>
  <r>
    <x v="1"/>
    <d v="2011-02-19T09:24:38"/>
    <n v="4"/>
    <s v="Tomatoes"/>
    <n v="86"/>
    <n v="9"/>
    <n v="774"/>
    <n v="7"/>
    <n v="602"/>
    <n v="172"/>
    <n v="14"/>
    <s v="Smoke House"/>
    <x v="1"/>
    <n v="0.22222222222222221"/>
  </r>
  <r>
    <x v="1"/>
    <d v="2011-02-19T12:52:26"/>
    <n v="16"/>
    <s v="Romaine lettuce"/>
    <n v="68"/>
    <n v="15"/>
    <n v="1020"/>
    <n v="14"/>
    <n v="952"/>
    <n v="68"/>
    <n v="14"/>
    <s v="Smoke House"/>
    <x v="2"/>
    <n v="6.6666666666666666E-2"/>
  </r>
  <r>
    <x v="1"/>
    <d v="2011-02-19T22:19:13"/>
    <n v="19"/>
    <s v="Chicken"/>
    <n v="50"/>
    <n v="36"/>
    <n v="1800"/>
    <n v="25"/>
    <n v="1250"/>
    <n v="550"/>
    <n v="14"/>
    <s v="Smoke House"/>
    <x v="1"/>
    <n v="0.30555555555555558"/>
  </r>
  <r>
    <x v="1"/>
    <d v="2011-02-20T01:10:02"/>
    <n v="31"/>
    <s v="Peppers"/>
    <n v="31"/>
    <n v="21"/>
    <n v="651"/>
    <n v="12"/>
    <n v="372"/>
    <n v="279"/>
    <n v="14"/>
    <s v="Smoke House"/>
    <x v="1"/>
    <n v="0.42857142857142855"/>
  </r>
  <r>
    <x v="1"/>
    <d v="2011-02-21T03:51:44"/>
    <n v="31"/>
    <s v="Peppers"/>
    <n v="62"/>
    <n v="21"/>
    <n v="1302"/>
    <n v="12"/>
    <n v="744"/>
    <n v="558"/>
    <n v="572"/>
    <s v="Flagstaff House"/>
    <x v="2"/>
    <n v="0.42857142857142855"/>
  </r>
  <r>
    <x v="1"/>
    <d v="2011-02-21T15:09:29"/>
    <n v="4"/>
    <s v="Tomatoes"/>
    <n v="13"/>
    <n v="9"/>
    <n v="117"/>
    <n v="7"/>
    <n v="91"/>
    <n v="26"/>
    <n v="572"/>
    <s v="Flagstaff House"/>
    <x v="2"/>
    <n v="0.22222222222222221"/>
  </r>
  <r>
    <x v="1"/>
    <d v="2011-02-22T13:33:18"/>
    <n v="4"/>
    <s v="Tomatoes"/>
    <n v="84"/>
    <n v="9"/>
    <n v="756"/>
    <n v="7"/>
    <n v="588"/>
    <n v="168"/>
    <n v="846"/>
    <s v="The Dandelion"/>
    <x v="2"/>
    <n v="0.22222222222222221"/>
  </r>
  <r>
    <x v="1"/>
    <d v="2011-02-24T16:58:16"/>
    <n v="19"/>
    <s v="Chicken"/>
    <n v="55"/>
    <n v="36"/>
    <n v="1980"/>
    <n v="25"/>
    <n v="1375"/>
    <n v="605"/>
    <n v="14"/>
    <s v="Smoke House"/>
    <x v="2"/>
    <n v="0.30555555555555558"/>
  </r>
  <r>
    <x v="1"/>
    <d v="2011-02-24T19:19:03"/>
    <n v="31"/>
    <s v="Peppers"/>
    <n v="89"/>
    <n v="21"/>
    <n v="1869"/>
    <n v="12"/>
    <n v="1068"/>
    <n v="801"/>
    <n v="95"/>
    <s v="Mamm'a Pasta Palace"/>
    <x v="1"/>
    <n v="0.42857142857142855"/>
  </r>
  <r>
    <x v="1"/>
    <d v="2011-02-26T15:53:28"/>
    <n v="39"/>
    <s v="Pineapple"/>
    <n v="56"/>
    <n v="33"/>
    <n v="1848"/>
    <n v="28"/>
    <n v="1568"/>
    <n v="280"/>
    <n v="557"/>
    <s v="Carmens"/>
    <x v="2"/>
    <n v="0.15151515151515152"/>
  </r>
  <r>
    <x v="1"/>
    <d v="2011-02-26T17:10:20"/>
    <n v="2"/>
    <s v="Black olives"/>
    <n v="16"/>
    <n v="12"/>
    <n v="192"/>
    <n v="6"/>
    <n v="96"/>
    <n v="96"/>
    <n v="95"/>
    <s v="Mamm'a Pasta Palace"/>
    <x v="2"/>
    <n v="0.5"/>
  </r>
  <r>
    <x v="1"/>
    <d v="2011-02-27T00:44:46"/>
    <n v="6"/>
    <s v="Sun dried tomatoes"/>
    <n v="2"/>
    <n v="55"/>
    <n v="110"/>
    <n v="25"/>
    <n v="50"/>
    <n v="60"/>
    <n v="6"/>
    <s v="Pierce Arrow"/>
    <x v="2"/>
    <n v="0.54545454545454541"/>
  </r>
  <r>
    <x v="1"/>
    <d v="2011-02-28T03:21:32"/>
    <n v="39"/>
    <s v="Pineapple"/>
    <n v="67"/>
    <n v="33"/>
    <n v="2211"/>
    <n v="28"/>
    <n v="1876"/>
    <n v="335"/>
    <n v="6"/>
    <s v="Pierce Arrow"/>
    <x v="1"/>
    <n v="0.15151515151515152"/>
  </r>
  <r>
    <x v="1"/>
    <d v="2011-02-28T19:04:59"/>
    <n v="4"/>
    <s v="Tomatoes"/>
    <n v="2"/>
    <n v="9"/>
    <n v="18"/>
    <n v="7"/>
    <n v="14"/>
    <n v="4"/>
    <n v="95"/>
    <s v="Mamm'a Pasta Palace"/>
    <x v="2"/>
    <n v="0.22222222222222221"/>
  </r>
  <r>
    <x v="1"/>
    <d v="2011-02-28T22:31:07"/>
    <n v="4"/>
    <s v="Tomatoes"/>
    <n v="59"/>
    <n v="9"/>
    <n v="531"/>
    <n v="7"/>
    <n v="413"/>
    <n v="118"/>
    <n v="846"/>
    <s v="The Dandelion"/>
    <x v="2"/>
    <n v="0.22222222222222221"/>
  </r>
  <r>
    <x v="2"/>
    <d v="2011-03-01T16:08:01"/>
    <n v="4"/>
    <s v="Tomatoes"/>
    <n v="37"/>
    <n v="9"/>
    <n v="333"/>
    <n v="7"/>
    <n v="259"/>
    <n v="74"/>
    <n v="572"/>
    <s v="Flagstaff House"/>
    <x v="1"/>
    <n v="0.22222222222222221"/>
  </r>
  <r>
    <x v="2"/>
    <d v="2011-03-02T23:04:55"/>
    <n v="100"/>
    <s v="Parmesan cheese"/>
    <n v="19"/>
    <n v="8"/>
    <n v="152"/>
    <n v="4"/>
    <n v="76"/>
    <n v="76"/>
    <n v="686"/>
    <s v="Laudisio"/>
    <x v="2"/>
    <n v="0.5"/>
  </r>
  <r>
    <x v="2"/>
    <d v="2011-03-03T10:55:03"/>
    <n v="39"/>
    <s v="Pineapple"/>
    <n v="48"/>
    <n v="33"/>
    <n v="1584"/>
    <n v="28"/>
    <n v="1344"/>
    <n v="240"/>
    <n v="14"/>
    <s v="Smoke House"/>
    <x v="1"/>
    <n v="0.15151515151515152"/>
  </r>
  <r>
    <x v="2"/>
    <d v="2011-03-03T15:29:52"/>
    <n v="4"/>
    <s v="Tomatoes"/>
    <n v="41"/>
    <n v="9"/>
    <n v="369"/>
    <n v="7"/>
    <n v="287"/>
    <n v="82"/>
    <n v="572"/>
    <s v="Flagstaff House"/>
    <x v="2"/>
    <n v="0.22222222222222221"/>
  </r>
  <r>
    <x v="2"/>
    <d v="2011-03-03T19:08:23"/>
    <n v="19"/>
    <s v="Chicken"/>
    <n v="64"/>
    <n v="36"/>
    <n v="2304"/>
    <n v="25"/>
    <n v="1600"/>
    <n v="704"/>
    <n v="6"/>
    <s v="Pierce Arrow"/>
    <x v="1"/>
    <n v="0.30555555555555558"/>
  </r>
  <r>
    <x v="2"/>
    <d v="2011-03-03T23:20:21"/>
    <n v="31"/>
    <s v="Peppers"/>
    <n v="33"/>
    <n v="21"/>
    <n v="693"/>
    <n v="12"/>
    <n v="396"/>
    <n v="297"/>
    <n v="6"/>
    <s v="Pierce Arrow"/>
    <x v="2"/>
    <n v="0.42857142857142855"/>
  </r>
  <r>
    <x v="2"/>
    <d v="2011-03-04T00:08:21"/>
    <n v="16"/>
    <s v="Romaine lettuce"/>
    <n v="66"/>
    <n v="15"/>
    <n v="990"/>
    <n v="14"/>
    <n v="924"/>
    <n v="66"/>
    <n v="557"/>
    <s v="Carmens"/>
    <x v="2"/>
    <n v="6.6666666666666666E-2"/>
  </r>
  <r>
    <x v="2"/>
    <d v="2011-03-04T09:45:57"/>
    <n v="22"/>
    <s v="Mozzarella cheese"/>
    <n v="92"/>
    <n v="24"/>
    <n v="2208"/>
    <n v="18"/>
    <n v="1656"/>
    <n v="552"/>
    <n v="6"/>
    <s v="Pierce Arrow"/>
    <x v="1"/>
    <n v="0.25"/>
  </r>
  <r>
    <x v="2"/>
    <d v="2011-03-04T13:34:09"/>
    <n v="2"/>
    <s v="Black olives"/>
    <n v="32"/>
    <n v="12"/>
    <n v="384"/>
    <n v="6"/>
    <n v="192"/>
    <n v="192"/>
    <n v="686"/>
    <s v="Laudisio"/>
    <x v="1"/>
    <n v="0.5"/>
  </r>
  <r>
    <x v="2"/>
    <d v="2011-03-04T23:13:56"/>
    <n v="4"/>
    <s v="Tomatoes"/>
    <n v="17"/>
    <n v="9"/>
    <n v="153"/>
    <n v="7"/>
    <n v="119"/>
    <n v="34"/>
    <n v="95"/>
    <s v="Mamm'a Pasta Palace"/>
    <x v="2"/>
    <n v="0.22222222222222221"/>
  </r>
  <r>
    <x v="2"/>
    <d v="2011-03-05T06:09:32"/>
    <n v="19"/>
    <s v="Chicken"/>
    <n v="83"/>
    <n v="36"/>
    <n v="2988"/>
    <n v="25"/>
    <n v="2075"/>
    <n v="913"/>
    <n v="23"/>
    <s v="Two Bitts"/>
    <x v="2"/>
    <n v="0.30555555555555558"/>
  </r>
  <r>
    <x v="2"/>
    <d v="2011-03-06T01:41:23"/>
    <n v="30"/>
    <s v="Red onions"/>
    <n v="89"/>
    <n v="12"/>
    <n v="1068"/>
    <n v="8"/>
    <n v="712"/>
    <n v="356"/>
    <n v="846"/>
    <s v="The Dandelion"/>
    <x v="2"/>
    <n v="0.33333333333333331"/>
  </r>
  <r>
    <x v="2"/>
    <d v="2011-03-06T12:26:28"/>
    <n v="16"/>
    <s v="Romaine lettuce"/>
    <n v="8"/>
    <n v="15"/>
    <n v="120"/>
    <n v="14"/>
    <n v="112"/>
    <n v="8"/>
    <n v="6"/>
    <s v="Pierce Arrow"/>
    <x v="1"/>
    <n v="6.6666666666666666E-2"/>
  </r>
  <r>
    <x v="2"/>
    <d v="2011-03-07T05:54:09"/>
    <n v="19"/>
    <s v="Chicken"/>
    <n v="25"/>
    <n v="36"/>
    <n v="900"/>
    <n v="25"/>
    <n v="625"/>
    <n v="275"/>
    <n v="572"/>
    <s v="Flagstaff House"/>
    <x v="2"/>
    <n v="0.30555555555555558"/>
  </r>
  <r>
    <x v="2"/>
    <d v="2011-03-07T11:57:41"/>
    <n v="16"/>
    <s v="Romaine lettuce"/>
    <n v="5"/>
    <n v="15"/>
    <n v="75"/>
    <n v="14"/>
    <n v="70"/>
    <n v="5"/>
    <n v="557"/>
    <s v="Carmens"/>
    <x v="2"/>
    <n v="6.6666666666666666E-2"/>
  </r>
  <r>
    <x v="2"/>
    <d v="2011-03-07T22:22:28"/>
    <n v="2"/>
    <s v="Black olives"/>
    <n v="73"/>
    <n v="12"/>
    <n v="876"/>
    <n v="6"/>
    <n v="438"/>
    <n v="438"/>
    <n v="14"/>
    <s v="Smoke House"/>
    <x v="1"/>
    <n v="0.5"/>
  </r>
  <r>
    <x v="2"/>
    <d v="2011-03-08T06:27:58"/>
    <n v="16"/>
    <s v="Romaine lettuce"/>
    <n v="36"/>
    <n v="15"/>
    <n v="540"/>
    <n v="14"/>
    <n v="504"/>
    <n v="36"/>
    <n v="557"/>
    <s v="Carmens"/>
    <x v="0"/>
    <n v="6.6666666666666666E-2"/>
  </r>
  <r>
    <x v="2"/>
    <d v="2011-03-08T08:26:08"/>
    <n v="4"/>
    <s v="Tomatoes"/>
    <n v="16"/>
    <n v="9"/>
    <n v="144"/>
    <n v="7"/>
    <n v="112"/>
    <n v="32"/>
    <n v="846"/>
    <s v="The Dandelion"/>
    <x v="1"/>
    <n v="0.22222222222222221"/>
  </r>
  <r>
    <x v="2"/>
    <d v="2011-03-10T04:09:20"/>
    <n v="39"/>
    <s v="Pineapple"/>
    <n v="33"/>
    <n v="33"/>
    <n v="1089"/>
    <n v="28"/>
    <n v="924"/>
    <n v="165"/>
    <n v="572"/>
    <s v="Flagstaff House"/>
    <x v="2"/>
    <n v="0.15151515151515152"/>
  </r>
  <r>
    <x v="2"/>
    <d v="2011-03-10T15:25:28"/>
    <n v="30"/>
    <s v="Red onions"/>
    <n v="90"/>
    <n v="12"/>
    <n v="1080"/>
    <n v="8"/>
    <n v="720"/>
    <n v="360"/>
    <n v="14"/>
    <s v="Smoke House"/>
    <x v="2"/>
    <n v="0.33333333333333331"/>
  </r>
  <r>
    <x v="2"/>
    <d v="2011-03-10T21:17:14"/>
    <n v="16"/>
    <s v="Romaine lettuce"/>
    <n v="74"/>
    <n v="15"/>
    <n v="1110"/>
    <n v="14"/>
    <n v="1036"/>
    <n v="74"/>
    <n v="95"/>
    <s v="Mamm'a Pasta Palace"/>
    <x v="1"/>
    <n v="6.6666666666666666E-2"/>
  </r>
  <r>
    <x v="2"/>
    <d v="2011-03-11T03:52:09"/>
    <n v="16"/>
    <s v="Romaine lettuce"/>
    <n v="72"/>
    <n v="15"/>
    <n v="1080"/>
    <n v="14"/>
    <n v="1008"/>
    <n v="72"/>
    <n v="557"/>
    <s v="Carmens"/>
    <x v="1"/>
    <n v="6.6666666666666666E-2"/>
  </r>
  <r>
    <x v="2"/>
    <d v="2011-03-11T17:56:44"/>
    <n v="4"/>
    <s v="Tomatoes"/>
    <n v="53"/>
    <n v="9"/>
    <n v="477"/>
    <n v="7"/>
    <n v="371"/>
    <n v="106"/>
    <n v="23"/>
    <s v="Two Bitts"/>
    <x v="2"/>
    <n v="0.22222222222222221"/>
  </r>
  <r>
    <x v="2"/>
    <d v="2011-03-12T19:07:28"/>
    <n v="30"/>
    <s v="Red onions"/>
    <n v="59"/>
    <n v="12"/>
    <n v="708"/>
    <n v="8"/>
    <n v="472"/>
    <n v="236"/>
    <n v="6"/>
    <s v="Pierce Arrow"/>
    <x v="2"/>
    <n v="0.33333333333333331"/>
  </r>
  <r>
    <x v="2"/>
    <d v="2011-03-13T07:31:32"/>
    <n v="31"/>
    <s v="Peppers"/>
    <n v="71"/>
    <n v="21"/>
    <n v="1491"/>
    <n v="12"/>
    <n v="852"/>
    <n v="639"/>
    <n v="557"/>
    <s v="Carmens"/>
    <x v="1"/>
    <n v="0.42857142857142855"/>
  </r>
  <r>
    <x v="2"/>
    <d v="2011-03-13T17:39:44"/>
    <n v="16"/>
    <s v="Romaine lettuce"/>
    <n v="9"/>
    <n v="15"/>
    <n v="135"/>
    <n v="14"/>
    <n v="126"/>
    <n v="9"/>
    <n v="572"/>
    <s v="Flagstaff House"/>
    <x v="2"/>
    <n v="6.6666666666666666E-2"/>
  </r>
  <r>
    <x v="2"/>
    <d v="2011-03-14T07:24:37"/>
    <n v="39"/>
    <s v="Pineapple"/>
    <n v="95"/>
    <n v="33"/>
    <n v="3135"/>
    <n v="28"/>
    <n v="2660"/>
    <n v="475"/>
    <n v="95"/>
    <s v="Mamm'a Pasta Palace"/>
    <x v="2"/>
    <n v="0.15151515151515152"/>
  </r>
  <r>
    <x v="2"/>
    <d v="2011-03-15T06:09:06"/>
    <n v="16"/>
    <s v="Romaine lettuce"/>
    <n v="72"/>
    <n v="15"/>
    <n v="1080"/>
    <n v="14"/>
    <n v="1008"/>
    <n v="72"/>
    <n v="23"/>
    <s v="Two Bitts"/>
    <x v="1"/>
    <n v="6.6666666666666666E-2"/>
  </r>
  <r>
    <x v="2"/>
    <d v="2011-03-15T08:34:38"/>
    <n v="100"/>
    <s v="Parmesan cheese"/>
    <n v="39"/>
    <n v="8"/>
    <n v="312"/>
    <n v="4"/>
    <n v="156"/>
    <n v="156"/>
    <n v="95"/>
    <s v="Mamm'a Pasta Palace"/>
    <x v="2"/>
    <n v="0.5"/>
  </r>
  <r>
    <x v="2"/>
    <d v="2011-03-16T11:08:46"/>
    <n v="16"/>
    <s v="Romaine lettuce"/>
    <n v="68"/>
    <n v="15"/>
    <n v="1020"/>
    <n v="14"/>
    <n v="952"/>
    <n v="68"/>
    <n v="6"/>
    <s v="Pierce Arrow"/>
    <x v="1"/>
    <n v="6.6666666666666666E-2"/>
  </r>
  <r>
    <x v="2"/>
    <d v="2011-03-16T21:17:28"/>
    <n v="16"/>
    <s v="Romaine lettuce"/>
    <n v="38"/>
    <n v="15"/>
    <n v="570"/>
    <n v="14"/>
    <n v="532"/>
    <n v="38"/>
    <n v="6"/>
    <s v="Pierce Arrow"/>
    <x v="2"/>
    <n v="6.6666666666666666E-2"/>
  </r>
  <r>
    <x v="2"/>
    <d v="2011-03-17T22:15:21"/>
    <n v="4"/>
    <s v="Tomatoes"/>
    <n v="87"/>
    <n v="9"/>
    <n v="783"/>
    <n v="7"/>
    <n v="609"/>
    <n v="174"/>
    <n v="846"/>
    <s v="The Dandelion"/>
    <x v="2"/>
    <n v="0.22222222222222221"/>
  </r>
  <r>
    <x v="2"/>
    <d v="2011-03-19T23:56:45"/>
    <n v="30"/>
    <s v="Red onions"/>
    <n v="54"/>
    <n v="12"/>
    <n v="648"/>
    <n v="8"/>
    <n v="432"/>
    <n v="216"/>
    <n v="95"/>
    <s v="Mamm'a Pasta Palace"/>
    <x v="2"/>
    <n v="0.33333333333333331"/>
  </r>
  <r>
    <x v="2"/>
    <d v="2011-03-20T08:01:30"/>
    <n v="31"/>
    <s v="Peppers"/>
    <n v="85"/>
    <n v="21"/>
    <n v="1785"/>
    <n v="12"/>
    <n v="1020"/>
    <n v="765"/>
    <n v="95"/>
    <s v="Mamm'a Pasta Palace"/>
    <x v="2"/>
    <n v="0.42857142857142855"/>
  </r>
  <r>
    <x v="2"/>
    <d v="2011-03-22T00:41:02"/>
    <n v="19"/>
    <s v="Chicken"/>
    <n v="1"/>
    <n v="36"/>
    <n v="36"/>
    <n v="25"/>
    <n v="25"/>
    <n v="11"/>
    <n v="14"/>
    <s v="Smoke House"/>
    <x v="2"/>
    <n v="0.30555555555555558"/>
  </r>
  <r>
    <x v="2"/>
    <d v="2011-03-23T03:12:45"/>
    <n v="4"/>
    <s v="Tomatoes"/>
    <n v="93"/>
    <n v="9"/>
    <n v="837"/>
    <n v="7"/>
    <n v="651"/>
    <n v="186"/>
    <n v="557"/>
    <s v="Carmens"/>
    <x v="2"/>
    <n v="0.22222222222222221"/>
  </r>
  <r>
    <x v="2"/>
    <d v="2011-03-24T14:21:33"/>
    <n v="85"/>
    <s v="Pepperoni"/>
    <n v="41"/>
    <n v="53"/>
    <n v="2173"/>
    <n v="35"/>
    <n v="1435"/>
    <n v="738"/>
    <n v="686"/>
    <s v="Laudisio"/>
    <x v="1"/>
    <n v="0.33962264150943394"/>
  </r>
  <r>
    <x v="2"/>
    <d v="2011-03-27T02:28:18"/>
    <n v="100"/>
    <s v="Parmesan cheese"/>
    <n v="95"/>
    <n v="8"/>
    <n v="760"/>
    <n v="4"/>
    <n v="380"/>
    <n v="380"/>
    <n v="557"/>
    <s v="Carmens"/>
    <x v="1"/>
    <n v="0.5"/>
  </r>
  <r>
    <x v="2"/>
    <d v="2011-03-28T08:01:17"/>
    <n v="31"/>
    <s v="Peppers"/>
    <n v="7"/>
    <n v="21"/>
    <n v="147"/>
    <n v="12"/>
    <n v="84"/>
    <n v="63"/>
    <n v="23"/>
    <s v="Two Bitts"/>
    <x v="1"/>
    <n v="0.42857142857142855"/>
  </r>
  <r>
    <x v="2"/>
    <d v="2011-03-28T20:36:21"/>
    <n v="31"/>
    <s v="Peppers"/>
    <n v="92"/>
    <n v="21"/>
    <n v="1932"/>
    <n v="12"/>
    <n v="1104"/>
    <n v="828"/>
    <n v="572"/>
    <s v="Flagstaff House"/>
    <x v="0"/>
    <n v="0.42857142857142855"/>
  </r>
  <r>
    <x v="2"/>
    <d v="2011-03-29T09:28:30"/>
    <n v="85"/>
    <s v="Pepperoni"/>
    <n v="30"/>
    <n v="53"/>
    <n v="1590"/>
    <n v="35"/>
    <n v="1050"/>
    <n v="540"/>
    <n v="14"/>
    <s v="Smoke House"/>
    <x v="1"/>
    <n v="0.33962264150943394"/>
  </r>
  <r>
    <x v="2"/>
    <d v="2011-03-30T09:48:49"/>
    <n v="4"/>
    <s v="Tomatoes"/>
    <n v="38"/>
    <n v="9"/>
    <n v="342"/>
    <n v="7"/>
    <n v="266"/>
    <n v="76"/>
    <n v="686"/>
    <s v="Laudisio"/>
    <x v="1"/>
    <n v="0.22222222222222221"/>
  </r>
  <r>
    <x v="2"/>
    <d v="2011-03-31T00:08:04"/>
    <n v="31"/>
    <s v="Peppers"/>
    <n v="21"/>
    <n v="21"/>
    <n v="441"/>
    <n v="12"/>
    <n v="252"/>
    <n v="189"/>
    <n v="23"/>
    <s v="Two Bitts"/>
    <x v="2"/>
    <n v="0.42857142857142855"/>
  </r>
  <r>
    <x v="3"/>
    <d v="2011-04-01T15:47:21"/>
    <n v="100"/>
    <s v="Parmesan cheese"/>
    <n v="95"/>
    <n v="8"/>
    <n v="760"/>
    <n v="4"/>
    <n v="380"/>
    <n v="380"/>
    <n v="95"/>
    <s v="Mamm'a Pasta Palace"/>
    <x v="0"/>
    <n v="0.5"/>
  </r>
  <r>
    <x v="3"/>
    <d v="2011-04-02T01:12:33"/>
    <n v="4"/>
    <s v="Tomatoes"/>
    <n v="69"/>
    <n v="9"/>
    <n v="621"/>
    <n v="7"/>
    <n v="483"/>
    <n v="138"/>
    <n v="95"/>
    <s v="Mamm'a Pasta Palace"/>
    <x v="2"/>
    <n v="0.22222222222222221"/>
  </r>
  <r>
    <x v="3"/>
    <d v="2011-04-02T21:38:53"/>
    <n v="16"/>
    <s v="Romaine lettuce"/>
    <n v="96"/>
    <n v="15"/>
    <n v="1440"/>
    <n v="14"/>
    <n v="1344"/>
    <n v="96"/>
    <n v="14"/>
    <s v="Smoke House"/>
    <x v="1"/>
    <n v="6.6666666666666666E-2"/>
  </r>
  <r>
    <x v="3"/>
    <d v="2011-04-03T12:01:54"/>
    <n v="4"/>
    <s v="Tomatoes"/>
    <n v="36"/>
    <n v="9"/>
    <n v="324"/>
    <n v="7"/>
    <n v="252"/>
    <n v="72"/>
    <n v="315"/>
    <s v="The Station"/>
    <x v="2"/>
    <n v="0.22222222222222221"/>
  </r>
  <r>
    <x v="3"/>
    <d v="2011-04-04T14:48:51"/>
    <n v="22"/>
    <s v="Mozzarella cheese"/>
    <n v="86"/>
    <n v="24"/>
    <n v="2064"/>
    <n v="18"/>
    <n v="1548"/>
    <n v="516"/>
    <n v="686"/>
    <s v="Laudisio"/>
    <x v="1"/>
    <n v="0.25"/>
  </r>
  <r>
    <x v="3"/>
    <d v="2011-04-04T18:19:56"/>
    <n v="30"/>
    <s v="Red onions"/>
    <n v="58"/>
    <n v="12"/>
    <n v="696"/>
    <n v="8"/>
    <n v="464"/>
    <n v="232"/>
    <n v="557"/>
    <s v="Carmens"/>
    <x v="2"/>
    <n v="0.33333333333333331"/>
  </r>
  <r>
    <x v="3"/>
    <d v="2011-04-05T11:44:30"/>
    <n v="100"/>
    <s v="Parmesan cheese"/>
    <n v="99"/>
    <n v="8"/>
    <n v="792"/>
    <n v="4"/>
    <n v="396"/>
    <n v="396"/>
    <n v="233"/>
    <s v="Bert's Bistro"/>
    <x v="1"/>
    <n v="0.5"/>
  </r>
  <r>
    <x v="3"/>
    <d v="2011-04-07T01:09:45"/>
    <n v="16"/>
    <s v="Romaine lettuce"/>
    <n v="63"/>
    <n v="15"/>
    <n v="945"/>
    <n v="14"/>
    <n v="882"/>
    <n v="63"/>
    <n v="557"/>
    <s v="Carmens"/>
    <x v="0"/>
    <n v="6.6666666666666666E-2"/>
  </r>
  <r>
    <x v="3"/>
    <d v="2011-04-07T04:08:09"/>
    <n v="31"/>
    <s v="Peppers"/>
    <n v="15"/>
    <n v="21"/>
    <n v="315"/>
    <n v="12"/>
    <n v="180"/>
    <n v="135"/>
    <n v="846"/>
    <s v="The Dandelion"/>
    <x v="0"/>
    <n v="0.42857142857142855"/>
  </r>
  <r>
    <x v="3"/>
    <d v="2011-04-07T07:47:46"/>
    <n v="85"/>
    <s v="Pepperoni"/>
    <n v="11"/>
    <n v="53"/>
    <n v="583"/>
    <n v="35"/>
    <n v="385"/>
    <n v="198"/>
    <n v="23"/>
    <s v="Two Bitts"/>
    <x v="1"/>
    <n v="0.33962264150943394"/>
  </r>
  <r>
    <x v="3"/>
    <d v="2011-04-09T14:55:17"/>
    <n v="2"/>
    <s v="Black olives"/>
    <n v="89"/>
    <n v="12"/>
    <n v="1068"/>
    <n v="6"/>
    <n v="534"/>
    <n v="534"/>
    <n v="557"/>
    <s v="Carmens"/>
    <x v="2"/>
    <n v="0.5"/>
  </r>
  <r>
    <x v="3"/>
    <d v="2011-04-09T16:55:13"/>
    <n v="2"/>
    <s v="Black olives"/>
    <n v="77"/>
    <n v="12"/>
    <n v="924"/>
    <n v="6"/>
    <n v="462"/>
    <n v="462"/>
    <n v="846"/>
    <s v="The Dandelion"/>
    <x v="2"/>
    <n v="0.5"/>
  </r>
  <r>
    <x v="3"/>
    <d v="2011-04-09T20:22:11"/>
    <n v="100"/>
    <s v="Parmesan cheese"/>
    <n v="16"/>
    <n v="8"/>
    <n v="128"/>
    <n v="4"/>
    <n v="64"/>
    <n v="64"/>
    <n v="14"/>
    <s v="Smoke House"/>
    <x v="2"/>
    <n v="0.5"/>
  </r>
  <r>
    <x v="3"/>
    <d v="2011-04-10T00:06:57"/>
    <n v="100"/>
    <s v="Parmesan cheese"/>
    <n v="58"/>
    <n v="8"/>
    <n v="464"/>
    <n v="4"/>
    <n v="232"/>
    <n v="232"/>
    <n v="846"/>
    <s v="The Dandelion"/>
    <x v="2"/>
    <n v="0.5"/>
  </r>
  <r>
    <x v="3"/>
    <d v="2011-04-10T00:14:09"/>
    <n v="4"/>
    <s v="Tomatoes"/>
    <n v="55"/>
    <n v="9"/>
    <n v="495"/>
    <n v="7"/>
    <n v="385"/>
    <n v="110"/>
    <n v="6"/>
    <s v="Pierce Arrow"/>
    <x v="2"/>
    <n v="0.22222222222222221"/>
  </r>
  <r>
    <x v="3"/>
    <d v="2011-04-11T07:08:01"/>
    <n v="19"/>
    <s v="Chicken"/>
    <n v="59"/>
    <n v="36"/>
    <n v="2124"/>
    <n v="25"/>
    <n v="1475"/>
    <n v="649"/>
    <n v="6"/>
    <s v="Pierce Arrow"/>
    <x v="2"/>
    <n v="0.30555555555555558"/>
  </r>
  <r>
    <x v="3"/>
    <d v="2011-04-12T01:31:19"/>
    <n v="19"/>
    <s v="Chicken"/>
    <n v="2"/>
    <n v="36"/>
    <n v="72"/>
    <n v="25"/>
    <n v="50"/>
    <n v="22"/>
    <n v="686"/>
    <s v="Laudisio"/>
    <x v="1"/>
    <n v="0.30555555555555558"/>
  </r>
  <r>
    <x v="3"/>
    <d v="2011-04-12T09:26:21"/>
    <n v="31"/>
    <s v="Peppers"/>
    <n v="85"/>
    <n v="21"/>
    <n v="1785"/>
    <n v="12"/>
    <n v="1020"/>
    <n v="765"/>
    <n v="6"/>
    <s v="Pierce Arrow"/>
    <x v="1"/>
    <n v="0.42857142857142855"/>
  </r>
  <r>
    <x v="3"/>
    <d v="2011-04-13T07:37:47"/>
    <n v="22"/>
    <s v="Mozzarella cheese"/>
    <n v="11"/>
    <n v="24"/>
    <n v="264"/>
    <n v="18"/>
    <n v="198"/>
    <n v="66"/>
    <n v="23"/>
    <s v="Two Bitts"/>
    <x v="2"/>
    <n v="0.25"/>
  </r>
  <r>
    <x v="3"/>
    <d v="2011-04-13T21:06:26"/>
    <n v="4"/>
    <s v="Tomatoes"/>
    <n v="84"/>
    <n v="9"/>
    <n v="756"/>
    <n v="7"/>
    <n v="588"/>
    <n v="168"/>
    <n v="14"/>
    <s v="Smoke House"/>
    <x v="2"/>
    <n v="0.22222222222222221"/>
  </r>
  <r>
    <x v="3"/>
    <d v="2011-04-14T04:14:39"/>
    <n v="16"/>
    <s v="Romaine lettuce"/>
    <n v="82"/>
    <n v="15"/>
    <n v="1230"/>
    <n v="14"/>
    <n v="1148"/>
    <n v="82"/>
    <n v="6"/>
    <s v="Pierce Arrow"/>
    <x v="2"/>
    <n v="6.6666666666666666E-2"/>
  </r>
  <r>
    <x v="3"/>
    <d v="2011-04-14T17:37:07"/>
    <n v="100"/>
    <s v="Parmesan cheese"/>
    <n v="18"/>
    <n v="8"/>
    <n v="144"/>
    <n v="4"/>
    <n v="72"/>
    <n v="72"/>
    <n v="557"/>
    <s v="Carmens"/>
    <x v="2"/>
    <n v="0.5"/>
  </r>
  <r>
    <x v="3"/>
    <d v="2011-04-14T23:22:12"/>
    <n v="19"/>
    <s v="Chicken"/>
    <n v="43"/>
    <n v="36"/>
    <n v="1548"/>
    <n v="25"/>
    <n v="1075"/>
    <n v="473"/>
    <n v="315"/>
    <s v="The Station"/>
    <x v="2"/>
    <n v="0.30555555555555558"/>
  </r>
  <r>
    <x v="3"/>
    <d v="2011-04-15T10:09:02"/>
    <n v="16"/>
    <s v="Romaine lettuce"/>
    <n v="29"/>
    <n v="15"/>
    <n v="435"/>
    <n v="14"/>
    <n v="406"/>
    <n v="29"/>
    <n v="572"/>
    <s v="Flagstaff House"/>
    <x v="2"/>
    <n v="6.6666666666666666E-2"/>
  </r>
  <r>
    <x v="3"/>
    <d v="2011-04-16T10:36:22"/>
    <n v="22"/>
    <s v="Mozzarella cheese"/>
    <n v="78"/>
    <n v="24"/>
    <n v="1872"/>
    <n v="18"/>
    <n v="1404"/>
    <n v="468"/>
    <n v="572"/>
    <s v="Flagstaff House"/>
    <x v="0"/>
    <n v="0.25"/>
  </r>
  <r>
    <x v="3"/>
    <d v="2011-04-17T19:46:04"/>
    <n v="30"/>
    <s v="Red onions"/>
    <n v="61"/>
    <n v="12"/>
    <n v="732"/>
    <n v="8"/>
    <n v="488"/>
    <n v="244"/>
    <n v="686"/>
    <s v="Laudisio"/>
    <x v="2"/>
    <n v="0.33333333333333331"/>
  </r>
  <r>
    <x v="3"/>
    <d v="2011-04-18T02:07:46"/>
    <n v="16"/>
    <s v="Romaine lettuce"/>
    <n v="17"/>
    <n v="15"/>
    <n v="255"/>
    <n v="14"/>
    <n v="238"/>
    <n v="17"/>
    <n v="14"/>
    <s v="Smoke House"/>
    <x v="1"/>
    <n v="6.6666666666666666E-2"/>
  </r>
  <r>
    <x v="3"/>
    <d v="2011-04-18T06:06:18"/>
    <n v="22"/>
    <s v="Mozzarella cheese"/>
    <n v="60"/>
    <n v="24"/>
    <n v="1440"/>
    <n v="18"/>
    <n v="1080"/>
    <n v="360"/>
    <n v="846"/>
    <s v="The Dandelion"/>
    <x v="2"/>
    <n v="0.25"/>
  </r>
  <r>
    <x v="3"/>
    <d v="2011-04-19T18:43:04"/>
    <n v="100"/>
    <s v="Parmesan cheese"/>
    <n v="27"/>
    <n v="8"/>
    <n v="216"/>
    <n v="4"/>
    <n v="108"/>
    <n v="108"/>
    <n v="6"/>
    <s v="Pierce Arrow"/>
    <x v="2"/>
    <n v="0.5"/>
  </r>
  <r>
    <x v="3"/>
    <d v="2011-04-19T19:51:54"/>
    <n v="98"/>
    <s v="Sausage"/>
    <n v="74"/>
    <n v="18"/>
    <n v="1332"/>
    <n v="8"/>
    <n v="592"/>
    <n v="740"/>
    <n v="315"/>
    <s v="The Station"/>
    <x v="2"/>
    <n v="0.55555555555555558"/>
  </r>
  <r>
    <x v="3"/>
    <d v="2011-04-20T01:33:45"/>
    <n v="98"/>
    <s v="Sausage"/>
    <n v="36"/>
    <n v="18"/>
    <n v="648"/>
    <n v="8"/>
    <n v="288"/>
    <n v="360"/>
    <n v="557"/>
    <s v="Carmens"/>
    <x v="2"/>
    <n v="0.55555555555555558"/>
  </r>
  <r>
    <x v="3"/>
    <d v="2011-04-20T01:53:53"/>
    <n v="6"/>
    <s v="Sun dried tomatoes"/>
    <n v="9"/>
    <n v="55"/>
    <n v="495"/>
    <n v="25"/>
    <n v="225"/>
    <n v="270"/>
    <n v="686"/>
    <s v="Laudisio"/>
    <x v="2"/>
    <n v="0.54545454545454541"/>
  </r>
  <r>
    <x v="3"/>
    <d v="2011-04-20T09:55:23"/>
    <n v="100"/>
    <s v="Parmesan cheese"/>
    <n v="16"/>
    <n v="8"/>
    <n v="128"/>
    <n v="4"/>
    <n v="64"/>
    <n v="64"/>
    <n v="846"/>
    <s v="The Dandelion"/>
    <x v="2"/>
    <n v="0.5"/>
  </r>
  <r>
    <x v="3"/>
    <d v="2011-04-20T15:31:03"/>
    <n v="85"/>
    <s v="Pepperoni"/>
    <n v="80"/>
    <n v="53"/>
    <n v="4240"/>
    <n v="35"/>
    <n v="2800"/>
    <n v="1440"/>
    <n v="23"/>
    <s v="Two Bitts"/>
    <x v="1"/>
    <n v="0.33962264150943394"/>
  </r>
  <r>
    <x v="3"/>
    <d v="2011-04-20T20:41:09"/>
    <n v="100"/>
    <s v="Parmesan cheese"/>
    <n v="34"/>
    <n v="8"/>
    <n v="272"/>
    <n v="4"/>
    <n v="136"/>
    <n v="136"/>
    <n v="14"/>
    <s v="Smoke House"/>
    <x v="1"/>
    <n v="0.5"/>
  </r>
  <r>
    <x v="3"/>
    <d v="2011-04-22T07:53:16"/>
    <n v="22"/>
    <s v="Mozzarella cheese"/>
    <n v="14"/>
    <n v="24"/>
    <n v="336"/>
    <n v="18"/>
    <n v="252"/>
    <n v="84"/>
    <n v="6"/>
    <s v="Pierce Arrow"/>
    <x v="2"/>
    <n v="0.25"/>
  </r>
  <r>
    <x v="3"/>
    <d v="2011-04-22T11:12:12"/>
    <n v="16"/>
    <s v="Romaine lettuce"/>
    <n v="30"/>
    <n v="15"/>
    <n v="450"/>
    <n v="14"/>
    <n v="420"/>
    <n v="30"/>
    <n v="846"/>
    <s v="The Dandelion"/>
    <x v="1"/>
    <n v="6.6666666666666666E-2"/>
  </r>
  <r>
    <x v="3"/>
    <d v="2011-04-23T00:40:12"/>
    <n v="16"/>
    <s v="Romaine lettuce"/>
    <n v="34"/>
    <n v="15"/>
    <n v="510"/>
    <n v="14"/>
    <n v="476"/>
    <n v="34"/>
    <n v="6"/>
    <s v="Pierce Arrow"/>
    <x v="1"/>
    <n v="6.6666666666666666E-2"/>
  </r>
  <r>
    <x v="3"/>
    <d v="2011-04-23T03:35:28"/>
    <n v="16"/>
    <s v="Romaine lettuce"/>
    <n v="17"/>
    <n v="15"/>
    <n v="255"/>
    <n v="14"/>
    <n v="238"/>
    <n v="17"/>
    <n v="572"/>
    <s v="Flagstaff House"/>
    <x v="1"/>
    <n v="6.6666666666666666E-2"/>
  </r>
  <r>
    <x v="3"/>
    <d v="2011-04-23T09:10:54"/>
    <n v="31"/>
    <s v="Peppers"/>
    <n v="28"/>
    <n v="21"/>
    <n v="588"/>
    <n v="12"/>
    <n v="336"/>
    <n v="252"/>
    <n v="846"/>
    <s v="The Dandelion"/>
    <x v="1"/>
    <n v="0.42857142857142855"/>
  </r>
  <r>
    <x v="3"/>
    <d v="2011-04-24T00:47:53"/>
    <n v="31"/>
    <s v="Peppers"/>
    <n v="45"/>
    <n v="21"/>
    <n v="945"/>
    <n v="12"/>
    <n v="540"/>
    <n v="405"/>
    <n v="557"/>
    <s v="Carmens"/>
    <x v="0"/>
    <n v="0.42857142857142855"/>
  </r>
  <r>
    <x v="3"/>
    <d v="2011-04-24T01:03:54"/>
    <n v="16"/>
    <s v="Romaine lettuce"/>
    <n v="54"/>
    <n v="15"/>
    <n v="810"/>
    <n v="14"/>
    <n v="756"/>
    <n v="54"/>
    <n v="233"/>
    <s v="Bert's Bistro"/>
    <x v="2"/>
    <n v="6.6666666666666666E-2"/>
  </r>
  <r>
    <x v="3"/>
    <d v="2011-04-24T05:48:39"/>
    <n v="30"/>
    <s v="Red onions"/>
    <n v="23"/>
    <n v="12"/>
    <n v="276"/>
    <n v="8"/>
    <n v="184"/>
    <n v="92"/>
    <n v="6"/>
    <s v="Pierce Arrow"/>
    <x v="2"/>
    <n v="0.33333333333333331"/>
  </r>
  <r>
    <x v="3"/>
    <d v="2011-04-24T11:19:47"/>
    <n v="16"/>
    <s v="Romaine lettuce"/>
    <n v="85"/>
    <n v="15"/>
    <n v="1275"/>
    <n v="14"/>
    <n v="1190"/>
    <n v="85"/>
    <n v="686"/>
    <s v="Laudisio"/>
    <x v="1"/>
    <n v="6.6666666666666666E-2"/>
  </r>
  <r>
    <x v="3"/>
    <d v="2011-04-24T13:04:12"/>
    <n v="100"/>
    <s v="Parmesan cheese"/>
    <n v="89"/>
    <n v="8"/>
    <n v="712"/>
    <n v="4"/>
    <n v="356"/>
    <n v="356"/>
    <n v="23"/>
    <s v="Two Bitts"/>
    <x v="1"/>
    <n v="0.5"/>
  </r>
  <r>
    <x v="3"/>
    <d v="2011-04-24T22:26:18"/>
    <n v="16"/>
    <s v="Romaine lettuce"/>
    <n v="24"/>
    <n v="15"/>
    <n v="360"/>
    <n v="14"/>
    <n v="336"/>
    <n v="24"/>
    <n v="686"/>
    <s v="Laudisio"/>
    <x v="1"/>
    <n v="6.6666666666666666E-2"/>
  </r>
  <r>
    <x v="3"/>
    <d v="2011-04-26T13:25:42"/>
    <n v="30"/>
    <s v="Red onions"/>
    <n v="85"/>
    <n v="12"/>
    <n v="1020"/>
    <n v="8"/>
    <n v="680"/>
    <n v="340"/>
    <n v="14"/>
    <s v="Smoke House"/>
    <x v="2"/>
    <n v="0.33333333333333331"/>
  </r>
  <r>
    <x v="3"/>
    <d v="2011-04-26T20:32:59"/>
    <n v="4"/>
    <s v="Tomatoes"/>
    <n v="86"/>
    <n v="9"/>
    <n v="774"/>
    <n v="7"/>
    <n v="602"/>
    <n v="172"/>
    <n v="6"/>
    <s v="Pierce Arrow"/>
    <x v="1"/>
    <n v="0.22222222222222221"/>
  </r>
  <r>
    <x v="3"/>
    <d v="2011-04-27T12:06:40"/>
    <n v="30"/>
    <s v="Red onions"/>
    <n v="95"/>
    <n v="12"/>
    <n v="1140"/>
    <n v="8"/>
    <n v="760"/>
    <n v="380"/>
    <n v="686"/>
    <s v="Laudisio"/>
    <x v="2"/>
    <n v="0.33333333333333331"/>
  </r>
  <r>
    <x v="3"/>
    <d v="2011-04-27T12:48:41"/>
    <n v="4"/>
    <s v="Tomatoes"/>
    <n v="19"/>
    <n v="9"/>
    <n v="171"/>
    <n v="7"/>
    <n v="133"/>
    <n v="38"/>
    <n v="14"/>
    <s v="Smoke House"/>
    <x v="2"/>
    <n v="0.22222222222222221"/>
  </r>
  <r>
    <x v="3"/>
    <d v="2011-04-28T14:51:51"/>
    <n v="4"/>
    <s v="Tomatoes"/>
    <n v="82"/>
    <n v="9"/>
    <n v="738"/>
    <n v="7"/>
    <n v="574"/>
    <n v="164"/>
    <n v="233"/>
    <s v="Bert's Bistro"/>
    <x v="2"/>
    <n v="0.22222222222222221"/>
  </r>
  <r>
    <x v="3"/>
    <d v="2011-04-29T00:01:15"/>
    <n v="30"/>
    <s v="Red onions"/>
    <n v="48"/>
    <n v="12"/>
    <n v="576"/>
    <n v="8"/>
    <n v="384"/>
    <n v="192"/>
    <n v="557"/>
    <s v="Carmens"/>
    <x v="0"/>
    <n v="0.33333333333333331"/>
  </r>
  <r>
    <x v="3"/>
    <d v="2011-04-30T14:29:43"/>
    <n v="100"/>
    <s v="Parmesan cheese"/>
    <n v="10"/>
    <n v="8"/>
    <n v="80"/>
    <n v="4"/>
    <n v="40"/>
    <n v="40"/>
    <n v="572"/>
    <s v="Flagstaff House"/>
    <x v="0"/>
    <n v="0.5"/>
  </r>
  <r>
    <x v="4"/>
    <d v="2011-05-01T10:11:09"/>
    <n v="4"/>
    <s v="Tomatoes"/>
    <n v="62"/>
    <n v="9"/>
    <n v="558"/>
    <n v="7"/>
    <n v="434"/>
    <n v="124"/>
    <n v="846"/>
    <s v="The Dandelion"/>
    <x v="2"/>
    <n v="0.22222222222222221"/>
  </r>
  <r>
    <x v="4"/>
    <d v="2011-05-03T07:42:40"/>
    <n v="39"/>
    <s v="Pineapple"/>
    <n v="3"/>
    <n v="33"/>
    <n v="99"/>
    <n v="28"/>
    <n v="84"/>
    <n v="15"/>
    <n v="572"/>
    <s v="Flagstaff House"/>
    <x v="2"/>
    <n v="0.15151515151515152"/>
  </r>
  <r>
    <x v="4"/>
    <d v="2011-05-03T13:21:40"/>
    <n v="30"/>
    <s v="Red onions"/>
    <n v="25"/>
    <n v="12"/>
    <n v="300"/>
    <n v="8"/>
    <n v="200"/>
    <n v="100"/>
    <n v="23"/>
    <s v="Two Bitts"/>
    <x v="2"/>
    <n v="0.33333333333333331"/>
  </r>
  <r>
    <x v="4"/>
    <d v="2011-05-04T21:18:53"/>
    <n v="4"/>
    <s v="Tomatoes"/>
    <n v="25"/>
    <n v="9"/>
    <n v="225"/>
    <n v="7"/>
    <n v="175"/>
    <n v="50"/>
    <n v="23"/>
    <s v="Two Bitts"/>
    <x v="2"/>
    <n v="0.22222222222222221"/>
  </r>
  <r>
    <x v="4"/>
    <d v="2011-05-05T17:09:32"/>
    <n v="16"/>
    <s v="Romaine lettuce"/>
    <n v="84"/>
    <n v="15"/>
    <n v="1260"/>
    <n v="14"/>
    <n v="1176"/>
    <n v="84"/>
    <n v="846"/>
    <s v="The Dandelion"/>
    <x v="2"/>
    <n v="6.6666666666666666E-2"/>
  </r>
  <r>
    <x v="4"/>
    <d v="2011-05-05T21:54:04"/>
    <n v="39"/>
    <s v="Pineapple"/>
    <n v="51"/>
    <n v="33"/>
    <n v="1683"/>
    <n v="28"/>
    <n v="1428"/>
    <n v="255"/>
    <n v="95"/>
    <s v="Mamm'a Pasta Palace"/>
    <x v="2"/>
    <n v="0.15151515151515152"/>
  </r>
  <r>
    <x v="4"/>
    <d v="2011-05-06T02:28:04"/>
    <n v="2"/>
    <s v="Black olives"/>
    <n v="63"/>
    <n v="12"/>
    <n v="756"/>
    <n v="6"/>
    <n v="378"/>
    <n v="378"/>
    <n v="23"/>
    <s v="Two Bitts"/>
    <x v="2"/>
    <n v="0.5"/>
  </r>
  <r>
    <x v="4"/>
    <d v="2011-05-06T06:08:35"/>
    <n v="16"/>
    <s v="Romaine lettuce"/>
    <n v="18"/>
    <n v="15"/>
    <n v="270"/>
    <n v="14"/>
    <n v="252"/>
    <n v="18"/>
    <n v="315"/>
    <s v="The Station"/>
    <x v="2"/>
    <n v="6.6666666666666666E-2"/>
  </r>
  <r>
    <x v="4"/>
    <d v="2011-05-06T19:37:25"/>
    <n v="4"/>
    <s v="Tomatoes"/>
    <n v="10"/>
    <n v="9"/>
    <n v="90"/>
    <n v="7"/>
    <n v="70"/>
    <n v="20"/>
    <n v="14"/>
    <s v="Smoke House"/>
    <x v="2"/>
    <n v="0.22222222222222221"/>
  </r>
  <r>
    <x v="4"/>
    <d v="2011-05-07T13:23:33"/>
    <n v="19"/>
    <s v="Chicken"/>
    <n v="84"/>
    <n v="36"/>
    <n v="3024"/>
    <n v="25"/>
    <n v="2100"/>
    <n v="924"/>
    <n v="23"/>
    <s v="Two Bitts"/>
    <x v="2"/>
    <n v="0.30555555555555558"/>
  </r>
  <r>
    <x v="4"/>
    <d v="2011-05-08T03:52:45"/>
    <n v="22"/>
    <s v="Mozzarella cheese"/>
    <n v="69"/>
    <n v="24"/>
    <n v="1656"/>
    <n v="18"/>
    <n v="1242"/>
    <n v="414"/>
    <n v="557"/>
    <s v="Carmens"/>
    <x v="2"/>
    <n v="0.25"/>
  </r>
  <r>
    <x v="4"/>
    <d v="2011-05-08T20:46:56"/>
    <n v="16"/>
    <s v="Romaine lettuce"/>
    <n v="88"/>
    <n v="15"/>
    <n v="1320"/>
    <n v="14"/>
    <n v="1232"/>
    <n v="88"/>
    <n v="572"/>
    <s v="Flagstaff House"/>
    <x v="2"/>
    <n v="6.6666666666666666E-2"/>
  </r>
  <r>
    <x v="4"/>
    <d v="2011-05-10T14:14:51"/>
    <n v="16"/>
    <s v="Romaine lettuce"/>
    <n v="98"/>
    <n v="15"/>
    <n v="1470"/>
    <n v="14"/>
    <n v="1372"/>
    <n v="98"/>
    <n v="686"/>
    <s v="Laudisio"/>
    <x v="2"/>
    <n v="6.6666666666666666E-2"/>
  </r>
  <r>
    <x v="4"/>
    <d v="2011-05-11T03:52:09"/>
    <n v="98"/>
    <s v="Sausage"/>
    <n v="52"/>
    <n v="18"/>
    <n v="936"/>
    <n v="8"/>
    <n v="416"/>
    <n v="520"/>
    <n v="572"/>
    <s v="Flagstaff House"/>
    <x v="2"/>
    <n v="0.55555555555555558"/>
  </r>
  <r>
    <x v="4"/>
    <d v="2011-05-12T09:10:47"/>
    <n v="100"/>
    <s v="Parmesan cheese"/>
    <n v="28"/>
    <n v="8"/>
    <n v="224"/>
    <n v="4"/>
    <n v="112"/>
    <n v="112"/>
    <n v="846"/>
    <s v="The Dandelion"/>
    <x v="2"/>
    <n v="0.5"/>
  </r>
  <r>
    <x v="4"/>
    <d v="2011-05-12T21:24:09"/>
    <n v="30"/>
    <s v="Red onions"/>
    <n v="79"/>
    <n v="12"/>
    <n v="948"/>
    <n v="8"/>
    <n v="632"/>
    <n v="316"/>
    <n v="572"/>
    <s v="Flagstaff House"/>
    <x v="2"/>
    <n v="0.33333333333333331"/>
  </r>
  <r>
    <x v="4"/>
    <d v="2011-05-14T03:32:22"/>
    <n v="30"/>
    <s v="Red onions"/>
    <n v="53"/>
    <n v="12"/>
    <n v="636"/>
    <n v="8"/>
    <n v="424"/>
    <n v="212"/>
    <n v="846"/>
    <s v="The Dandelion"/>
    <x v="2"/>
    <n v="0.33333333333333331"/>
  </r>
  <r>
    <x v="4"/>
    <d v="2011-05-14T05:34:51"/>
    <n v="100"/>
    <s v="Parmesan cheese"/>
    <n v="78"/>
    <n v="8"/>
    <n v="624"/>
    <n v="4"/>
    <n v="312"/>
    <n v="312"/>
    <n v="95"/>
    <s v="Mamm'a Pasta Palace"/>
    <x v="2"/>
    <n v="0.5"/>
  </r>
  <r>
    <x v="4"/>
    <d v="2011-05-14T12:44:32"/>
    <n v="100"/>
    <s v="Parmesan cheese"/>
    <n v="69"/>
    <n v="8"/>
    <n v="552"/>
    <n v="4"/>
    <n v="276"/>
    <n v="276"/>
    <n v="686"/>
    <s v="Laudisio"/>
    <x v="1"/>
    <n v="0.5"/>
  </r>
  <r>
    <x v="4"/>
    <d v="2011-05-14T16:30:10"/>
    <n v="31"/>
    <s v="Peppers"/>
    <n v="60"/>
    <n v="21"/>
    <n v="1260"/>
    <n v="12"/>
    <n v="720"/>
    <n v="540"/>
    <n v="572"/>
    <s v="Flagstaff House"/>
    <x v="1"/>
    <n v="0.42857142857142855"/>
  </r>
  <r>
    <x v="4"/>
    <d v="2011-05-14T22:48:34"/>
    <n v="19"/>
    <s v="Chicken"/>
    <n v="34"/>
    <n v="36"/>
    <n v="1224"/>
    <n v="25"/>
    <n v="850"/>
    <n v="374"/>
    <n v="95"/>
    <s v="Mamm'a Pasta Palace"/>
    <x v="2"/>
    <n v="0.30555555555555558"/>
  </r>
  <r>
    <x v="4"/>
    <d v="2011-05-15T09:48:50"/>
    <n v="4"/>
    <s v="Tomatoes"/>
    <n v="30"/>
    <n v="9"/>
    <n v="270"/>
    <n v="7"/>
    <n v="210"/>
    <n v="60"/>
    <n v="23"/>
    <s v="Two Bitts"/>
    <x v="2"/>
    <n v="0.22222222222222221"/>
  </r>
  <r>
    <x v="4"/>
    <d v="2011-05-16T16:39:53"/>
    <n v="16"/>
    <s v="Romaine lettuce"/>
    <n v="60"/>
    <n v="15"/>
    <n v="900"/>
    <n v="14"/>
    <n v="840"/>
    <n v="60"/>
    <n v="95"/>
    <s v="Mamm'a Pasta Palace"/>
    <x v="2"/>
    <n v="6.6666666666666666E-2"/>
  </r>
  <r>
    <x v="4"/>
    <d v="2011-05-16T22:41:01"/>
    <n v="100"/>
    <s v="Parmesan cheese"/>
    <n v="78"/>
    <n v="8"/>
    <n v="624"/>
    <n v="4"/>
    <n v="312"/>
    <n v="312"/>
    <n v="315"/>
    <s v="The Station"/>
    <x v="2"/>
    <n v="0.5"/>
  </r>
  <r>
    <x v="4"/>
    <d v="2011-05-17T18:01:27"/>
    <n v="100"/>
    <s v="Parmesan cheese"/>
    <n v="46"/>
    <n v="8"/>
    <n v="368"/>
    <n v="4"/>
    <n v="184"/>
    <n v="184"/>
    <n v="23"/>
    <s v="Two Bitts"/>
    <x v="1"/>
    <n v="0.5"/>
  </r>
  <r>
    <x v="4"/>
    <d v="2011-05-18T20:26:08"/>
    <n v="39"/>
    <s v="Pineapple"/>
    <n v="65"/>
    <n v="33"/>
    <n v="2145"/>
    <n v="28"/>
    <n v="1820"/>
    <n v="325"/>
    <n v="846"/>
    <s v="The Dandelion"/>
    <x v="2"/>
    <n v="0.15151515151515152"/>
  </r>
  <r>
    <x v="4"/>
    <d v="2011-05-19T07:27:10"/>
    <n v="31"/>
    <s v="Peppers"/>
    <n v="88"/>
    <n v="21"/>
    <n v="1848"/>
    <n v="12"/>
    <n v="1056"/>
    <n v="792"/>
    <n v="95"/>
    <s v="Mamm'a Pasta Palace"/>
    <x v="2"/>
    <n v="0.42857142857142855"/>
  </r>
  <r>
    <x v="4"/>
    <d v="2011-05-19T11:03:09"/>
    <n v="30"/>
    <s v="Red onions"/>
    <n v="76"/>
    <n v="12"/>
    <n v="912"/>
    <n v="8"/>
    <n v="608"/>
    <n v="304"/>
    <n v="557"/>
    <s v="Carmens"/>
    <x v="2"/>
    <n v="0.33333333333333331"/>
  </r>
  <r>
    <x v="4"/>
    <d v="2011-05-19T15:49:56"/>
    <n v="100"/>
    <s v="Parmesan cheese"/>
    <n v="11"/>
    <n v="8"/>
    <n v="88"/>
    <n v="4"/>
    <n v="44"/>
    <n v="44"/>
    <n v="572"/>
    <s v="Flagstaff House"/>
    <x v="2"/>
    <n v="0.5"/>
  </r>
  <r>
    <x v="4"/>
    <d v="2011-05-19T19:11:24"/>
    <n v="22"/>
    <s v="Mozzarella cheese"/>
    <n v="35"/>
    <n v="24"/>
    <n v="840"/>
    <n v="18"/>
    <n v="630"/>
    <n v="210"/>
    <n v="6"/>
    <s v="Pierce Arrow"/>
    <x v="1"/>
    <n v="0.25"/>
  </r>
  <r>
    <x v="4"/>
    <d v="2011-05-19T21:19:36"/>
    <n v="16"/>
    <s v="Romaine lettuce"/>
    <n v="98"/>
    <n v="15"/>
    <n v="1470"/>
    <n v="14"/>
    <n v="1372"/>
    <n v="98"/>
    <n v="233"/>
    <s v="Bert's Bistro"/>
    <x v="1"/>
    <n v="6.6666666666666666E-2"/>
  </r>
  <r>
    <x v="4"/>
    <d v="2011-05-20T01:17:59"/>
    <n v="31"/>
    <s v="Peppers"/>
    <n v="57"/>
    <n v="21"/>
    <n v="1197"/>
    <n v="12"/>
    <n v="684"/>
    <n v="513"/>
    <n v="846"/>
    <s v="The Dandelion"/>
    <x v="2"/>
    <n v="0.42857142857142855"/>
  </r>
  <r>
    <x v="4"/>
    <d v="2011-05-21T13:10:34"/>
    <n v="31"/>
    <s v="Peppers"/>
    <n v="11"/>
    <n v="21"/>
    <n v="231"/>
    <n v="12"/>
    <n v="132"/>
    <n v="99"/>
    <n v="95"/>
    <s v="Mamm'a Pasta Palace"/>
    <x v="1"/>
    <n v="0.42857142857142855"/>
  </r>
  <r>
    <x v="4"/>
    <d v="2011-05-21T15:37:12"/>
    <n v="31"/>
    <s v="Peppers"/>
    <n v="81"/>
    <n v="21"/>
    <n v="1701"/>
    <n v="12"/>
    <n v="972"/>
    <n v="729"/>
    <n v="6"/>
    <s v="Pierce Arrow"/>
    <x v="2"/>
    <n v="0.42857142857142855"/>
  </r>
  <r>
    <x v="4"/>
    <d v="2011-05-22T03:01:13"/>
    <n v="19"/>
    <s v="Chicken"/>
    <n v="93"/>
    <n v="36"/>
    <n v="3348"/>
    <n v="25"/>
    <n v="2325"/>
    <n v="1023"/>
    <n v="95"/>
    <s v="Mamm'a Pasta Palace"/>
    <x v="2"/>
    <n v="0.30555555555555558"/>
  </r>
  <r>
    <x v="4"/>
    <d v="2011-05-23T03:04:45"/>
    <n v="16"/>
    <s v="Romaine lettuce"/>
    <n v="2"/>
    <n v="15"/>
    <n v="30"/>
    <n v="14"/>
    <n v="28"/>
    <n v="2"/>
    <n v="572"/>
    <s v="Flagstaff House"/>
    <x v="2"/>
    <n v="6.6666666666666666E-2"/>
  </r>
  <r>
    <x v="4"/>
    <d v="2011-05-23T21:33:47"/>
    <n v="98"/>
    <s v="Sausage"/>
    <n v="78"/>
    <n v="18"/>
    <n v="1404"/>
    <n v="8"/>
    <n v="624"/>
    <n v="780"/>
    <n v="14"/>
    <s v="Smoke House"/>
    <x v="1"/>
    <n v="0.55555555555555558"/>
  </r>
  <r>
    <x v="4"/>
    <d v="2011-05-24T00:18:16"/>
    <n v="30"/>
    <s v="Red onions"/>
    <n v="99"/>
    <n v="12"/>
    <n v="1188"/>
    <n v="8"/>
    <n v="792"/>
    <n v="396"/>
    <n v="557"/>
    <s v="Carmens"/>
    <x v="2"/>
    <n v="0.33333333333333331"/>
  </r>
  <r>
    <x v="4"/>
    <d v="2011-05-24T07:04:54"/>
    <n v="98"/>
    <s v="Sausage"/>
    <n v="43"/>
    <n v="18"/>
    <n v="774"/>
    <n v="8"/>
    <n v="344"/>
    <n v="430"/>
    <n v="686"/>
    <s v="Laudisio"/>
    <x v="1"/>
    <n v="0.55555555555555558"/>
  </r>
  <r>
    <x v="4"/>
    <d v="2011-05-24T15:37:12"/>
    <n v="39"/>
    <s v="Pineapple"/>
    <n v="51"/>
    <n v="33"/>
    <n v="1683"/>
    <n v="28"/>
    <n v="1428"/>
    <n v="255"/>
    <n v="572"/>
    <s v="Flagstaff House"/>
    <x v="2"/>
    <n v="0.15151515151515152"/>
  </r>
  <r>
    <x v="4"/>
    <d v="2011-05-26T01:22:15"/>
    <n v="16"/>
    <s v="Romaine lettuce"/>
    <n v="46"/>
    <n v="15"/>
    <n v="690"/>
    <n v="14"/>
    <n v="644"/>
    <n v="46"/>
    <n v="23"/>
    <s v="Two Bitts"/>
    <x v="2"/>
    <n v="6.6666666666666666E-2"/>
  </r>
  <r>
    <x v="4"/>
    <d v="2011-05-27T01:57:01"/>
    <n v="39"/>
    <s v="Pineapple"/>
    <n v="29"/>
    <n v="33"/>
    <n v="957"/>
    <n v="28"/>
    <n v="812"/>
    <n v="145"/>
    <n v="557"/>
    <s v="Carmens"/>
    <x v="2"/>
    <n v="0.15151515151515152"/>
  </r>
  <r>
    <x v="4"/>
    <d v="2011-05-27T18:51:10"/>
    <n v="30"/>
    <s v="Red onions"/>
    <n v="63"/>
    <n v="12"/>
    <n v="756"/>
    <n v="8"/>
    <n v="504"/>
    <n v="252"/>
    <n v="23"/>
    <s v="Two Bitts"/>
    <x v="2"/>
    <n v="0.33333333333333331"/>
  </r>
  <r>
    <x v="4"/>
    <d v="2011-05-28T11:32:21"/>
    <n v="39"/>
    <s v="Pineapple"/>
    <n v="60"/>
    <n v="33"/>
    <n v="1980"/>
    <n v="28"/>
    <n v="1680"/>
    <n v="300"/>
    <n v="557"/>
    <s v="Carmens"/>
    <x v="2"/>
    <n v="0.15151515151515152"/>
  </r>
  <r>
    <x v="4"/>
    <d v="2011-05-28T22:57:14"/>
    <n v="100"/>
    <s v="Parmesan cheese"/>
    <n v="46"/>
    <n v="8"/>
    <n v="368"/>
    <n v="4"/>
    <n v="184"/>
    <n v="184"/>
    <n v="6"/>
    <s v="Pierce Arrow"/>
    <x v="2"/>
    <n v="0.5"/>
  </r>
  <r>
    <x v="4"/>
    <d v="2011-05-29T04:56:51"/>
    <n v="4"/>
    <s v="Tomatoes"/>
    <n v="5"/>
    <n v="9"/>
    <n v="45"/>
    <n v="7"/>
    <n v="35"/>
    <n v="10"/>
    <n v="14"/>
    <s v="Smoke House"/>
    <x v="1"/>
    <n v="0.22222222222222221"/>
  </r>
  <r>
    <x v="4"/>
    <d v="2011-05-29T12:11:04"/>
    <n v="31"/>
    <s v="Peppers"/>
    <n v="92"/>
    <n v="21"/>
    <n v="1932"/>
    <n v="12"/>
    <n v="1104"/>
    <n v="828"/>
    <n v="557"/>
    <s v="Carmens"/>
    <x v="1"/>
    <n v="0.42857142857142855"/>
  </r>
  <r>
    <x v="4"/>
    <d v="2011-05-29T17:30:10"/>
    <n v="31"/>
    <s v="Peppers"/>
    <n v="1"/>
    <n v="21"/>
    <n v="21"/>
    <n v="12"/>
    <n v="12"/>
    <n v="9"/>
    <n v="95"/>
    <s v="Mamm'a Pasta Palace"/>
    <x v="1"/>
    <n v="0.42857142857142855"/>
  </r>
  <r>
    <x v="4"/>
    <d v="2011-05-30T05:43:18"/>
    <n v="31"/>
    <s v="Peppers"/>
    <n v="33"/>
    <n v="21"/>
    <n v="693"/>
    <n v="12"/>
    <n v="396"/>
    <n v="297"/>
    <n v="14"/>
    <s v="Smoke House"/>
    <x v="2"/>
    <n v="0.42857142857142855"/>
  </r>
  <r>
    <x v="4"/>
    <d v="2011-05-30T19:16:18"/>
    <n v="4"/>
    <s v="Tomatoes"/>
    <n v="56"/>
    <n v="9"/>
    <n v="504"/>
    <n v="7"/>
    <n v="392"/>
    <n v="112"/>
    <n v="23"/>
    <s v="Two Bitts"/>
    <x v="2"/>
    <n v="0.22222222222222221"/>
  </r>
  <r>
    <x v="5"/>
    <d v="2011-06-01T06:57:39"/>
    <n v="4"/>
    <s v="Tomatoes"/>
    <n v="54"/>
    <n v="9"/>
    <n v="486"/>
    <n v="7"/>
    <n v="378"/>
    <n v="108"/>
    <n v="23"/>
    <s v="Two Bitts"/>
    <x v="1"/>
    <n v="0.22222222222222221"/>
  </r>
  <r>
    <x v="5"/>
    <d v="2011-06-02T01:57:55"/>
    <n v="85"/>
    <s v="Pepperoni"/>
    <n v="63"/>
    <n v="53"/>
    <n v="3339"/>
    <n v="35"/>
    <n v="2205"/>
    <n v="1134"/>
    <n v="233"/>
    <s v="Bert's Bistro"/>
    <x v="1"/>
    <n v="0.33962264150943394"/>
  </r>
  <r>
    <x v="5"/>
    <d v="2011-06-04T17:46:19"/>
    <n v="30"/>
    <s v="Red onions"/>
    <n v="48"/>
    <n v="12"/>
    <n v="576"/>
    <n v="8"/>
    <n v="384"/>
    <n v="192"/>
    <n v="686"/>
    <s v="Laudisio"/>
    <x v="2"/>
    <n v="0.33333333333333331"/>
  </r>
  <r>
    <x v="5"/>
    <d v="2011-06-07T22:31:48"/>
    <n v="31"/>
    <s v="Peppers"/>
    <n v="39"/>
    <n v="21"/>
    <n v="819"/>
    <n v="12"/>
    <n v="468"/>
    <n v="351"/>
    <n v="95"/>
    <s v="Mamm'a Pasta Palace"/>
    <x v="1"/>
    <n v="0.42857142857142855"/>
  </r>
  <r>
    <x v="5"/>
    <d v="2011-06-08T03:04:31"/>
    <n v="16"/>
    <s v="Romaine lettuce"/>
    <n v="53"/>
    <n v="15"/>
    <n v="795"/>
    <n v="14"/>
    <n v="742"/>
    <n v="53"/>
    <n v="95"/>
    <s v="Mamm'a Pasta Palace"/>
    <x v="2"/>
    <n v="6.6666666666666666E-2"/>
  </r>
  <r>
    <x v="5"/>
    <d v="2011-06-08T07:22:45"/>
    <n v="22"/>
    <s v="Mozzarella cheese"/>
    <n v="76"/>
    <n v="24"/>
    <n v="1824"/>
    <n v="18"/>
    <n v="1368"/>
    <n v="456"/>
    <n v="14"/>
    <s v="Smoke House"/>
    <x v="1"/>
    <n v="0.25"/>
  </r>
  <r>
    <x v="5"/>
    <d v="2011-06-08T15:48:16"/>
    <n v="39"/>
    <s v="Pineapple"/>
    <n v="70"/>
    <n v="33"/>
    <n v="2310"/>
    <n v="28"/>
    <n v="1960"/>
    <n v="350"/>
    <n v="686"/>
    <s v="Laudisio"/>
    <x v="1"/>
    <n v="0.15151515151515152"/>
  </r>
  <r>
    <x v="5"/>
    <d v="2011-06-10T05:14:42"/>
    <n v="30"/>
    <s v="Red onions"/>
    <n v="38"/>
    <n v="12"/>
    <n v="456"/>
    <n v="8"/>
    <n v="304"/>
    <n v="152"/>
    <n v="6"/>
    <s v="Pierce Arrow"/>
    <x v="2"/>
    <n v="0.33333333333333331"/>
  </r>
  <r>
    <x v="5"/>
    <d v="2011-06-10T16:52:19"/>
    <n v="4"/>
    <s v="Tomatoes"/>
    <n v="48"/>
    <n v="9"/>
    <n v="432"/>
    <n v="7"/>
    <n v="336"/>
    <n v="96"/>
    <n v="846"/>
    <s v="The Dandelion"/>
    <x v="1"/>
    <n v="0.22222222222222221"/>
  </r>
  <r>
    <x v="5"/>
    <d v="2011-06-11T00:02:12"/>
    <n v="100"/>
    <s v="Parmesan cheese"/>
    <n v="95"/>
    <n v="8"/>
    <n v="760"/>
    <n v="4"/>
    <n v="380"/>
    <n v="380"/>
    <n v="95"/>
    <s v="Mamm'a Pasta Palace"/>
    <x v="2"/>
    <n v="0.5"/>
  </r>
  <r>
    <x v="5"/>
    <d v="2011-06-11T01:13:53"/>
    <n v="31"/>
    <s v="Peppers"/>
    <n v="55"/>
    <n v="21"/>
    <n v="1155"/>
    <n v="12"/>
    <n v="660"/>
    <n v="495"/>
    <n v="95"/>
    <s v="Mamm'a Pasta Palace"/>
    <x v="1"/>
    <n v="0.42857142857142855"/>
  </r>
  <r>
    <x v="5"/>
    <d v="2011-06-11T04:36:18"/>
    <n v="16"/>
    <s v="Romaine lettuce"/>
    <n v="10"/>
    <n v="15"/>
    <n v="150"/>
    <n v="14"/>
    <n v="140"/>
    <n v="10"/>
    <n v="23"/>
    <s v="Two Bitts"/>
    <x v="2"/>
    <n v="6.6666666666666666E-2"/>
  </r>
  <r>
    <x v="5"/>
    <d v="2011-06-11T05:20:48"/>
    <n v="6"/>
    <s v="Sun dried tomatoes"/>
    <n v="8"/>
    <n v="55"/>
    <n v="440"/>
    <n v="25"/>
    <n v="200"/>
    <n v="240"/>
    <n v="6"/>
    <s v="Pierce Arrow"/>
    <x v="2"/>
    <n v="0.54545454545454541"/>
  </r>
  <r>
    <x v="5"/>
    <d v="2011-06-12T02:43:24"/>
    <n v="100"/>
    <s v="Parmesan cheese"/>
    <n v="95"/>
    <n v="8"/>
    <n v="760"/>
    <n v="4"/>
    <n v="380"/>
    <n v="380"/>
    <n v="557"/>
    <s v="Carmens"/>
    <x v="0"/>
    <n v="0.5"/>
  </r>
  <r>
    <x v="5"/>
    <d v="2011-06-12T05:37:59"/>
    <n v="4"/>
    <s v="Tomatoes"/>
    <n v="45"/>
    <n v="9"/>
    <n v="405"/>
    <n v="7"/>
    <n v="315"/>
    <n v="90"/>
    <n v="315"/>
    <s v="The Station"/>
    <x v="2"/>
    <n v="0.22222222222222221"/>
  </r>
  <r>
    <x v="5"/>
    <d v="2011-06-12T13:22:02"/>
    <n v="30"/>
    <s v="Red onions"/>
    <n v="87"/>
    <n v="12"/>
    <n v="1044"/>
    <n v="8"/>
    <n v="696"/>
    <n v="348"/>
    <n v="557"/>
    <s v="Carmens"/>
    <x v="2"/>
    <n v="0.33333333333333331"/>
  </r>
  <r>
    <x v="5"/>
    <d v="2011-06-13T04:17:58"/>
    <n v="100"/>
    <s v="Parmesan cheese"/>
    <n v="2"/>
    <n v="8"/>
    <n v="16"/>
    <n v="4"/>
    <n v="8"/>
    <n v="8"/>
    <n v="14"/>
    <s v="Smoke House"/>
    <x v="1"/>
    <n v="0.5"/>
  </r>
  <r>
    <x v="5"/>
    <d v="2011-06-13T08:13:58"/>
    <n v="100"/>
    <s v="Parmesan cheese"/>
    <n v="85"/>
    <n v="8"/>
    <n v="680"/>
    <n v="4"/>
    <n v="340"/>
    <n v="340"/>
    <n v="572"/>
    <s v="Flagstaff House"/>
    <x v="2"/>
    <n v="0.5"/>
  </r>
  <r>
    <x v="5"/>
    <d v="2011-06-14T02:17:19"/>
    <n v="19"/>
    <s v="Chicken"/>
    <n v="19"/>
    <n v="36"/>
    <n v="684"/>
    <n v="25"/>
    <n v="475"/>
    <n v="209"/>
    <n v="6"/>
    <s v="Pierce Arrow"/>
    <x v="2"/>
    <n v="0.30555555555555558"/>
  </r>
  <r>
    <x v="5"/>
    <d v="2011-06-14T05:41:52"/>
    <n v="100"/>
    <s v="Parmesan cheese"/>
    <n v="98"/>
    <n v="8"/>
    <n v="784"/>
    <n v="4"/>
    <n v="392"/>
    <n v="392"/>
    <n v="572"/>
    <s v="Flagstaff House"/>
    <x v="2"/>
    <n v="0.5"/>
  </r>
  <r>
    <x v="5"/>
    <d v="2011-06-15T06:44:35"/>
    <n v="16"/>
    <s v="Romaine lettuce"/>
    <n v="37"/>
    <n v="15"/>
    <n v="555"/>
    <n v="14"/>
    <n v="518"/>
    <n v="37"/>
    <n v="6"/>
    <s v="Pierce Arrow"/>
    <x v="2"/>
    <n v="6.6666666666666666E-2"/>
  </r>
  <r>
    <x v="5"/>
    <d v="2011-06-15T10:33:14"/>
    <n v="22"/>
    <s v="Mozzarella cheese"/>
    <n v="74"/>
    <n v="24"/>
    <n v="1776"/>
    <n v="18"/>
    <n v="1332"/>
    <n v="444"/>
    <n v="95"/>
    <s v="Mamm'a Pasta Palace"/>
    <x v="0"/>
    <n v="0.25"/>
  </r>
  <r>
    <x v="5"/>
    <d v="2011-06-15T20:35:25"/>
    <n v="31"/>
    <s v="Peppers"/>
    <n v="39"/>
    <n v="21"/>
    <n v="819"/>
    <n v="12"/>
    <n v="468"/>
    <n v="351"/>
    <n v="686"/>
    <s v="Laudisio"/>
    <x v="1"/>
    <n v="0.42857142857142855"/>
  </r>
  <r>
    <x v="5"/>
    <d v="2011-06-16T00:18:25"/>
    <n v="85"/>
    <s v="Pepperoni"/>
    <n v="55"/>
    <n v="53"/>
    <n v="2915"/>
    <n v="35"/>
    <n v="1925"/>
    <n v="990"/>
    <n v="6"/>
    <s v="Pierce Arrow"/>
    <x v="1"/>
    <n v="0.33962264150943394"/>
  </r>
  <r>
    <x v="5"/>
    <d v="2011-06-16T05:23:50"/>
    <n v="98"/>
    <s v="Sausage"/>
    <n v="44"/>
    <n v="18"/>
    <n v="792"/>
    <n v="8"/>
    <n v="352"/>
    <n v="440"/>
    <n v="95"/>
    <s v="Mamm'a Pasta Palace"/>
    <x v="2"/>
    <n v="0.55555555555555558"/>
  </r>
  <r>
    <x v="5"/>
    <d v="2011-06-17T05:16:51"/>
    <n v="16"/>
    <s v="Romaine lettuce"/>
    <n v="58"/>
    <n v="15"/>
    <n v="870"/>
    <n v="14"/>
    <n v="812"/>
    <n v="58"/>
    <n v="572"/>
    <s v="Flagstaff House"/>
    <x v="2"/>
    <n v="6.6666666666666666E-2"/>
  </r>
  <r>
    <x v="5"/>
    <d v="2011-06-17T17:54:26"/>
    <n v="4"/>
    <s v="Tomatoes"/>
    <n v="7"/>
    <n v="9"/>
    <n v="63"/>
    <n v="7"/>
    <n v="49"/>
    <n v="14"/>
    <n v="686"/>
    <s v="Laudisio"/>
    <x v="2"/>
    <n v="0.22222222222222221"/>
  </r>
  <r>
    <x v="5"/>
    <d v="2011-06-20T02:02:17"/>
    <n v="4"/>
    <s v="Tomatoes"/>
    <n v="99"/>
    <n v="9"/>
    <n v="891"/>
    <n v="7"/>
    <n v="693"/>
    <n v="198"/>
    <n v="14"/>
    <s v="Smoke House"/>
    <x v="2"/>
    <n v="0.22222222222222221"/>
  </r>
  <r>
    <x v="5"/>
    <d v="2011-06-21T06:52:29"/>
    <n v="4"/>
    <s v="Tomatoes"/>
    <n v="83"/>
    <n v="9"/>
    <n v="747"/>
    <n v="7"/>
    <n v="581"/>
    <n v="166"/>
    <n v="23"/>
    <s v="Two Bitts"/>
    <x v="1"/>
    <n v="0.22222222222222221"/>
  </r>
  <r>
    <x v="5"/>
    <d v="2011-06-21T10:32:33"/>
    <n v="22"/>
    <s v="Mozzarella cheese"/>
    <n v="4"/>
    <n v="24"/>
    <n v="96"/>
    <n v="18"/>
    <n v="72"/>
    <n v="24"/>
    <n v="23"/>
    <s v="Two Bitts"/>
    <x v="1"/>
    <n v="0.25"/>
  </r>
  <r>
    <x v="5"/>
    <d v="2011-06-21T21:59:12"/>
    <n v="16"/>
    <s v="Romaine lettuce"/>
    <n v="81"/>
    <n v="15"/>
    <n v="1215"/>
    <n v="14"/>
    <n v="1134"/>
    <n v="81"/>
    <n v="557"/>
    <s v="Carmens"/>
    <x v="2"/>
    <n v="6.6666666666666666E-2"/>
  </r>
  <r>
    <x v="5"/>
    <d v="2011-06-23T14:39:11"/>
    <n v="4"/>
    <s v="Tomatoes"/>
    <n v="91"/>
    <n v="9"/>
    <n v="819"/>
    <n v="7"/>
    <n v="637"/>
    <n v="182"/>
    <n v="557"/>
    <s v="Carmens"/>
    <x v="1"/>
    <n v="0.22222222222222221"/>
  </r>
  <r>
    <x v="5"/>
    <d v="2011-06-23T19:23:24"/>
    <n v="6"/>
    <s v="Sun dried tomatoes"/>
    <n v="36"/>
    <n v="55"/>
    <n v="1980"/>
    <n v="25"/>
    <n v="900"/>
    <n v="1080"/>
    <n v="686"/>
    <s v="Laudisio"/>
    <x v="2"/>
    <n v="0.54545454545454541"/>
  </r>
  <r>
    <x v="5"/>
    <d v="2011-06-25T23:45:36"/>
    <n v="4"/>
    <s v="Tomatoes"/>
    <n v="94"/>
    <n v="9"/>
    <n v="846"/>
    <n v="7"/>
    <n v="658"/>
    <n v="188"/>
    <n v="95"/>
    <s v="Mamm'a Pasta Palace"/>
    <x v="1"/>
    <n v="0.22222222222222221"/>
  </r>
  <r>
    <x v="5"/>
    <d v="2011-06-26T06:19:45"/>
    <n v="100"/>
    <s v="Parmesan cheese"/>
    <n v="12"/>
    <n v="8"/>
    <n v="96"/>
    <n v="4"/>
    <n v="48"/>
    <n v="48"/>
    <n v="14"/>
    <s v="Smoke House"/>
    <x v="1"/>
    <n v="0.5"/>
  </r>
  <r>
    <x v="5"/>
    <d v="2011-06-27T10:09:35"/>
    <n v="31"/>
    <s v="Peppers"/>
    <n v="3"/>
    <n v="21"/>
    <n v="63"/>
    <n v="12"/>
    <n v="36"/>
    <n v="27"/>
    <n v="233"/>
    <s v="Bert's Bistro"/>
    <x v="1"/>
    <n v="0.42857142857142855"/>
  </r>
  <r>
    <x v="5"/>
    <d v="2011-06-28T02:57:29"/>
    <n v="4"/>
    <s v="Tomatoes"/>
    <n v="49"/>
    <n v="9"/>
    <n v="441"/>
    <n v="7"/>
    <n v="343"/>
    <n v="98"/>
    <n v="14"/>
    <s v="Smoke House"/>
    <x v="2"/>
    <n v="0.22222222222222221"/>
  </r>
  <r>
    <x v="5"/>
    <d v="2011-06-28T04:57:09"/>
    <n v="98"/>
    <s v="Sausage"/>
    <n v="96"/>
    <n v="18"/>
    <n v="1728"/>
    <n v="8"/>
    <n v="768"/>
    <n v="960"/>
    <n v="23"/>
    <s v="Two Bitts"/>
    <x v="1"/>
    <n v="0.55555555555555558"/>
  </r>
  <r>
    <x v="5"/>
    <d v="2011-06-29T12:57:02"/>
    <n v="100"/>
    <s v="Parmesan cheese"/>
    <n v="94"/>
    <n v="8"/>
    <n v="752"/>
    <n v="4"/>
    <n v="376"/>
    <n v="376"/>
    <n v="23"/>
    <s v="Two Bitts"/>
    <x v="2"/>
    <n v="0.5"/>
  </r>
  <r>
    <x v="5"/>
    <d v="2011-06-29T21:29:02"/>
    <n v="30"/>
    <s v="Red onions"/>
    <n v="4"/>
    <n v="12"/>
    <n v="48"/>
    <n v="8"/>
    <n v="32"/>
    <n v="16"/>
    <n v="95"/>
    <s v="Mamm'a Pasta Palace"/>
    <x v="2"/>
    <n v="0.33333333333333331"/>
  </r>
  <r>
    <x v="5"/>
    <d v="2011-06-30T06:20:35"/>
    <n v="31"/>
    <s v="Peppers"/>
    <n v="58"/>
    <n v="21"/>
    <n v="1218"/>
    <n v="12"/>
    <n v="696"/>
    <n v="522"/>
    <n v="6"/>
    <s v="Pierce Arrow"/>
    <x v="1"/>
    <n v="0.42857142857142855"/>
  </r>
  <r>
    <x v="6"/>
    <d v="2011-07-02T03:50:11"/>
    <n v="22"/>
    <s v="Mozzarella cheese"/>
    <n v="31"/>
    <n v="24"/>
    <n v="744"/>
    <n v="18"/>
    <n v="558"/>
    <n v="186"/>
    <n v="572"/>
    <s v="Flagstaff House"/>
    <x v="0"/>
    <n v="0.25"/>
  </r>
  <r>
    <x v="6"/>
    <d v="2011-07-02T07:31:40"/>
    <n v="16"/>
    <s v="Romaine lettuce"/>
    <n v="3"/>
    <n v="15"/>
    <n v="45"/>
    <n v="14"/>
    <n v="42"/>
    <n v="3"/>
    <n v="572"/>
    <s v="Flagstaff House"/>
    <x v="0"/>
    <n v="6.6666666666666666E-2"/>
  </r>
  <r>
    <x v="6"/>
    <d v="2011-07-02T10:54:07"/>
    <n v="16"/>
    <s v="Romaine lettuce"/>
    <n v="10"/>
    <n v="15"/>
    <n v="150"/>
    <n v="14"/>
    <n v="140"/>
    <n v="10"/>
    <n v="846"/>
    <s v="The Dandelion"/>
    <x v="2"/>
    <n v="6.6666666666666666E-2"/>
  </r>
  <r>
    <x v="6"/>
    <d v="2011-07-03T08:57:22"/>
    <n v="16"/>
    <s v="Romaine lettuce"/>
    <n v="21"/>
    <n v="15"/>
    <n v="315"/>
    <n v="14"/>
    <n v="294"/>
    <n v="21"/>
    <n v="846"/>
    <s v="The Dandelion"/>
    <x v="2"/>
    <n v="6.6666666666666666E-2"/>
  </r>
  <r>
    <x v="6"/>
    <d v="2011-07-04T03:52:17"/>
    <n v="16"/>
    <s v="Romaine lettuce"/>
    <n v="65"/>
    <n v="15"/>
    <n v="975"/>
    <n v="14"/>
    <n v="910"/>
    <n v="65"/>
    <n v="686"/>
    <s v="Laudisio"/>
    <x v="1"/>
    <n v="6.6666666666666666E-2"/>
  </r>
  <r>
    <x v="6"/>
    <d v="2011-07-06T11:07:17"/>
    <n v="2"/>
    <s v="Black olives"/>
    <n v="96"/>
    <n v="12"/>
    <n v="1152"/>
    <n v="6"/>
    <n v="576"/>
    <n v="576"/>
    <n v="14"/>
    <s v="Smoke House"/>
    <x v="1"/>
    <n v="0.5"/>
  </r>
  <r>
    <x v="6"/>
    <d v="2011-07-07T06:06:13"/>
    <n v="98"/>
    <s v="Sausage"/>
    <n v="79"/>
    <n v="18"/>
    <n v="1422"/>
    <n v="8"/>
    <n v="632"/>
    <n v="790"/>
    <n v="6"/>
    <s v="Pierce Arrow"/>
    <x v="1"/>
    <n v="0.55555555555555558"/>
  </r>
  <r>
    <x v="6"/>
    <d v="2011-07-07T15:44:49"/>
    <n v="100"/>
    <s v="Parmesan cheese"/>
    <n v="99"/>
    <n v="8"/>
    <n v="792"/>
    <n v="4"/>
    <n v="396"/>
    <n v="396"/>
    <n v="6"/>
    <s v="Pierce Arrow"/>
    <x v="1"/>
    <n v="0.5"/>
  </r>
  <r>
    <x v="6"/>
    <d v="2011-07-08T03:39:30"/>
    <n v="19"/>
    <s v="Chicken"/>
    <n v="94"/>
    <n v="36"/>
    <n v="3384"/>
    <n v="25"/>
    <n v="2350"/>
    <n v="1034"/>
    <n v="6"/>
    <s v="Pierce Arrow"/>
    <x v="1"/>
    <n v="0.30555555555555558"/>
  </r>
  <r>
    <x v="6"/>
    <d v="2011-07-08T18:38:40"/>
    <n v="85"/>
    <s v="Pepperoni"/>
    <n v="69"/>
    <n v="53"/>
    <n v="3657"/>
    <n v="35"/>
    <n v="2415"/>
    <n v="1242"/>
    <n v="6"/>
    <s v="Pierce Arrow"/>
    <x v="1"/>
    <n v="0.33962264150943394"/>
  </r>
  <r>
    <x v="6"/>
    <d v="2011-07-11T16:41:07"/>
    <n v="39"/>
    <s v="Pineapple"/>
    <n v="94"/>
    <n v="33"/>
    <n v="3102"/>
    <n v="28"/>
    <n v="2632"/>
    <n v="470"/>
    <n v="572"/>
    <s v="Flagstaff House"/>
    <x v="2"/>
    <n v="0.15151515151515152"/>
  </r>
  <r>
    <x v="6"/>
    <d v="2011-07-11T22:07:07"/>
    <n v="2"/>
    <s v="Black olives"/>
    <n v="57"/>
    <n v="12"/>
    <n v="684"/>
    <n v="6"/>
    <n v="342"/>
    <n v="342"/>
    <n v="95"/>
    <s v="Mamm'a Pasta Palace"/>
    <x v="2"/>
    <n v="0.5"/>
  </r>
  <r>
    <x v="6"/>
    <d v="2011-07-12T14:20:26"/>
    <n v="30"/>
    <s v="Red onions"/>
    <n v="77"/>
    <n v="12"/>
    <n v="924"/>
    <n v="8"/>
    <n v="616"/>
    <n v="308"/>
    <n v="95"/>
    <s v="Mamm'a Pasta Palace"/>
    <x v="2"/>
    <n v="0.33333333333333331"/>
  </r>
  <r>
    <x v="6"/>
    <d v="2011-07-13T07:38:50"/>
    <n v="16"/>
    <s v="Romaine lettuce"/>
    <n v="37"/>
    <n v="15"/>
    <n v="555"/>
    <n v="14"/>
    <n v="518"/>
    <n v="37"/>
    <n v="95"/>
    <s v="Mamm'a Pasta Palace"/>
    <x v="2"/>
    <n v="6.6666666666666666E-2"/>
  </r>
  <r>
    <x v="6"/>
    <d v="2011-07-13T12:31:39"/>
    <n v="100"/>
    <s v="Parmesan cheese"/>
    <n v="30"/>
    <n v="8"/>
    <n v="240"/>
    <n v="4"/>
    <n v="120"/>
    <n v="120"/>
    <n v="846"/>
    <s v="The Dandelion"/>
    <x v="1"/>
    <n v="0.5"/>
  </r>
  <r>
    <x v="6"/>
    <d v="2011-07-14T03:09:21"/>
    <n v="31"/>
    <s v="Peppers"/>
    <n v="65"/>
    <n v="21"/>
    <n v="1365"/>
    <n v="12"/>
    <n v="780"/>
    <n v="585"/>
    <n v="14"/>
    <s v="Smoke House"/>
    <x v="2"/>
    <n v="0.42857142857142855"/>
  </r>
  <r>
    <x v="6"/>
    <d v="2011-07-14T15:24:21"/>
    <n v="30"/>
    <s v="Red onions"/>
    <n v="71"/>
    <n v="12"/>
    <n v="852"/>
    <n v="8"/>
    <n v="568"/>
    <n v="284"/>
    <n v="6"/>
    <s v="Pierce Arrow"/>
    <x v="2"/>
    <n v="0.33333333333333331"/>
  </r>
  <r>
    <x v="6"/>
    <d v="2011-07-14T22:11:10"/>
    <n v="16"/>
    <s v="Romaine lettuce"/>
    <n v="5"/>
    <n v="15"/>
    <n v="75"/>
    <n v="14"/>
    <n v="70"/>
    <n v="5"/>
    <n v="572"/>
    <s v="Flagstaff House"/>
    <x v="2"/>
    <n v="6.6666666666666666E-2"/>
  </r>
  <r>
    <x v="6"/>
    <d v="2011-07-15T10:47:45"/>
    <n v="39"/>
    <s v="Pineapple"/>
    <n v="77"/>
    <n v="33"/>
    <n v="2541"/>
    <n v="28"/>
    <n v="2156"/>
    <n v="385"/>
    <n v="23"/>
    <s v="Two Bitts"/>
    <x v="1"/>
    <n v="0.15151515151515152"/>
  </r>
  <r>
    <x v="6"/>
    <d v="2011-07-18T05:59:22"/>
    <n v="30"/>
    <s v="Red onions"/>
    <n v="16"/>
    <n v="12"/>
    <n v="192"/>
    <n v="8"/>
    <n v="128"/>
    <n v="64"/>
    <n v="572"/>
    <s v="Flagstaff House"/>
    <x v="2"/>
    <n v="0.33333333333333331"/>
  </r>
  <r>
    <x v="6"/>
    <d v="2011-07-18T23:04:27"/>
    <n v="98"/>
    <s v="Sausage"/>
    <n v="27"/>
    <n v="18"/>
    <n v="486"/>
    <n v="8"/>
    <n v="216"/>
    <n v="270"/>
    <n v="846"/>
    <s v="The Dandelion"/>
    <x v="2"/>
    <n v="0.55555555555555558"/>
  </r>
  <r>
    <x v="6"/>
    <d v="2011-07-19T02:18:33"/>
    <n v="31"/>
    <s v="Peppers"/>
    <n v="81"/>
    <n v="21"/>
    <n v="1701"/>
    <n v="12"/>
    <n v="972"/>
    <n v="729"/>
    <n v="572"/>
    <s v="Flagstaff House"/>
    <x v="1"/>
    <n v="0.42857142857142855"/>
  </r>
  <r>
    <x v="6"/>
    <d v="2011-07-19T23:41:51"/>
    <n v="100"/>
    <s v="Parmesan cheese"/>
    <n v="55"/>
    <n v="8"/>
    <n v="440"/>
    <n v="4"/>
    <n v="220"/>
    <n v="220"/>
    <n v="95"/>
    <s v="Mamm'a Pasta Palace"/>
    <x v="1"/>
    <n v="0.5"/>
  </r>
  <r>
    <x v="6"/>
    <d v="2011-07-21T11:43:27"/>
    <n v="4"/>
    <s v="Tomatoes"/>
    <n v="80"/>
    <n v="9"/>
    <n v="720"/>
    <n v="7"/>
    <n v="560"/>
    <n v="160"/>
    <n v="23"/>
    <s v="Two Bitts"/>
    <x v="2"/>
    <n v="0.22222222222222221"/>
  </r>
  <r>
    <x v="6"/>
    <d v="2011-07-23T21:50:56"/>
    <n v="30"/>
    <s v="Red onions"/>
    <n v="64"/>
    <n v="12"/>
    <n v="768"/>
    <n v="8"/>
    <n v="512"/>
    <n v="256"/>
    <n v="95"/>
    <s v="Mamm'a Pasta Palace"/>
    <x v="0"/>
    <n v="0.33333333333333331"/>
  </r>
  <r>
    <x v="6"/>
    <d v="2011-07-24T05:26:25"/>
    <n v="4"/>
    <s v="Tomatoes"/>
    <n v="61"/>
    <n v="9"/>
    <n v="549"/>
    <n v="7"/>
    <n v="427"/>
    <n v="122"/>
    <n v="6"/>
    <s v="Pierce Arrow"/>
    <x v="2"/>
    <n v="0.22222222222222221"/>
  </r>
  <r>
    <x v="6"/>
    <d v="2011-07-24T18:46:17"/>
    <n v="19"/>
    <s v="Chicken"/>
    <n v="82"/>
    <n v="36"/>
    <n v="2952"/>
    <n v="25"/>
    <n v="2050"/>
    <n v="902"/>
    <n v="686"/>
    <s v="Laudisio"/>
    <x v="2"/>
    <n v="0.30555555555555558"/>
  </r>
  <r>
    <x v="6"/>
    <d v="2011-07-25T03:50:22"/>
    <n v="100"/>
    <s v="Parmesan cheese"/>
    <n v="9"/>
    <n v="8"/>
    <n v="72"/>
    <n v="4"/>
    <n v="36"/>
    <n v="36"/>
    <n v="846"/>
    <s v="The Dandelion"/>
    <x v="2"/>
    <n v="0.5"/>
  </r>
  <r>
    <x v="6"/>
    <d v="2011-07-26T06:52:40"/>
    <n v="30"/>
    <s v="Red onions"/>
    <n v="82"/>
    <n v="12"/>
    <n v="984"/>
    <n v="8"/>
    <n v="656"/>
    <n v="328"/>
    <n v="572"/>
    <s v="Flagstaff House"/>
    <x v="2"/>
    <n v="0.33333333333333331"/>
  </r>
  <r>
    <x v="6"/>
    <d v="2011-07-26T10:02:11"/>
    <n v="4"/>
    <s v="Tomatoes"/>
    <n v="93"/>
    <n v="9"/>
    <n v="837"/>
    <n v="7"/>
    <n v="651"/>
    <n v="186"/>
    <n v="95"/>
    <s v="Mamm'a Pasta Palace"/>
    <x v="2"/>
    <n v="0.22222222222222221"/>
  </r>
  <r>
    <x v="6"/>
    <d v="2011-07-26T20:36:02"/>
    <n v="16"/>
    <s v="Romaine lettuce"/>
    <n v="47"/>
    <n v="15"/>
    <n v="705"/>
    <n v="14"/>
    <n v="658"/>
    <n v="47"/>
    <n v="315"/>
    <s v="The Station"/>
    <x v="2"/>
    <n v="6.6666666666666666E-2"/>
  </r>
  <r>
    <x v="6"/>
    <d v="2011-07-27T01:21:03"/>
    <n v="4"/>
    <s v="Tomatoes"/>
    <n v="77"/>
    <n v="9"/>
    <n v="693"/>
    <n v="7"/>
    <n v="539"/>
    <n v="154"/>
    <n v="557"/>
    <s v="Carmens"/>
    <x v="2"/>
    <n v="0.22222222222222221"/>
  </r>
  <r>
    <x v="6"/>
    <d v="2011-07-27T12:24:48"/>
    <n v="100"/>
    <s v="Parmesan cheese"/>
    <n v="23"/>
    <n v="8"/>
    <n v="184"/>
    <n v="4"/>
    <n v="92"/>
    <n v="92"/>
    <n v="95"/>
    <s v="Mamm'a Pasta Palace"/>
    <x v="2"/>
    <n v="0.5"/>
  </r>
  <r>
    <x v="6"/>
    <d v="2011-07-27T18:03:49"/>
    <n v="100"/>
    <s v="Parmesan cheese"/>
    <n v="1"/>
    <n v="8"/>
    <n v="8"/>
    <n v="4"/>
    <n v="4"/>
    <n v="4"/>
    <n v="6"/>
    <s v="Pierce Arrow"/>
    <x v="1"/>
    <n v="0.5"/>
  </r>
  <r>
    <x v="6"/>
    <d v="2011-07-28T22:01:19"/>
    <n v="4"/>
    <s v="Tomatoes"/>
    <n v="76"/>
    <n v="9"/>
    <n v="684"/>
    <n v="7"/>
    <n v="532"/>
    <n v="152"/>
    <n v="572"/>
    <s v="Flagstaff House"/>
    <x v="2"/>
    <n v="0.22222222222222221"/>
  </r>
  <r>
    <x v="6"/>
    <d v="2011-07-28T23:26:35"/>
    <n v="30"/>
    <s v="Red onions"/>
    <n v="97"/>
    <n v="12"/>
    <n v="1164"/>
    <n v="8"/>
    <n v="776"/>
    <n v="388"/>
    <n v="572"/>
    <s v="Flagstaff House"/>
    <x v="2"/>
    <n v="0.33333333333333331"/>
  </r>
  <r>
    <x v="6"/>
    <d v="2011-07-29T16:53:15"/>
    <n v="100"/>
    <s v="Parmesan cheese"/>
    <n v="8"/>
    <n v="8"/>
    <n v="64"/>
    <n v="4"/>
    <n v="32"/>
    <n v="32"/>
    <n v="572"/>
    <s v="Flagstaff House"/>
    <x v="1"/>
    <n v="0.5"/>
  </r>
  <r>
    <x v="6"/>
    <d v="2011-07-30T08:46:34"/>
    <n v="22"/>
    <s v="Mozzarella cheese"/>
    <n v="60"/>
    <n v="24"/>
    <n v="1440"/>
    <n v="18"/>
    <n v="1080"/>
    <n v="360"/>
    <n v="572"/>
    <s v="Flagstaff House"/>
    <x v="2"/>
    <n v="0.25"/>
  </r>
  <r>
    <x v="6"/>
    <d v="2011-07-30T16:07:08"/>
    <n v="31"/>
    <s v="Peppers"/>
    <n v="30"/>
    <n v="21"/>
    <n v="630"/>
    <n v="12"/>
    <n v="360"/>
    <n v="270"/>
    <n v="572"/>
    <s v="Flagstaff House"/>
    <x v="1"/>
    <n v="0.42857142857142855"/>
  </r>
  <r>
    <x v="6"/>
    <d v="2011-07-31T04:50:44"/>
    <n v="16"/>
    <s v="Romaine lettuce"/>
    <n v="27"/>
    <n v="15"/>
    <n v="405"/>
    <n v="14"/>
    <n v="378"/>
    <n v="27"/>
    <n v="95"/>
    <s v="Mamm'a Pasta Palace"/>
    <x v="2"/>
    <n v="6.6666666666666666E-2"/>
  </r>
  <r>
    <x v="6"/>
    <d v="2011-07-31T07:17:56"/>
    <n v="16"/>
    <s v="Romaine lettuce"/>
    <n v="31"/>
    <n v="15"/>
    <n v="465"/>
    <n v="14"/>
    <n v="434"/>
    <n v="31"/>
    <n v="846"/>
    <s v="The Dandelion"/>
    <x v="1"/>
    <n v="6.6666666666666666E-2"/>
  </r>
  <r>
    <x v="7"/>
    <d v="2011-08-01T06:52:10"/>
    <n v="22"/>
    <s v="Mozzarella cheese"/>
    <n v="27"/>
    <n v="24"/>
    <n v="648"/>
    <n v="18"/>
    <n v="486"/>
    <n v="162"/>
    <n v="6"/>
    <s v="Pierce Arrow"/>
    <x v="2"/>
    <n v="0.25"/>
  </r>
  <r>
    <x v="7"/>
    <d v="2011-08-02T22:52:50"/>
    <n v="30"/>
    <s v="Red onions"/>
    <n v="34"/>
    <n v="12"/>
    <n v="408"/>
    <n v="8"/>
    <n v="272"/>
    <n v="136"/>
    <n v="14"/>
    <s v="Smoke House"/>
    <x v="2"/>
    <n v="0.33333333333333331"/>
  </r>
  <r>
    <x v="7"/>
    <d v="2011-08-04T10:25:42"/>
    <n v="16"/>
    <s v="Romaine lettuce"/>
    <n v="45"/>
    <n v="15"/>
    <n v="675"/>
    <n v="14"/>
    <n v="630"/>
    <n v="45"/>
    <n v="846"/>
    <s v="The Dandelion"/>
    <x v="2"/>
    <n v="6.6666666666666666E-2"/>
  </r>
  <r>
    <x v="7"/>
    <d v="2011-08-04T16:46:52"/>
    <n v="16"/>
    <s v="Romaine lettuce"/>
    <n v="40"/>
    <n v="15"/>
    <n v="600"/>
    <n v="14"/>
    <n v="560"/>
    <n v="40"/>
    <n v="6"/>
    <s v="Pierce Arrow"/>
    <x v="1"/>
    <n v="6.6666666666666666E-2"/>
  </r>
  <r>
    <x v="7"/>
    <d v="2011-08-05T10:36:02"/>
    <n v="100"/>
    <s v="Parmesan cheese"/>
    <n v="45"/>
    <n v="8"/>
    <n v="360"/>
    <n v="4"/>
    <n v="180"/>
    <n v="180"/>
    <n v="557"/>
    <s v="Carmens"/>
    <x v="2"/>
    <n v="0.5"/>
  </r>
  <r>
    <x v="7"/>
    <d v="2011-08-05T19:11:40"/>
    <n v="4"/>
    <s v="Tomatoes"/>
    <n v="25"/>
    <n v="9"/>
    <n v="225"/>
    <n v="7"/>
    <n v="175"/>
    <n v="50"/>
    <n v="6"/>
    <s v="Pierce Arrow"/>
    <x v="2"/>
    <n v="0.22222222222222221"/>
  </r>
  <r>
    <x v="7"/>
    <d v="2011-08-05T21:53:31"/>
    <n v="4"/>
    <s v="Tomatoes"/>
    <n v="39"/>
    <n v="9"/>
    <n v="351"/>
    <n v="7"/>
    <n v="273"/>
    <n v="78"/>
    <n v="6"/>
    <s v="Pierce Arrow"/>
    <x v="2"/>
    <n v="0.22222222222222221"/>
  </r>
  <r>
    <x v="7"/>
    <d v="2011-08-06T09:48:10"/>
    <n v="16"/>
    <s v="Romaine lettuce"/>
    <n v="2"/>
    <n v="15"/>
    <n v="30"/>
    <n v="14"/>
    <n v="28"/>
    <n v="2"/>
    <n v="686"/>
    <s v="Laudisio"/>
    <x v="1"/>
    <n v="6.6666666666666666E-2"/>
  </r>
  <r>
    <x v="7"/>
    <d v="2011-08-06T11:01:59"/>
    <n v="30"/>
    <s v="Red onions"/>
    <n v="21"/>
    <n v="12"/>
    <n v="252"/>
    <n v="8"/>
    <n v="168"/>
    <n v="84"/>
    <n v="14"/>
    <s v="Smoke House"/>
    <x v="2"/>
    <n v="0.33333333333333331"/>
  </r>
  <r>
    <x v="7"/>
    <d v="2011-08-06T14:01:46"/>
    <n v="2"/>
    <s v="Black olives"/>
    <n v="21"/>
    <n v="12"/>
    <n v="252"/>
    <n v="6"/>
    <n v="126"/>
    <n v="126"/>
    <n v="6"/>
    <s v="Pierce Arrow"/>
    <x v="1"/>
    <n v="0.5"/>
  </r>
  <r>
    <x v="7"/>
    <d v="2011-08-09T04:37:43"/>
    <n v="30"/>
    <s v="Red onions"/>
    <n v="53"/>
    <n v="12"/>
    <n v="636"/>
    <n v="8"/>
    <n v="424"/>
    <n v="212"/>
    <n v="572"/>
    <s v="Flagstaff House"/>
    <x v="2"/>
    <n v="0.33333333333333331"/>
  </r>
  <r>
    <x v="7"/>
    <d v="2011-08-09T08:04:28"/>
    <n v="16"/>
    <s v="Romaine lettuce"/>
    <n v="35"/>
    <n v="15"/>
    <n v="525"/>
    <n v="14"/>
    <n v="490"/>
    <n v="35"/>
    <n v="846"/>
    <s v="The Dandelion"/>
    <x v="2"/>
    <n v="6.6666666666666666E-2"/>
  </r>
  <r>
    <x v="7"/>
    <d v="2011-08-09T08:14:52"/>
    <n v="30"/>
    <s v="Red onions"/>
    <n v="95"/>
    <n v="12"/>
    <n v="1140"/>
    <n v="8"/>
    <n v="760"/>
    <n v="380"/>
    <n v="572"/>
    <s v="Flagstaff House"/>
    <x v="0"/>
    <n v="0.33333333333333331"/>
  </r>
  <r>
    <x v="7"/>
    <d v="2011-08-10T07:55:18"/>
    <n v="16"/>
    <s v="Romaine lettuce"/>
    <n v="6"/>
    <n v="15"/>
    <n v="90"/>
    <n v="14"/>
    <n v="84"/>
    <n v="6"/>
    <n v="572"/>
    <s v="Flagstaff House"/>
    <x v="1"/>
    <n v="6.6666666666666666E-2"/>
  </r>
  <r>
    <x v="7"/>
    <d v="2011-08-12T06:20:52"/>
    <n v="100"/>
    <s v="Parmesan cheese"/>
    <n v="82"/>
    <n v="8"/>
    <n v="656"/>
    <n v="4"/>
    <n v="328"/>
    <n v="328"/>
    <n v="23"/>
    <s v="Two Bitts"/>
    <x v="2"/>
    <n v="0.5"/>
  </r>
  <r>
    <x v="7"/>
    <d v="2011-08-13T01:03:09"/>
    <n v="2"/>
    <s v="Black olives"/>
    <n v="22"/>
    <n v="12"/>
    <n v="264"/>
    <n v="6"/>
    <n v="132"/>
    <n v="132"/>
    <n v="233"/>
    <s v="Bert's Bistro"/>
    <x v="2"/>
    <n v="0.5"/>
  </r>
  <r>
    <x v="7"/>
    <d v="2011-08-16T00:38:32"/>
    <n v="31"/>
    <s v="Peppers"/>
    <n v="72"/>
    <n v="21"/>
    <n v="1512"/>
    <n v="12"/>
    <n v="864"/>
    <n v="648"/>
    <n v="6"/>
    <s v="Pierce Arrow"/>
    <x v="1"/>
    <n v="0.42857142857142855"/>
  </r>
  <r>
    <x v="7"/>
    <d v="2011-08-16T16:16:24"/>
    <n v="16"/>
    <s v="Romaine lettuce"/>
    <n v="64"/>
    <n v="15"/>
    <n v="960"/>
    <n v="14"/>
    <n v="896"/>
    <n v="64"/>
    <n v="23"/>
    <s v="Two Bitts"/>
    <x v="1"/>
    <n v="6.6666666666666666E-2"/>
  </r>
  <r>
    <x v="7"/>
    <d v="2011-08-18T02:26:19"/>
    <n v="100"/>
    <s v="Parmesan cheese"/>
    <n v="74"/>
    <n v="8"/>
    <n v="592"/>
    <n v="4"/>
    <n v="296"/>
    <n v="296"/>
    <n v="95"/>
    <s v="Mamm'a Pasta Palace"/>
    <x v="2"/>
    <n v="0.5"/>
  </r>
  <r>
    <x v="7"/>
    <d v="2011-08-18T03:09:10"/>
    <n v="16"/>
    <s v="Romaine lettuce"/>
    <n v="93"/>
    <n v="15"/>
    <n v="1395"/>
    <n v="14"/>
    <n v="1302"/>
    <n v="93"/>
    <n v="6"/>
    <s v="Pierce Arrow"/>
    <x v="1"/>
    <n v="6.6666666666666666E-2"/>
  </r>
  <r>
    <x v="7"/>
    <d v="2011-08-18T05:43:59"/>
    <n v="4"/>
    <s v="Tomatoes"/>
    <n v="67"/>
    <n v="9"/>
    <n v="603"/>
    <n v="7"/>
    <n v="469"/>
    <n v="134"/>
    <n v="233"/>
    <s v="Bert's Bistro"/>
    <x v="2"/>
    <n v="0.22222222222222221"/>
  </r>
  <r>
    <x v="7"/>
    <d v="2011-08-18T14:26:58"/>
    <n v="100"/>
    <s v="Parmesan cheese"/>
    <n v="10"/>
    <n v="8"/>
    <n v="80"/>
    <n v="4"/>
    <n v="40"/>
    <n v="40"/>
    <n v="686"/>
    <s v="Laudisio"/>
    <x v="1"/>
    <n v="0.5"/>
  </r>
  <r>
    <x v="7"/>
    <d v="2011-08-19T00:01:56"/>
    <n v="2"/>
    <s v="Black olives"/>
    <n v="97"/>
    <n v="12"/>
    <n v="1164"/>
    <n v="6"/>
    <n v="582"/>
    <n v="582"/>
    <n v="6"/>
    <s v="Pierce Arrow"/>
    <x v="2"/>
    <n v="0.5"/>
  </r>
  <r>
    <x v="7"/>
    <d v="2011-08-19T11:23:10"/>
    <n v="19"/>
    <s v="Chicken"/>
    <n v="8"/>
    <n v="36"/>
    <n v="288"/>
    <n v="25"/>
    <n v="200"/>
    <n v="88"/>
    <n v="846"/>
    <s v="The Dandelion"/>
    <x v="2"/>
    <n v="0.30555555555555558"/>
  </r>
  <r>
    <x v="7"/>
    <d v="2011-08-20T15:33:02"/>
    <n v="19"/>
    <s v="Chicken"/>
    <n v="60"/>
    <n v="36"/>
    <n v="2160"/>
    <n v="25"/>
    <n v="1500"/>
    <n v="660"/>
    <n v="557"/>
    <s v="Carmens"/>
    <x v="2"/>
    <n v="0.30555555555555558"/>
  </r>
  <r>
    <x v="7"/>
    <d v="2011-08-20T20:41:09"/>
    <n v="4"/>
    <s v="Tomatoes"/>
    <n v="72"/>
    <n v="9"/>
    <n v="648"/>
    <n v="7"/>
    <n v="504"/>
    <n v="144"/>
    <n v="686"/>
    <s v="Laudisio"/>
    <x v="2"/>
    <n v="0.22222222222222221"/>
  </r>
  <r>
    <x v="7"/>
    <d v="2011-08-21T11:47:57"/>
    <n v="98"/>
    <s v="Sausage"/>
    <n v="97"/>
    <n v="18"/>
    <n v="1746"/>
    <n v="8"/>
    <n v="776"/>
    <n v="970"/>
    <n v="23"/>
    <s v="Two Bitts"/>
    <x v="1"/>
    <n v="0.55555555555555558"/>
  </r>
  <r>
    <x v="7"/>
    <d v="2011-08-21T17:52:23"/>
    <n v="30"/>
    <s v="Red onions"/>
    <n v="42"/>
    <n v="12"/>
    <n v="504"/>
    <n v="8"/>
    <n v="336"/>
    <n v="168"/>
    <n v="572"/>
    <s v="Flagstaff House"/>
    <x v="2"/>
    <n v="0.33333333333333331"/>
  </r>
  <r>
    <x v="7"/>
    <d v="2011-08-21T21:44:42"/>
    <n v="100"/>
    <s v="Parmesan cheese"/>
    <n v="70"/>
    <n v="8"/>
    <n v="560"/>
    <n v="4"/>
    <n v="280"/>
    <n v="280"/>
    <n v="572"/>
    <s v="Flagstaff House"/>
    <x v="1"/>
    <n v="0.5"/>
  </r>
  <r>
    <x v="7"/>
    <d v="2011-08-23T19:14:12"/>
    <n v="4"/>
    <s v="Tomatoes"/>
    <n v="36"/>
    <n v="9"/>
    <n v="324"/>
    <n v="7"/>
    <n v="252"/>
    <n v="72"/>
    <n v="23"/>
    <s v="Two Bitts"/>
    <x v="2"/>
    <n v="0.22222222222222221"/>
  </r>
  <r>
    <x v="7"/>
    <d v="2011-08-23T20:57:51"/>
    <n v="16"/>
    <s v="Romaine lettuce"/>
    <n v="35"/>
    <n v="15"/>
    <n v="525"/>
    <n v="14"/>
    <n v="490"/>
    <n v="35"/>
    <n v="846"/>
    <s v="The Dandelion"/>
    <x v="1"/>
    <n v="6.6666666666666666E-2"/>
  </r>
  <r>
    <x v="7"/>
    <d v="2011-08-24T22:06:57"/>
    <n v="16"/>
    <s v="Romaine lettuce"/>
    <n v="56"/>
    <n v="15"/>
    <n v="840"/>
    <n v="14"/>
    <n v="784"/>
    <n v="56"/>
    <n v="233"/>
    <s v="Bert's Bistro"/>
    <x v="1"/>
    <n v="6.6666666666666666E-2"/>
  </r>
  <r>
    <x v="7"/>
    <d v="2011-08-25T00:54:38"/>
    <n v="4"/>
    <s v="Tomatoes"/>
    <n v="9"/>
    <n v="9"/>
    <n v="81"/>
    <n v="7"/>
    <n v="63"/>
    <n v="18"/>
    <n v="686"/>
    <s v="Laudisio"/>
    <x v="1"/>
    <n v="0.22222222222222221"/>
  </r>
  <r>
    <x v="7"/>
    <d v="2011-08-25T01:33:51"/>
    <n v="100"/>
    <s v="Parmesan cheese"/>
    <n v="90"/>
    <n v="8"/>
    <n v="720"/>
    <n v="4"/>
    <n v="360"/>
    <n v="360"/>
    <n v="846"/>
    <s v="The Dandelion"/>
    <x v="2"/>
    <n v="0.5"/>
  </r>
  <r>
    <x v="7"/>
    <d v="2011-08-28T02:29:48"/>
    <n v="30"/>
    <s v="Red onions"/>
    <n v="35"/>
    <n v="12"/>
    <n v="420"/>
    <n v="8"/>
    <n v="280"/>
    <n v="140"/>
    <n v="14"/>
    <s v="Smoke House"/>
    <x v="2"/>
    <n v="0.33333333333333331"/>
  </r>
  <r>
    <x v="7"/>
    <d v="2011-08-29T10:24:46"/>
    <n v="4"/>
    <s v="Tomatoes"/>
    <n v="76"/>
    <n v="9"/>
    <n v="684"/>
    <n v="7"/>
    <n v="532"/>
    <n v="152"/>
    <n v="6"/>
    <s v="Pierce Arrow"/>
    <x v="1"/>
    <n v="0.22222222222222221"/>
  </r>
  <r>
    <x v="7"/>
    <d v="2011-08-29T23:38:17"/>
    <n v="100"/>
    <s v="Parmesan cheese"/>
    <n v="4"/>
    <n v="8"/>
    <n v="32"/>
    <n v="4"/>
    <n v="16"/>
    <n v="16"/>
    <n v="14"/>
    <s v="Smoke House"/>
    <x v="1"/>
    <n v="0.5"/>
  </r>
  <r>
    <x v="7"/>
    <d v="2011-08-31T02:09:37"/>
    <n v="16"/>
    <s v="Romaine lettuce"/>
    <n v="69"/>
    <n v="15"/>
    <n v="1035"/>
    <n v="14"/>
    <n v="966"/>
    <n v="69"/>
    <n v="572"/>
    <s v="Flagstaff House"/>
    <x v="2"/>
    <n v="6.6666666666666666E-2"/>
  </r>
  <r>
    <x v="7"/>
    <d v="2011-08-31T08:33:26"/>
    <n v="31"/>
    <s v="Peppers"/>
    <n v="2"/>
    <n v="21"/>
    <n v="42"/>
    <n v="12"/>
    <n v="24"/>
    <n v="18"/>
    <n v="557"/>
    <s v="Carmens"/>
    <x v="2"/>
    <n v="0.42857142857142855"/>
  </r>
  <r>
    <x v="7"/>
    <d v="2011-08-31T16:09:44"/>
    <n v="4"/>
    <s v="Tomatoes"/>
    <n v="77"/>
    <n v="9"/>
    <n v="693"/>
    <n v="7"/>
    <n v="539"/>
    <n v="154"/>
    <n v="6"/>
    <s v="Pierce Arrow"/>
    <x v="2"/>
    <n v="0.22222222222222221"/>
  </r>
  <r>
    <x v="8"/>
    <d v="2011-09-03T03:23:21"/>
    <n v="31"/>
    <s v="Peppers"/>
    <n v="20"/>
    <n v="21"/>
    <n v="420"/>
    <n v="12"/>
    <n v="240"/>
    <n v="180"/>
    <n v="23"/>
    <s v="Two Bitts"/>
    <x v="1"/>
    <n v="0.42857142857142855"/>
  </r>
  <r>
    <x v="8"/>
    <d v="2011-09-03T07:40:39"/>
    <n v="16"/>
    <s v="Romaine lettuce"/>
    <n v="32"/>
    <n v="15"/>
    <n v="480"/>
    <n v="14"/>
    <n v="448"/>
    <n v="32"/>
    <n v="23"/>
    <s v="Two Bitts"/>
    <x v="1"/>
    <n v="6.6666666666666666E-2"/>
  </r>
  <r>
    <x v="8"/>
    <d v="2011-09-03T22:17:29"/>
    <n v="4"/>
    <s v="Tomatoes"/>
    <n v="39"/>
    <n v="9"/>
    <n v="351"/>
    <n v="7"/>
    <n v="273"/>
    <n v="78"/>
    <n v="14"/>
    <s v="Smoke House"/>
    <x v="2"/>
    <n v="0.22222222222222221"/>
  </r>
  <r>
    <x v="8"/>
    <d v="2011-09-04T00:48:28"/>
    <n v="6"/>
    <s v="Sun dried tomatoes"/>
    <n v="1"/>
    <n v="55"/>
    <n v="55"/>
    <n v="25"/>
    <n v="25"/>
    <n v="30"/>
    <n v="6"/>
    <s v="Pierce Arrow"/>
    <x v="2"/>
    <n v="0.54545454545454541"/>
  </r>
  <r>
    <x v="8"/>
    <d v="2011-09-05T08:50:22"/>
    <n v="22"/>
    <s v="Mozzarella cheese"/>
    <n v="79"/>
    <n v="24"/>
    <n v="1896"/>
    <n v="18"/>
    <n v="1422"/>
    <n v="474"/>
    <n v="572"/>
    <s v="Flagstaff House"/>
    <x v="2"/>
    <n v="0.25"/>
  </r>
  <r>
    <x v="8"/>
    <d v="2011-09-05T11:32:58"/>
    <n v="16"/>
    <s v="Romaine lettuce"/>
    <n v="41"/>
    <n v="15"/>
    <n v="615"/>
    <n v="14"/>
    <n v="574"/>
    <n v="41"/>
    <n v="6"/>
    <s v="Pierce Arrow"/>
    <x v="1"/>
    <n v="6.6666666666666666E-2"/>
  </r>
  <r>
    <x v="8"/>
    <d v="2011-09-05T13:43:17"/>
    <n v="4"/>
    <s v="Tomatoes"/>
    <n v="33"/>
    <n v="9"/>
    <n v="297"/>
    <n v="7"/>
    <n v="231"/>
    <n v="66"/>
    <n v="686"/>
    <s v="Laudisio"/>
    <x v="2"/>
    <n v="0.22222222222222221"/>
  </r>
  <r>
    <x v="8"/>
    <d v="2011-09-06T08:54:59"/>
    <n v="22"/>
    <s v="Mozzarella cheese"/>
    <n v="92"/>
    <n v="24"/>
    <n v="2208"/>
    <n v="18"/>
    <n v="1656"/>
    <n v="552"/>
    <n v="6"/>
    <s v="Pierce Arrow"/>
    <x v="2"/>
    <n v="0.25"/>
  </r>
  <r>
    <x v="8"/>
    <d v="2011-09-06T11:08:13"/>
    <n v="30"/>
    <s v="Red onions"/>
    <n v="15"/>
    <n v="12"/>
    <n v="180"/>
    <n v="8"/>
    <n v="120"/>
    <n v="60"/>
    <n v="95"/>
    <s v="Mamm'a Pasta Palace"/>
    <x v="2"/>
    <n v="0.33333333333333331"/>
  </r>
  <r>
    <x v="8"/>
    <d v="2011-09-07T15:24:06"/>
    <n v="4"/>
    <s v="Tomatoes"/>
    <n v="20"/>
    <n v="9"/>
    <n v="180"/>
    <n v="7"/>
    <n v="140"/>
    <n v="40"/>
    <n v="6"/>
    <s v="Pierce Arrow"/>
    <x v="1"/>
    <n v="0.22222222222222221"/>
  </r>
  <r>
    <x v="8"/>
    <d v="2011-09-07T21:54:46"/>
    <n v="100"/>
    <s v="Parmesan cheese"/>
    <n v="13"/>
    <n v="8"/>
    <n v="104"/>
    <n v="4"/>
    <n v="52"/>
    <n v="52"/>
    <n v="572"/>
    <s v="Flagstaff House"/>
    <x v="2"/>
    <n v="0.5"/>
  </r>
  <r>
    <x v="8"/>
    <d v="2011-09-08T17:06:39"/>
    <n v="22"/>
    <s v="Mozzarella cheese"/>
    <n v="17"/>
    <n v="24"/>
    <n v="408"/>
    <n v="18"/>
    <n v="306"/>
    <n v="102"/>
    <n v="6"/>
    <s v="Pierce Arrow"/>
    <x v="2"/>
    <n v="0.25"/>
  </r>
  <r>
    <x v="8"/>
    <d v="2011-09-09T20:07:59"/>
    <n v="4"/>
    <s v="Tomatoes"/>
    <n v="19"/>
    <n v="9"/>
    <n v="171"/>
    <n v="7"/>
    <n v="133"/>
    <n v="38"/>
    <n v="572"/>
    <s v="Flagstaff House"/>
    <x v="2"/>
    <n v="0.22222222222222221"/>
  </r>
  <r>
    <x v="8"/>
    <d v="2011-09-10T06:03:23"/>
    <n v="30"/>
    <s v="Red onions"/>
    <n v="74"/>
    <n v="12"/>
    <n v="888"/>
    <n v="8"/>
    <n v="592"/>
    <n v="296"/>
    <n v="846"/>
    <s v="The Dandelion"/>
    <x v="0"/>
    <n v="0.33333333333333331"/>
  </r>
  <r>
    <x v="8"/>
    <d v="2011-09-10T11:19:40"/>
    <n v="100"/>
    <s v="Parmesan cheese"/>
    <n v="62"/>
    <n v="8"/>
    <n v="496"/>
    <n v="4"/>
    <n v="248"/>
    <n v="248"/>
    <n v="557"/>
    <s v="Carmens"/>
    <x v="0"/>
    <n v="0.5"/>
  </r>
  <r>
    <x v="8"/>
    <d v="2011-09-10T16:27:44"/>
    <n v="2"/>
    <s v="Black olives"/>
    <n v="90"/>
    <n v="12"/>
    <n v="1080"/>
    <n v="6"/>
    <n v="540"/>
    <n v="540"/>
    <n v="572"/>
    <s v="Flagstaff House"/>
    <x v="2"/>
    <n v="0.5"/>
  </r>
  <r>
    <x v="8"/>
    <d v="2011-09-10T16:32:36"/>
    <n v="30"/>
    <s v="Red onions"/>
    <n v="78"/>
    <n v="12"/>
    <n v="936"/>
    <n v="8"/>
    <n v="624"/>
    <n v="312"/>
    <n v="557"/>
    <s v="Carmens"/>
    <x v="2"/>
    <n v="0.33333333333333331"/>
  </r>
  <r>
    <x v="8"/>
    <d v="2011-09-11T03:32:53"/>
    <n v="30"/>
    <s v="Red onions"/>
    <n v="63"/>
    <n v="12"/>
    <n v="756"/>
    <n v="8"/>
    <n v="504"/>
    <n v="252"/>
    <n v="315"/>
    <s v="The Station"/>
    <x v="0"/>
    <n v="0.33333333333333331"/>
  </r>
  <r>
    <x v="8"/>
    <d v="2011-09-11T05:46:58"/>
    <n v="39"/>
    <s v="Pineapple"/>
    <n v="34"/>
    <n v="33"/>
    <n v="1122"/>
    <n v="28"/>
    <n v="952"/>
    <n v="170"/>
    <n v="95"/>
    <s v="Mamm'a Pasta Palace"/>
    <x v="2"/>
    <n v="0.15151515151515152"/>
  </r>
  <r>
    <x v="8"/>
    <d v="2011-09-12T17:46:06"/>
    <n v="16"/>
    <s v="Romaine lettuce"/>
    <n v="8"/>
    <n v="15"/>
    <n v="120"/>
    <n v="14"/>
    <n v="112"/>
    <n v="8"/>
    <n v="6"/>
    <s v="Pierce Arrow"/>
    <x v="1"/>
    <n v="6.6666666666666666E-2"/>
  </r>
  <r>
    <x v="8"/>
    <d v="2011-09-13T21:49:09"/>
    <n v="19"/>
    <s v="Chicken"/>
    <n v="56"/>
    <n v="36"/>
    <n v="2016"/>
    <n v="25"/>
    <n v="1400"/>
    <n v="616"/>
    <n v="846"/>
    <s v="The Dandelion"/>
    <x v="2"/>
    <n v="0.30555555555555558"/>
  </r>
  <r>
    <x v="8"/>
    <d v="2011-09-15T06:30:31"/>
    <n v="39"/>
    <s v="Pineapple"/>
    <n v="32"/>
    <n v="33"/>
    <n v="1056"/>
    <n v="28"/>
    <n v="896"/>
    <n v="160"/>
    <n v="572"/>
    <s v="Flagstaff House"/>
    <x v="2"/>
    <n v="0.15151515151515152"/>
  </r>
  <r>
    <x v="8"/>
    <d v="2011-09-16T00:18:11"/>
    <n v="100"/>
    <s v="Parmesan cheese"/>
    <n v="52"/>
    <n v="8"/>
    <n v="416"/>
    <n v="4"/>
    <n v="208"/>
    <n v="208"/>
    <n v="23"/>
    <s v="Two Bitts"/>
    <x v="1"/>
    <n v="0.5"/>
  </r>
  <r>
    <x v="8"/>
    <d v="2011-09-16T12:29:02"/>
    <n v="31"/>
    <s v="Peppers"/>
    <n v="97"/>
    <n v="21"/>
    <n v="2037"/>
    <n v="12"/>
    <n v="1164"/>
    <n v="873"/>
    <n v="233"/>
    <s v="Bert's Bistro"/>
    <x v="1"/>
    <n v="0.42857142857142855"/>
  </r>
  <r>
    <x v="8"/>
    <d v="2011-09-17T03:54:35"/>
    <n v="100"/>
    <s v="Parmesan cheese"/>
    <n v="79"/>
    <n v="8"/>
    <n v="632"/>
    <n v="4"/>
    <n v="316"/>
    <n v="316"/>
    <n v="95"/>
    <s v="Mamm'a Pasta Palace"/>
    <x v="2"/>
    <n v="0.5"/>
  </r>
  <r>
    <x v="8"/>
    <d v="2011-09-18T00:57:01"/>
    <n v="4"/>
    <s v="Tomatoes"/>
    <n v="70"/>
    <n v="9"/>
    <n v="630"/>
    <n v="7"/>
    <n v="490"/>
    <n v="140"/>
    <n v="23"/>
    <s v="Two Bitts"/>
    <x v="1"/>
    <n v="0.22222222222222221"/>
  </r>
  <r>
    <x v="8"/>
    <d v="2011-09-18T01:55:32"/>
    <n v="98"/>
    <s v="Sausage"/>
    <n v="98"/>
    <n v="18"/>
    <n v="1764"/>
    <n v="8"/>
    <n v="784"/>
    <n v="980"/>
    <n v="846"/>
    <s v="The Dandelion"/>
    <x v="2"/>
    <n v="0.55555555555555558"/>
  </r>
  <r>
    <x v="8"/>
    <d v="2011-09-18T08:55:24"/>
    <n v="30"/>
    <s v="Red onions"/>
    <n v="14"/>
    <n v="12"/>
    <n v="168"/>
    <n v="8"/>
    <n v="112"/>
    <n v="56"/>
    <n v="95"/>
    <s v="Mamm'a Pasta Palace"/>
    <x v="2"/>
    <n v="0.33333333333333331"/>
  </r>
  <r>
    <x v="8"/>
    <d v="2011-09-19T05:33:54"/>
    <n v="4"/>
    <s v="Tomatoes"/>
    <n v="59"/>
    <n v="9"/>
    <n v="531"/>
    <n v="7"/>
    <n v="413"/>
    <n v="118"/>
    <n v="686"/>
    <s v="Laudisio"/>
    <x v="1"/>
    <n v="0.22222222222222221"/>
  </r>
  <r>
    <x v="8"/>
    <d v="2011-09-19T09:47:43"/>
    <n v="2"/>
    <s v="Black olives"/>
    <n v="82"/>
    <n v="12"/>
    <n v="984"/>
    <n v="6"/>
    <n v="492"/>
    <n v="492"/>
    <n v="572"/>
    <s v="Flagstaff House"/>
    <x v="2"/>
    <n v="0.5"/>
  </r>
  <r>
    <x v="8"/>
    <d v="2011-09-19T13:30:34"/>
    <n v="31"/>
    <s v="Peppers"/>
    <n v="79"/>
    <n v="21"/>
    <n v="1659"/>
    <n v="12"/>
    <n v="948"/>
    <n v="711"/>
    <n v="846"/>
    <s v="The Dandelion"/>
    <x v="2"/>
    <n v="0.42857142857142855"/>
  </r>
  <r>
    <x v="8"/>
    <d v="2011-09-19T16:46:11"/>
    <n v="4"/>
    <s v="Tomatoes"/>
    <n v="7"/>
    <n v="9"/>
    <n v="63"/>
    <n v="7"/>
    <n v="49"/>
    <n v="14"/>
    <n v="6"/>
    <s v="Pierce Arrow"/>
    <x v="2"/>
    <n v="0.22222222222222221"/>
  </r>
  <r>
    <x v="8"/>
    <d v="2011-09-19T22:36:44"/>
    <n v="30"/>
    <s v="Red onions"/>
    <n v="48"/>
    <n v="12"/>
    <n v="576"/>
    <n v="8"/>
    <n v="384"/>
    <n v="192"/>
    <n v="572"/>
    <s v="Flagstaff House"/>
    <x v="2"/>
    <n v="0.33333333333333331"/>
  </r>
  <r>
    <x v="8"/>
    <d v="2011-09-20T09:53:48"/>
    <n v="39"/>
    <s v="Pineapple"/>
    <n v="24"/>
    <n v="33"/>
    <n v="792"/>
    <n v="28"/>
    <n v="672"/>
    <n v="120"/>
    <n v="23"/>
    <s v="Two Bitts"/>
    <x v="1"/>
    <n v="0.15151515151515152"/>
  </r>
  <r>
    <x v="8"/>
    <d v="2011-09-20T12:06:59"/>
    <n v="22"/>
    <s v="Mozzarella cheese"/>
    <n v="49"/>
    <n v="24"/>
    <n v="1176"/>
    <n v="18"/>
    <n v="882"/>
    <n v="294"/>
    <n v="572"/>
    <s v="Flagstaff House"/>
    <x v="2"/>
    <n v="0.25"/>
  </r>
  <r>
    <x v="8"/>
    <d v="2011-09-21T01:56:10"/>
    <n v="4"/>
    <s v="Tomatoes"/>
    <n v="77"/>
    <n v="9"/>
    <n v="693"/>
    <n v="7"/>
    <n v="539"/>
    <n v="154"/>
    <n v="572"/>
    <s v="Flagstaff House"/>
    <x v="1"/>
    <n v="0.22222222222222221"/>
  </r>
  <r>
    <x v="8"/>
    <d v="2011-09-21T05:09:21"/>
    <n v="100"/>
    <s v="Parmesan cheese"/>
    <n v="61"/>
    <n v="8"/>
    <n v="488"/>
    <n v="4"/>
    <n v="244"/>
    <n v="244"/>
    <n v="14"/>
    <s v="Smoke House"/>
    <x v="1"/>
    <n v="0.5"/>
  </r>
  <r>
    <x v="8"/>
    <d v="2011-09-21T08:23:25"/>
    <n v="16"/>
    <s v="Romaine lettuce"/>
    <n v="24"/>
    <n v="15"/>
    <n v="360"/>
    <n v="14"/>
    <n v="336"/>
    <n v="24"/>
    <n v="557"/>
    <s v="Carmens"/>
    <x v="2"/>
    <n v="6.6666666666666666E-2"/>
  </r>
  <r>
    <x v="8"/>
    <d v="2011-09-23T13:36:04"/>
    <n v="16"/>
    <s v="Romaine lettuce"/>
    <n v="64"/>
    <n v="15"/>
    <n v="960"/>
    <n v="14"/>
    <n v="896"/>
    <n v="64"/>
    <n v="95"/>
    <s v="Mamm'a Pasta Palace"/>
    <x v="2"/>
    <n v="6.6666666666666666E-2"/>
  </r>
  <r>
    <x v="8"/>
    <d v="2011-09-24T04:41:50"/>
    <n v="4"/>
    <s v="Tomatoes"/>
    <n v="37"/>
    <n v="9"/>
    <n v="333"/>
    <n v="7"/>
    <n v="259"/>
    <n v="74"/>
    <n v="572"/>
    <s v="Flagstaff House"/>
    <x v="1"/>
    <n v="0.22222222222222221"/>
  </r>
  <r>
    <x v="8"/>
    <d v="2011-09-24T16:22:49"/>
    <n v="30"/>
    <s v="Red onions"/>
    <n v="91"/>
    <n v="12"/>
    <n v="1092"/>
    <n v="8"/>
    <n v="728"/>
    <n v="364"/>
    <n v="23"/>
    <s v="Two Bitts"/>
    <x v="2"/>
    <n v="0.33333333333333331"/>
  </r>
  <r>
    <x v="8"/>
    <d v="2011-09-27T22:07:56"/>
    <n v="4"/>
    <s v="Tomatoes"/>
    <n v="78"/>
    <n v="9"/>
    <n v="702"/>
    <n v="7"/>
    <n v="546"/>
    <n v="156"/>
    <n v="14"/>
    <s v="Smoke House"/>
    <x v="1"/>
    <n v="0.22222222222222221"/>
  </r>
  <r>
    <x v="8"/>
    <d v="2011-09-29T11:21:20"/>
    <n v="30"/>
    <s v="Red onions"/>
    <n v="95"/>
    <n v="12"/>
    <n v="1140"/>
    <n v="8"/>
    <n v="760"/>
    <n v="380"/>
    <n v="23"/>
    <s v="Two Bitts"/>
    <x v="2"/>
    <n v="0.33333333333333331"/>
  </r>
  <r>
    <x v="8"/>
    <d v="2011-09-30T03:09:33"/>
    <n v="30"/>
    <s v="Red onions"/>
    <n v="46"/>
    <n v="12"/>
    <n v="552"/>
    <n v="8"/>
    <n v="368"/>
    <n v="184"/>
    <n v="572"/>
    <s v="Flagstaff House"/>
    <x v="2"/>
    <n v="0.33333333333333331"/>
  </r>
  <r>
    <x v="8"/>
    <d v="2011-09-30T10:57:41"/>
    <n v="16"/>
    <s v="Romaine lettuce"/>
    <n v="46"/>
    <n v="15"/>
    <n v="690"/>
    <n v="14"/>
    <n v="644"/>
    <n v="46"/>
    <n v="557"/>
    <s v="Carmens"/>
    <x v="2"/>
    <n v="6.6666666666666666E-2"/>
  </r>
  <r>
    <x v="8"/>
    <d v="2011-09-30T17:31:08"/>
    <n v="100"/>
    <s v="Parmesan cheese"/>
    <n v="65"/>
    <n v="8"/>
    <n v="520"/>
    <n v="4"/>
    <n v="260"/>
    <n v="260"/>
    <n v="846"/>
    <s v="The Dandelion"/>
    <x v="0"/>
    <n v="0.5"/>
  </r>
  <r>
    <x v="8"/>
    <d v="2011-09-30T18:01:41"/>
    <n v="31"/>
    <s v="Peppers"/>
    <n v="25"/>
    <n v="21"/>
    <n v="525"/>
    <n v="12"/>
    <n v="300"/>
    <n v="225"/>
    <n v="572"/>
    <s v="Flagstaff House"/>
    <x v="2"/>
    <n v="0.42857142857142855"/>
  </r>
  <r>
    <x v="9"/>
    <d v="2011-10-02T01:09:02"/>
    <n v="98"/>
    <s v="Sausage"/>
    <n v="60"/>
    <n v="18"/>
    <n v="1080"/>
    <n v="8"/>
    <n v="480"/>
    <n v="600"/>
    <n v="6"/>
    <s v="Pierce Arrow"/>
    <x v="1"/>
    <n v="0.55555555555555558"/>
  </r>
  <r>
    <x v="9"/>
    <d v="2011-10-02T11:51:14"/>
    <n v="31"/>
    <s v="Peppers"/>
    <n v="78"/>
    <n v="21"/>
    <n v="1638"/>
    <n v="12"/>
    <n v="936"/>
    <n v="702"/>
    <n v="572"/>
    <s v="Flagstaff House"/>
    <x v="1"/>
    <n v="0.42857142857142855"/>
  </r>
  <r>
    <x v="9"/>
    <d v="2011-10-04T19:34:43"/>
    <n v="16"/>
    <s v="Romaine lettuce"/>
    <n v="36"/>
    <n v="15"/>
    <n v="540"/>
    <n v="14"/>
    <n v="504"/>
    <n v="36"/>
    <n v="686"/>
    <s v="Laudisio"/>
    <x v="1"/>
    <n v="6.6666666666666666E-2"/>
  </r>
  <r>
    <x v="9"/>
    <d v="2011-10-05T06:56:58"/>
    <n v="22"/>
    <s v="Mozzarella cheese"/>
    <n v="36"/>
    <n v="24"/>
    <n v="864"/>
    <n v="18"/>
    <n v="648"/>
    <n v="216"/>
    <n v="95"/>
    <s v="Mamm'a Pasta Palace"/>
    <x v="0"/>
    <n v="0.25"/>
  </r>
  <r>
    <x v="9"/>
    <d v="2011-10-05T12:11:12"/>
    <n v="4"/>
    <s v="Tomatoes"/>
    <n v="75"/>
    <n v="9"/>
    <n v="675"/>
    <n v="7"/>
    <n v="525"/>
    <n v="150"/>
    <n v="6"/>
    <s v="Pierce Arrow"/>
    <x v="2"/>
    <n v="0.22222222222222221"/>
  </r>
  <r>
    <x v="9"/>
    <d v="2011-10-06T06:31:42"/>
    <n v="16"/>
    <s v="Romaine lettuce"/>
    <n v="91"/>
    <n v="15"/>
    <n v="1365"/>
    <n v="14"/>
    <n v="1274"/>
    <n v="91"/>
    <n v="14"/>
    <s v="Smoke House"/>
    <x v="2"/>
    <n v="6.6666666666666666E-2"/>
  </r>
  <r>
    <x v="9"/>
    <d v="2011-10-07T11:16:27"/>
    <n v="4"/>
    <s v="Tomatoes"/>
    <n v="74"/>
    <n v="9"/>
    <n v="666"/>
    <n v="7"/>
    <n v="518"/>
    <n v="148"/>
    <n v="23"/>
    <s v="Two Bitts"/>
    <x v="2"/>
    <n v="0.22222222222222221"/>
  </r>
  <r>
    <x v="9"/>
    <d v="2011-10-08T03:03:20"/>
    <n v="16"/>
    <s v="Romaine lettuce"/>
    <n v="5"/>
    <n v="15"/>
    <n v="75"/>
    <n v="14"/>
    <n v="70"/>
    <n v="5"/>
    <n v="6"/>
    <s v="Pierce Arrow"/>
    <x v="2"/>
    <n v="6.6666666666666666E-2"/>
  </r>
  <r>
    <x v="9"/>
    <d v="2011-10-09T11:54:18"/>
    <n v="100"/>
    <s v="Parmesan cheese"/>
    <n v="43"/>
    <n v="8"/>
    <n v="344"/>
    <n v="4"/>
    <n v="172"/>
    <n v="172"/>
    <n v="14"/>
    <s v="Smoke House"/>
    <x v="1"/>
    <n v="0.5"/>
  </r>
  <r>
    <x v="9"/>
    <d v="2011-10-09T15:41:37"/>
    <n v="30"/>
    <s v="Red onions"/>
    <n v="94"/>
    <n v="12"/>
    <n v="1128"/>
    <n v="8"/>
    <n v="752"/>
    <n v="376"/>
    <n v="572"/>
    <s v="Flagstaff House"/>
    <x v="0"/>
    <n v="0.33333333333333331"/>
  </r>
  <r>
    <x v="9"/>
    <d v="2011-10-09T18:16:31"/>
    <n v="31"/>
    <s v="Peppers"/>
    <n v="57"/>
    <n v="21"/>
    <n v="1197"/>
    <n v="12"/>
    <n v="684"/>
    <n v="513"/>
    <n v="686"/>
    <s v="Laudisio"/>
    <x v="1"/>
    <n v="0.42857142857142855"/>
  </r>
  <r>
    <x v="9"/>
    <d v="2011-10-11T00:10:16"/>
    <n v="100"/>
    <s v="Parmesan cheese"/>
    <n v="69"/>
    <n v="8"/>
    <n v="552"/>
    <n v="4"/>
    <n v="276"/>
    <n v="276"/>
    <n v="6"/>
    <s v="Pierce Arrow"/>
    <x v="1"/>
    <n v="0.5"/>
  </r>
  <r>
    <x v="9"/>
    <d v="2011-10-12T00:13:09"/>
    <n v="4"/>
    <s v="Tomatoes"/>
    <n v="37"/>
    <n v="9"/>
    <n v="333"/>
    <n v="7"/>
    <n v="259"/>
    <n v="74"/>
    <n v="846"/>
    <s v="The Dandelion"/>
    <x v="2"/>
    <n v="0.22222222222222221"/>
  </r>
  <r>
    <x v="9"/>
    <d v="2011-10-13T17:28:50"/>
    <n v="16"/>
    <s v="Romaine lettuce"/>
    <n v="90"/>
    <n v="15"/>
    <n v="1350"/>
    <n v="14"/>
    <n v="1260"/>
    <n v="90"/>
    <n v="572"/>
    <s v="Flagstaff House"/>
    <x v="2"/>
    <n v="6.6666666666666666E-2"/>
  </r>
  <r>
    <x v="9"/>
    <d v="2011-10-14T00:48:41"/>
    <n v="31"/>
    <s v="Peppers"/>
    <n v="7"/>
    <n v="21"/>
    <n v="147"/>
    <n v="12"/>
    <n v="84"/>
    <n v="63"/>
    <n v="846"/>
    <s v="The Dandelion"/>
    <x v="0"/>
    <n v="0.42857142857142855"/>
  </r>
  <r>
    <x v="9"/>
    <d v="2011-10-14T03:09:46"/>
    <n v="2"/>
    <s v="Black olives"/>
    <n v="72"/>
    <n v="12"/>
    <n v="864"/>
    <n v="6"/>
    <n v="432"/>
    <n v="432"/>
    <n v="686"/>
    <s v="Laudisio"/>
    <x v="1"/>
    <n v="0.5"/>
  </r>
  <r>
    <x v="9"/>
    <d v="2011-10-15T01:13:35"/>
    <n v="85"/>
    <s v="Pepperoni"/>
    <n v="45"/>
    <n v="53"/>
    <n v="2385"/>
    <n v="35"/>
    <n v="1575"/>
    <n v="810"/>
    <n v="14"/>
    <s v="Smoke House"/>
    <x v="1"/>
    <n v="0.33962264150943394"/>
  </r>
  <r>
    <x v="9"/>
    <d v="2011-10-15T09:50:37"/>
    <n v="6"/>
    <s v="Sun dried tomatoes"/>
    <n v="52"/>
    <n v="55"/>
    <n v="2860"/>
    <n v="25"/>
    <n v="1300"/>
    <n v="1560"/>
    <n v="14"/>
    <s v="Smoke House"/>
    <x v="2"/>
    <n v="0.54545454545454541"/>
  </r>
  <r>
    <x v="9"/>
    <d v="2011-10-17T00:32:23"/>
    <n v="16"/>
    <s v="Romaine lettuce"/>
    <n v="92"/>
    <n v="15"/>
    <n v="1380"/>
    <n v="14"/>
    <n v="1288"/>
    <n v="92"/>
    <n v="95"/>
    <s v="Mamm'a Pasta Palace"/>
    <x v="2"/>
    <n v="6.6666666666666666E-2"/>
  </r>
  <r>
    <x v="9"/>
    <d v="2011-10-17T14:58:41"/>
    <n v="100"/>
    <s v="Parmesan cheese"/>
    <n v="55"/>
    <n v="8"/>
    <n v="440"/>
    <n v="4"/>
    <n v="220"/>
    <n v="220"/>
    <n v="572"/>
    <s v="Flagstaff House"/>
    <x v="2"/>
    <n v="0.5"/>
  </r>
  <r>
    <x v="9"/>
    <d v="2011-10-18T06:36:41"/>
    <n v="31"/>
    <s v="Peppers"/>
    <n v="72"/>
    <n v="21"/>
    <n v="1512"/>
    <n v="12"/>
    <n v="864"/>
    <n v="648"/>
    <n v="95"/>
    <s v="Mamm'a Pasta Palace"/>
    <x v="0"/>
    <n v="0.42857142857142855"/>
  </r>
  <r>
    <x v="9"/>
    <d v="2011-10-19T06:34:18"/>
    <n v="31"/>
    <s v="Peppers"/>
    <n v="66"/>
    <n v="21"/>
    <n v="1386"/>
    <n v="12"/>
    <n v="792"/>
    <n v="594"/>
    <n v="6"/>
    <s v="Pierce Arrow"/>
    <x v="1"/>
    <n v="0.42857142857142855"/>
  </r>
  <r>
    <x v="9"/>
    <d v="2011-10-20T00:27:16"/>
    <n v="22"/>
    <s v="Mozzarella cheese"/>
    <n v="27"/>
    <n v="24"/>
    <n v="648"/>
    <n v="18"/>
    <n v="486"/>
    <n v="162"/>
    <n v="686"/>
    <s v="Laudisio"/>
    <x v="2"/>
    <n v="0.25"/>
  </r>
  <r>
    <x v="9"/>
    <d v="2011-10-20T12:38:40"/>
    <n v="31"/>
    <s v="Peppers"/>
    <n v="86"/>
    <n v="21"/>
    <n v="1806"/>
    <n v="12"/>
    <n v="1032"/>
    <n v="774"/>
    <n v="14"/>
    <s v="Smoke House"/>
    <x v="1"/>
    <n v="0.42857142857142855"/>
  </r>
  <r>
    <x v="9"/>
    <d v="2011-10-20T17:09:29"/>
    <n v="4"/>
    <s v="Tomatoes"/>
    <n v="57"/>
    <n v="9"/>
    <n v="513"/>
    <n v="7"/>
    <n v="399"/>
    <n v="114"/>
    <n v="572"/>
    <s v="Flagstaff House"/>
    <x v="2"/>
    <n v="0.22222222222222221"/>
  </r>
  <r>
    <x v="9"/>
    <d v="2011-10-22T01:24:54"/>
    <n v="19"/>
    <s v="Chicken"/>
    <n v="49"/>
    <n v="36"/>
    <n v="1764"/>
    <n v="25"/>
    <n v="1225"/>
    <n v="539"/>
    <n v="14"/>
    <s v="Smoke House"/>
    <x v="2"/>
    <n v="0.30555555555555558"/>
  </r>
  <r>
    <x v="9"/>
    <d v="2011-10-23T21:48:52"/>
    <n v="100"/>
    <s v="Parmesan cheese"/>
    <n v="33"/>
    <n v="8"/>
    <n v="264"/>
    <n v="4"/>
    <n v="132"/>
    <n v="132"/>
    <n v="572"/>
    <s v="Flagstaff House"/>
    <x v="1"/>
    <n v="0.5"/>
  </r>
  <r>
    <x v="9"/>
    <d v="2011-10-24T00:09:09"/>
    <n v="22"/>
    <s v="Mozzarella cheese"/>
    <n v="48"/>
    <n v="24"/>
    <n v="1152"/>
    <n v="18"/>
    <n v="864"/>
    <n v="288"/>
    <n v="14"/>
    <s v="Smoke House"/>
    <x v="2"/>
    <n v="0.25"/>
  </r>
  <r>
    <x v="9"/>
    <d v="2011-10-24T02:32:52"/>
    <n v="22"/>
    <s v="Mozzarella cheese"/>
    <n v="97"/>
    <n v="24"/>
    <n v="2328"/>
    <n v="18"/>
    <n v="1746"/>
    <n v="582"/>
    <n v="572"/>
    <s v="Flagstaff House"/>
    <x v="2"/>
    <n v="0.25"/>
  </r>
  <r>
    <x v="9"/>
    <d v="2011-10-24T11:42:09"/>
    <n v="4"/>
    <s v="Tomatoes"/>
    <n v="67"/>
    <n v="9"/>
    <n v="603"/>
    <n v="7"/>
    <n v="469"/>
    <n v="134"/>
    <n v="572"/>
    <s v="Flagstaff House"/>
    <x v="2"/>
    <n v="0.22222222222222221"/>
  </r>
  <r>
    <x v="9"/>
    <d v="2011-10-25T00:31:59"/>
    <n v="39"/>
    <s v="Pineapple"/>
    <n v="58"/>
    <n v="33"/>
    <n v="1914"/>
    <n v="28"/>
    <n v="1624"/>
    <n v="290"/>
    <n v="233"/>
    <s v="Bert's Bistro"/>
    <x v="1"/>
    <n v="0.15151515151515152"/>
  </r>
  <r>
    <x v="9"/>
    <d v="2011-10-25T11:09:09"/>
    <n v="31"/>
    <s v="Peppers"/>
    <n v="75"/>
    <n v="21"/>
    <n v="1575"/>
    <n v="12"/>
    <n v="900"/>
    <n v="675"/>
    <n v="6"/>
    <s v="Pierce Arrow"/>
    <x v="2"/>
    <n v="0.42857142857142855"/>
  </r>
  <r>
    <x v="9"/>
    <d v="2011-10-25T12:53:55"/>
    <n v="6"/>
    <s v="Sun dried tomatoes"/>
    <n v="41"/>
    <n v="55"/>
    <n v="2255"/>
    <n v="25"/>
    <n v="1025"/>
    <n v="1230"/>
    <n v="14"/>
    <s v="Smoke House"/>
    <x v="2"/>
    <n v="0.54545454545454541"/>
  </r>
  <r>
    <x v="9"/>
    <d v="2011-10-27T15:35:38"/>
    <n v="4"/>
    <s v="Tomatoes"/>
    <n v="83"/>
    <n v="9"/>
    <n v="747"/>
    <n v="7"/>
    <n v="581"/>
    <n v="166"/>
    <n v="233"/>
    <s v="Bert's Bistro"/>
    <x v="2"/>
    <n v="0.22222222222222221"/>
  </r>
  <r>
    <x v="9"/>
    <d v="2011-10-27T16:55:02"/>
    <n v="31"/>
    <s v="Peppers"/>
    <n v="65"/>
    <n v="21"/>
    <n v="1365"/>
    <n v="12"/>
    <n v="780"/>
    <n v="585"/>
    <n v="572"/>
    <s v="Flagstaff House"/>
    <x v="1"/>
    <n v="0.42857142857142855"/>
  </r>
  <r>
    <x v="9"/>
    <d v="2011-10-28T03:17:44"/>
    <n v="39"/>
    <s v="Pineapple"/>
    <n v="50"/>
    <n v="33"/>
    <n v="1650"/>
    <n v="28"/>
    <n v="1400"/>
    <n v="250"/>
    <n v="6"/>
    <s v="Pierce Arrow"/>
    <x v="1"/>
    <n v="0.15151515151515152"/>
  </r>
  <r>
    <x v="9"/>
    <d v="2011-10-28T13:09:39"/>
    <n v="16"/>
    <s v="Romaine lettuce"/>
    <n v="1"/>
    <n v="15"/>
    <n v="15"/>
    <n v="14"/>
    <n v="14"/>
    <n v="1"/>
    <n v="95"/>
    <s v="Mamm'a Pasta Palace"/>
    <x v="2"/>
    <n v="6.6666666666666666E-2"/>
  </r>
  <r>
    <x v="9"/>
    <d v="2011-10-28T19:23:38"/>
    <n v="16"/>
    <s v="Romaine lettuce"/>
    <n v="6"/>
    <n v="15"/>
    <n v="90"/>
    <n v="14"/>
    <n v="84"/>
    <n v="6"/>
    <n v="846"/>
    <s v="The Dandelion"/>
    <x v="0"/>
    <n v="6.6666666666666666E-2"/>
  </r>
  <r>
    <x v="9"/>
    <d v="2011-10-29T12:46:01"/>
    <n v="16"/>
    <s v="Romaine lettuce"/>
    <n v="87"/>
    <n v="15"/>
    <n v="1305"/>
    <n v="14"/>
    <n v="1218"/>
    <n v="87"/>
    <n v="572"/>
    <s v="Flagstaff House"/>
    <x v="0"/>
    <n v="6.6666666666666666E-2"/>
  </r>
  <r>
    <x v="9"/>
    <d v="2011-10-29T13:55:32"/>
    <n v="100"/>
    <s v="Parmesan cheese"/>
    <n v="78"/>
    <n v="8"/>
    <n v="624"/>
    <n v="4"/>
    <n v="312"/>
    <n v="312"/>
    <n v="95"/>
    <s v="Mamm'a Pasta Palace"/>
    <x v="2"/>
    <n v="0.5"/>
  </r>
  <r>
    <x v="9"/>
    <d v="2011-10-29T18:56:16"/>
    <n v="16"/>
    <s v="Romaine lettuce"/>
    <n v="66"/>
    <n v="15"/>
    <n v="990"/>
    <n v="14"/>
    <n v="924"/>
    <n v="66"/>
    <n v="572"/>
    <s v="Flagstaff House"/>
    <x v="2"/>
    <n v="6.6666666666666666E-2"/>
  </r>
  <r>
    <x v="9"/>
    <d v="2011-10-30T05:21:03"/>
    <n v="2"/>
    <s v="Black olives"/>
    <n v="38"/>
    <n v="12"/>
    <n v="456"/>
    <n v="6"/>
    <n v="228"/>
    <n v="228"/>
    <n v="23"/>
    <s v="Two Bitts"/>
    <x v="2"/>
    <n v="0.5"/>
  </r>
  <r>
    <x v="9"/>
    <d v="2011-10-30T21:40:09"/>
    <n v="30"/>
    <s v="Red onions"/>
    <n v="55"/>
    <n v="12"/>
    <n v="660"/>
    <n v="8"/>
    <n v="440"/>
    <n v="220"/>
    <n v="6"/>
    <s v="Pierce Arrow"/>
    <x v="2"/>
    <n v="0.33333333333333331"/>
  </r>
  <r>
    <x v="9"/>
    <d v="2011-10-31T03:23:56"/>
    <n v="16"/>
    <s v="Romaine lettuce"/>
    <n v="4"/>
    <n v="15"/>
    <n v="60"/>
    <n v="14"/>
    <n v="56"/>
    <n v="4"/>
    <n v="686"/>
    <s v="Laudisio"/>
    <x v="2"/>
    <n v="6.6666666666666666E-2"/>
  </r>
  <r>
    <x v="10"/>
    <d v="2011-11-01T12:09:14"/>
    <n v="19"/>
    <s v="Chicken"/>
    <n v="64"/>
    <n v="36"/>
    <n v="2304"/>
    <n v="25"/>
    <n v="1600"/>
    <n v="704"/>
    <n v="6"/>
    <s v="Pierce Arrow"/>
    <x v="2"/>
    <n v="0.30555555555555558"/>
  </r>
  <r>
    <x v="10"/>
    <d v="2011-11-03T08:23:09"/>
    <n v="31"/>
    <s v="Peppers"/>
    <n v="93"/>
    <n v="21"/>
    <n v="1953"/>
    <n v="12"/>
    <n v="1116"/>
    <n v="837"/>
    <n v="846"/>
    <s v="The Dandelion"/>
    <x v="1"/>
    <n v="0.42857142857142855"/>
  </r>
  <r>
    <x v="10"/>
    <d v="2011-11-04T08:10:09"/>
    <n v="4"/>
    <s v="Tomatoes"/>
    <n v="63"/>
    <n v="9"/>
    <n v="567"/>
    <n v="7"/>
    <n v="441"/>
    <n v="126"/>
    <n v="95"/>
    <s v="Mamm'a Pasta Palace"/>
    <x v="2"/>
    <n v="0.22222222222222221"/>
  </r>
  <r>
    <x v="10"/>
    <d v="2011-11-06T10:09:40"/>
    <n v="16"/>
    <s v="Romaine lettuce"/>
    <n v="44"/>
    <n v="15"/>
    <n v="660"/>
    <n v="14"/>
    <n v="616"/>
    <n v="44"/>
    <n v="95"/>
    <s v="Mamm'a Pasta Palace"/>
    <x v="1"/>
    <n v="6.6666666666666666E-2"/>
  </r>
  <r>
    <x v="10"/>
    <d v="2011-11-06T22:46:48"/>
    <n v="4"/>
    <s v="Tomatoes"/>
    <n v="56"/>
    <n v="9"/>
    <n v="504"/>
    <n v="7"/>
    <n v="392"/>
    <n v="112"/>
    <n v="23"/>
    <s v="Two Bitts"/>
    <x v="2"/>
    <n v="0.22222222222222221"/>
  </r>
  <r>
    <x v="10"/>
    <d v="2011-11-07T17:12:17"/>
    <n v="2"/>
    <s v="Black olives"/>
    <n v="95"/>
    <n v="12"/>
    <n v="1140"/>
    <n v="6"/>
    <n v="570"/>
    <n v="570"/>
    <n v="572"/>
    <s v="Flagstaff House"/>
    <x v="2"/>
    <n v="0.5"/>
  </r>
  <r>
    <x v="10"/>
    <d v="2011-11-08T01:42:18"/>
    <n v="4"/>
    <s v="Tomatoes"/>
    <n v="54"/>
    <n v="9"/>
    <n v="486"/>
    <n v="7"/>
    <n v="378"/>
    <n v="108"/>
    <n v="95"/>
    <s v="Mamm'a Pasta Palace"/>
    <x v="2"/>
    <n v="0.22222222222222221"/>
  </r>
  <r>
    <x v="10"/>
    <d v="2011-11-09T18:56:39"/>
    <n v="98"/>
    <s v="Sausage"/>
    <n v="21"/>
    <n v="18"/>
    <n v="378"/>
    <n v="8"/>
    <n v="168"/>
    <n v="210"/>
    <n v="14"/>
    <s v="Smoke House"/>
    <x v="1"/>
    <n v="0.55555555555555558"/>
  </r>
  <r>
    <x v="10"/>
    <d v="2011-11-10T15:31:51"/>
    <n v="39"/>
    <s v="Pineapple"/>
    <n v="5"/>
    <n v="33"/>
    <n v="165"/>
    <n v="28"/>
    <n v="140"/>
    <n v="25"/>
    <n v="572"/>
    <s v="Flagstaff House"/>
    <x v="2"/>
    <n v="0.15151515151515152"/>
  </r>
  <r>
    <x v="10"/>
    <d v="2011-11-10T23:34:31"/>
    <n v="22"/>
    <s v="Mozzarella cheese"/>
    <n v="82"/>
    <n v="24"/>
    <n v="1968"/>
    <n v="18"/>
    <n v="1476"/>
    <n v="492"/>
    <n v="14"/>
    <s v="Smoke House"/>
    <x v="1"/>
    <n v="0.25"/>
  </r>
  <r>
    <x v="10"/>
    <d v="2011-11-12T00:15:19"/>
    <n v="100"/>
    <s v="Parmesan cheese"/>
    <n v="45"/>
    <n v="8"/>
    <n v="360"/>
    <n v="4"/>
    <n v="180"/>
    <n v="180"/>
    <n v="846"/>
    <s v="The Dandelion"/>
    <x v="2"/>
    <n v="0.5"/>
  </r>
  <r>
    <x v="10"/>
    <d v="2011-11-12T20:56:01"/>
    <n v="98"/>
    <s v="Sausage"/>
    <n v="13"/>
    <n v="18"/>
    <n v="234"/>
    <n v="8"/>
    <n v="104"/>
    <n v="130"/>
    <n v="14"/>
    <s v="Smoke House"/>
    <x v="1"/>
    <n v="0.55555555555555558"/>
  </r>
  <r>
    <x v="10"/>
    <d v="2011-11-13T15:50:02"/>
    <n v="22"/>
    <s v="Mozzarella cheese"/>
    <n v="72"/>
    <n v="24"/>
    <n v="1728"/>
    <n v="18"/>
    <n v="1296"/>
    <n v="432"/>
    <n v="6"/>
    <s v="Pierce Arrow"/>
    <x v="1"/>
    <n v="0.25"/>
  </r>
  <r>
    <x v="10"/>
    <d v="2011-11-15T09:50:50"/>
    <n v="2"/>
    <s v="Black olives"/>
    <n v="32"/>
    <n v="12"/>
    <n v="384"/>
    <n v="6"/>
    <n v="192"/>
    <n v="192"/>
    <n v="6"/>
    <s v="Pierce Arrow"/>
    <x v="1"/>
    <n v="0.5"/>
  </r>
  <r>
    <x v="10"/>
    <d v="2011-11-15T23:56:28"/>
    <n v="31"/>
    <s v="Peppers"/>
    <n v="92"/>
    <n v="21"/>
    <n v="1932"/>
    <n v="12"/>
    <n v="1104"/>
    <n v="828"/>
    <n v="572"/>
    <s v="Flagstaff House"/>
    <x v="0"/>
    <n v="0.42857142857142855"/>
  </r>
  <r>
    <x v="10"/>
    <d v="2011-11-20T13:25:32"/>
    <n v="19"/>
    <s v="Chicken"/>
    <n v="15"/>
    <n v="36"/>
    <n v="540"/>
    <n v="25"/>
    <n v="375"/>
    <n v="165"/>
    <n v="23"/>
    <s v="Two Bitts"/>
    <x v="1"/>
    <n v="0.30555555555555558"/>
  </r>
  <r>
    <x v="10"/>
    <d v="2011-11-20T16:12:27"/>
    <n v="31"/>
    <s v="Peppers"/>
    <n v="4"/>
    <n v="21"/>
    <n v="84"/>
    <n v="12"/>
    <n v="48"/>
    <n v="36"/>
    <n v="315"/>
    <s v="The Station"/>
    <x v="0"/>
    <n v="0.42857142857142855"/>
  </r>
  <r>
    <x v="10"/>
    <d v="2011-11-21T12:21:27"/>
    <n v="16"/>
    <s v="Romaine lettuce"/>
    <n v="79"/>
    <n v="15"/>
    <n v="1185"/>
    <n v="14"/>
    <n v="1106"/>
    <n v="79"/>
    <n v="6"/>
    <s v="Pierce Arrow"/>
    <x v="1"/>
    <n v="6.6666666666666666E-2"/>
  </r>
  <r>
    <x v="10"/>
    <d v="2011-11-21T23:21:06"/>
    <n v="30"/>
    <s v="Red onions"/>
    <n v="65"/>
    <n v="12"/>
    <n v="780"/>
    <n v="8"/>
    <n v="520"/>
    <n v="260"/>
    <n v="846"/>
    <s v="The Dandelion"/>
    <x v="2"/>
    <n v="0.33333333333333331"/>
  </r>
  <r>
    <x v="10"/>
    <d v="2011-11-22T06:44:38"/>
    <n v="4"/>
    <s v="Tomatoes"/>
    <n v="39"/>
    <n v="9"/>
    <n v="351"/>
    <n v="7"/>
    <n v="273"/>
    <n v="78"/>
    <n v="6"/>
    <s v="Pierce Arrow"/>
    <x v="1"/>
    <n v="0.22222222222222221"/>
  </r>
  <r>
    <x v="10"/>
    <d v="2011-11-22T10:56:19"/>
    <n v="22"/>
    <s v="Mozzarella cheese"/>
    <n v="9"/>
    <n v="24"/>
    <n v="216"/>
    <n v="18"/>
    <n v="162"/>
    <n v="54"/>
    <n v="557"/>
    <s v="Carmens"/>
    <x v="0"/>
    <n v="0.25"/>
  </r>
  <r>
    <x v="10"/>
    <d v="2011-11-26T19:37:09"/>
    <n v="31"/>
    <s v="Peppers"/>
    <n v="60"/>
    <n v="21"/>
    <n v="1260"/>
    <n v="12"/>
    <n v="720"/>
    <n v="540"/>
    <n v="14"/>
    <s v="Smoke House"/>
    <x v="1"/>
    <n v="0.42857142857142855"/>
  </r>
  <r>
    <x v="10"/>
    <d v="2011-11-27T20:01:30"/>
    <n v="98"/>
    <s v="Sausage"/>
    <n v="93"/>
    <n v="18"/>
    <n v="1674"/>
    <n v="8"/>
    <n v="744"/>
    <n v="930"/>
    <n v="572"/>
    <s v="Flagstaff House"/>
    <x v="2"/>
    <n v="0.55555555555555558"/>
  </r>
  <r>
    <x v="10"/>
    <d v="2011-11-28T18:47:09"/>
    <n v="19"/>
    <s v="Chicken"/>
    <n v="6"/>
    <n v="36"/>
    <n v="216"/>
    <n v="25"/>
    <n v="150"/>
    <n v="66"/>
    <n v="686"/>
    <s v="Laudisio"/>
    <x v="1"/>
    <n v="0.30555555555555558"/>
  </r>
  <r>
    <x v="10"/>
    <d v="2011-11-30T00:35:47"/>
    <n v="31"/>
    <s v="Peppers"/>
    <n v="5"/>
    <n v="21"/>
    <n v="105"/>
    <n v="12"/>
    <n v="60"/>
    <n v="45"/>
    <n v="23"/>
    <s v="Two Bitts"/>
    <x v="1"/>
    <n v="0.42857142857142855"/>
  </r>
  <r>
    <x v="10"/>
    <d v="2011-11-30T02:35:15"/>
    <n v="19"/>
    <s v="Chicken"/>
    <n v="51"/>
    <n v="36"/>
    <n v="1836"/>
    <n v="25"/>
    <n v="1275"/>
    <n v="561"/>
    <n v="6"/>
    <s v="Pierce Arrow"/>
    <x v="1"/>
    <n v="0.30555555555555558"/>
  </r>
  <r>
    <x v="11"/>
    <d v="2011-12-02T02:52:17"/>
    <n v="31"/>
    <s v="Peppers"/>
    <n v="4"/>
    <n v="21"/>
    <n v="84"/>
    <n v="12"/>
    <n v="48"/>
    <n v="36"/>
    <n v="315"/>
    <s v="The Station"/>
    <x v="1"/>
    <n v="0.42857142857142855"/>
  </r>
  <r>
    <x v="11"/>
    <d v="2011-12-02T06:47:28"/>
    <n v="22"/>
    <s v="Mozzarella cheese"/>
    <n v="92"/>
    <n v="24"/>
    <n v="2208"/>
    <n v="18"/>
    <n v="1656"/>
    <n v="552"/>
    <n v="14"/>
    <s v="Smoke House"/>
    <x v="1"/>
    <n v="0.25"/>
  </r>
  <r>
    <x v="11"/>
    <d v="2011-12-03T08:40:43"/>
    <n v="100"/>
    <s v="Parmesan cheese"/>
    <n v="48"/>
    <n v="8"/>
    <n v="384"/>
    <n v="4"/>
    <n v="192"/>
    <n v="192"/>
    <n v="572"/>
    <s v="Flagstaff House"/>
    <x v="2"/>
    <n v="0.5"/>
  </r>
  <r>
    <x v="11"/>
    <d v="2011-12-03T11:59:19"/>
    <n v="22"/>
    <s v="Mozzarella cheese"/>
    <n v="63"/>
    <n v="24"/>
    <n v="1512"/>
    <n v="18"/>
    <n v="1134"/>
    <n v="378"/>
    <n v="686"/>
    <s v="Laudisio"/>
    <x v="2"/>
    <n v="0.25"/>
  </r>
  <r>
    <x v="11"/>
    <d v="2011-12-03T22:48:39"/>
    <n v="4"/>
    <s v="Tomatoes"/>
    <n v="24"/>
    <n v="9"/>
    <n v="216"/>
    <n v="7"/>
    <n v="168"/>
    <n v="48"/>
    <n v="557"/>
    <s v="Carmens"/>
    <x v="2"/>
    <n v="0.22222222222222221"/>
  </r>
  <r>
    <x v="11"/>
    <d v="2011-12-04T00:21:22"/>
    <n v="4"/>
    <s v="Tomatoes"/>
    <n v="38"/>
    <n v="9"/>
    <n v="342"/>
    <n v="7"/>
    <n v="266"/>
    <n v="76"/>
    <n v="846"/>
    <s v="The Dandelion"/>
    <x v="2"/>
    <n v="0.22222222222222221"/>
  </r>
  <r>
    <x v="11"/>
    <d v="2011-12-04T05:20:38"/>
    <n v="98"/>
    <s v="Sausage"/>
    <n v="68"/>
    <n v="18"/>
    <n v="1224"/>
    <n v="8"/>
    <n v="544"/>
    <n v="680"/>
    <n v="95"/>
    <s v="Mamm'a Pasta Palace"/>
    <x v="2"/>
    <n v="0.55555555555555558"/>
  </r>
  <r>
    <x v="11"/>
    <d v="2011-12-04T13:59:17"/>
    <n v="30"/>
    <s v="Red onions"/>
    <n v="64"/>
    <n v="12"/>
    <n v="768"/>
    <n v="8"/>
    <n v="512"/>
    <n v="256"/>
    <n v="6"/>
    <s v="Pierce Arrow"/>
    <x v="2"/>
    <n v="0.33333333333333331"/>
  </r>
  <r>
    <x v="11"/>
    <d v="2011-12-06T21:19:13"/>
    <n v="16"/>
    <s v="Romaine lettuce"/>
    <n v="51"/>
    <n v="15"/>
    <n v="765"/>
    <n v="14"/>
    <n v="714"/>
    <n v="51"/>
    <n v="23"/>
    <s v="Two Bitts"/>
    <x v="1"/>
    <n v="6.6666666666666666E-2"/>
  </r>
  <r>
    <x v="11"/>
    <d v="2011-12-08T00:08:12"/>
    <n v="16"/>
    <s v="Romaine lettuce"/>
    <n v="20"/>
    <n v="15"/>
    <n v="300"/>
    <n v="14"/>
    <n v="280"/>
    <n v="20"/>
    <n v="14"/>
    <s v="Smoke House"/>
    <x v="1"/>
    <n v="6.6666666666666666E-2"/>
  </r>
  <r>
    <x v="11"/>
    <d v="2011-12-09T08:23:57"/>
    <n v="100"/>
    <s v="Parmesan cheese"/>
    <n v="83"/>
    <n v="8"/>
    <n v="664"/>
    <n v="4"/>
    <n v="332"/>
    <n v="332"/>
    <n v="572"/>
    <s v="Flagstaff House"/>
    <x v="0"/>
    <n v="0.5"/>
  </r>
  <r>
    <x v="11"/>
    <d v="2011-12-09T10:55:44"/>
    <n v="31"/>
    <s v="Peppers"/>
    <n v="96"/>
    <n v="21"/>
    <n v="2016"/>
    <n v="12"/>
    <n v="1152"/>
    <n v="864"/>
    <n v="572"/>
    <s v="Flagstaff House"/>
    <x v="0"/>
    <n v="0.42857142857142855"/>
  </r>
  <r>
    <x v="11"/>
    <d v="2011-12-09T20:18:40"/>
    <n v="30"/>
    <s v="Red onions"/>
    <n v="28"/>
    <n v="12"/>
    <n v="336"/>
    <n v="8"/>
    <n v="224"/>
    <n v="112"/>
    <n v="95"/>
    <s v="Mamm'a Pasta Palace"/>
    <x v="2"/>
    <n v="0.33333333333333331"/>
  </r>
  <r>
    <x v="11"/>
    <d v="2011-12-09T20:40:49"/>
    <n v="30"/>
    <s v="Red onions"/>
    <n v="65"/>
    <n v="12"/>
    <n v="780"/>
    <n v="8"/>
    <n v="520"/>
    <n v="260"/>
    <n v="846"/>
    <s v="The Dandelion"/>
    <x v="2"/>
    <n v="0.33333333333333331"/>
  </r>
  <r>
    <x v="11"/>
    <d v="2011-12-09T22:56:01"/>
    <n v="30"/>
    <s v="Red onions"/>
    <n v="12"/>
    <n v="12"/>
    <n v="144"/>
    <n v="8"/>
    <n v="96"/>
    <n v="48"/>
    <n v="686"/>
    <s v="Laudisio"/>
    <x v="2"/>
    <n v="0.33333333333333331"/>
  </r>
  <r>
    <x v="11"/>
    <d v="2011-12-10T17:21:47"/>
    <n v="100"/>
    <s v="Parmesan cheese"/>
    <n v="40"/>
    <n v="8"/>
    <n v="320"/>
    <n v="4"/>
    <n v="160"/>
    <n v="160"/>
    <n v="95"/>
    <s v="Mamm'a Pasta Palace"/>
    <x v="1"/>
    <n v="0.5"/>
  </r>
  <r>
    <x v="11"/>
    <d v="2011-12-13T22:24:09"/>
    <n v="4"/>
    <s v="Tomatoes"/>
    <n v="81"/>
    <n v="9"/>
    <n v="729"/>
    <n v="7"/>
    <n v="567"/>
    <n v="162"/>
    <n v="6"/>
    <s v="Pierce Arrow"/>
    <x v="2"/>
    <n v="0.22222222222222221"/>
  </r>
  <r>
    <x v="11"/>
    <d v="2011-12-15T19:08:09"/>
    <n v="19"/>
    <s v="Chicken"/>
    <n v="31"/>
    <n v="36"/>
    <n v="1116"/>
    <n v="25"/>
    <n v="775"/>
    <n v="341"/>
    <n v="572"/>
    <s v="Flagstaff House"/>
    <x v="2"/>
    <n v="0.30555555555555558"/>
  </r>
  <r>
    <x v="11"/>
    <d v="2011-12-16T00:15:10"/>
    <n v="16"/>
    <s v="Romaine lettuce"/>
    <n v="90"/>
    <n v="15"/>
    <n v="1350"/>
    <n v="14"/>
    <n v="1260"/>
    <n v="90"/>
    <n v="572"/>
    <s v="Flagstaff House"/>
    <x v="0"/>
    <n v="6.6666666666666666E-2"/>
  </r>
  <r>
    <x v="11"/>
    <d v="2011-12-16T16:52:25"/>
    <n v="22"/>
    <s v="Mozzarella cheese"/>
    <n v="66"/>
    <n v="24"/>
    <n v="1584"/>
    <n v="18"/>
    <n v="1188"/>
    <n v="396"/>
    <n v="95"/>
    <s v="Mamm'a Pasta Palace"/>
    <x v="2"/>
    <n v="0.25"/>
  </r>
  <r>
    <x v="11"/>
    <d v="2011-12-17T14:42:40"/>
    <n v="16"/>
    <s v="Romaine lettuce"/>
    <n v="25"/>
    <n v="15"/>
    <n v="375"/>
    <n v="14"/>
    <n v="350"/>
    <n v="25"/>
    <n v="95"/>
    <s v="Mamm'a Pasta Palace"/>
    <x v="0"/>
    <n v="6.6666666666666666E-2"/>
  </r>
  <r>
    <x v="11"/>
    <d v="2011-12-17T15:27:35"/>
    <n v="39"/>
    <s v="Pineapple"/>
    <n v="98"/>
    <n v="33"/>
    <n v="3234"/>
    <n v="28"/>
    <n v="2744"/>
    <n v="490"/>
    <n v="95"/>
    <s v="Mamm'a Pasta Palace"/>
    <x v="2"/>
    <n v="0.15151515151515152"/>
  </r>
  <r>
    <x v="11"/>
    <d v="2011-12-18T03:20:18"/>
    <n v="100"/>
    <s v="Parmesan cheese"/>
    <n v="44"/>
    <n v="8"/>
    <n v="352"/>
    <n v="4"/>
    <n v="176"/>
    <n v="176"/>
    <n v="6"/>
    <s v="Pierce Arrow"/>
    <x v="1"/>
    <n v="0.5"/>
  </r>
  <r>
    <x v="11"/>
    <d v="2011-12-18T06:46:38"/>
    <n v="16"/>
    <s v="Romaine lettuce"/>
    <n v="24"/>
    <n v="15"/>
    <n v="360"/>
    <n v="14"/>
    <n v="336"/>
    <n v="24"/>
    <n v="23"/>
    <s v="Two Bitts"/>
    <x v="1"/>
    <n v="6.6666666666666666E-2"/>
  </r>
  <r>
    <x v="11"/>
    <d v="2011-12-18T14:56:13"/>
    <n v="4"/>
    <s v="Tomatoes"/>
    <n v="51"/>
    <n v="9"/>
    <n v="459"/>
    <n v="7"/>
    <n v="357"/>
    <n v="102"/>
    <n v="14"/>
    <s v="Smoke House"/>
    <x v="2"/>
    <n v="0.22222222222222221"/>
  </r>
  <r>
    <x v="11"/>
    <d v="2011-12-19T00:01:16"/>
    <n v="30"/>
    <s v="Red onions"/>
    <n v="85"/>
    <n v="12"/>
    <n v="1020"/>
    <n v="8"/>
    <n v="680"/>
    <n v="340"/>
    <n v="6"/>
    <s v="Pierce Arrow"/>
    <x v="2"/>
    <n v="0.33333333333333331"/>
  </r>
  <r>
    <x v="11"/>
    <d v="2011-12-19T19:46:26"/>
    <n v="16"/>
    <s v="Romaine lettuce"/>
    <n v="45"/>
    <n v="15"/>
    <n v="675"/>
    <n v="14"/>
    <n v="630"/>
    <n v="45"/>
    <n v="14"/>
    <s v="Smoke House"/>
    <x v="2"/>
    <n v="6.6666666666666666E-2"/>
  </r>
  <r>
    <x v="11"/>
    <d v="2011-12-21T20:18:29"/>
    <n v="2"/>
    <s v="Black olives"/>
    <n v="92"/>
    <n v="12"/>
    <n v="1104"/>
    <n v="6"/>
    <n v="552"/>
    <n v="552"/>
    <n v="6"/>
    <s v="Pierce Arrow"/>
    <x v="1"/>
    <n v="0.5"/>
  </r>
  <r>
    <x v="11"/>
    <d v="2011-12-23T14:09:03"/>
    <n v="100"/>
    <s v="Parmesan cheese"/>
    <n v="22"/>
    <n v="8"/>
    <n v="176"/>
    <n v="4"/>
    <n v="88"/>
    <n v="88"/>
    <n v="14"/>
    <s v="Smoke House"/>
    <x v="2"/>
    <n v="0.5"/>
  </r>
  <r>
    <x v="11"/>
    <d v="2011-12-23T21:49:25"/>
    <n v="31"/>
    <s v="Peppers"/>
    <n v="42"/>
    <n v="21"/>
    <n v="882"/>
    <n v="12"/>
    <n v="504"/>
    <n v="378"/>
    <n v="315"/>
    <s v="The Station"/>
    <x v="2"/>
    <n v="0.42857142857142855"/>
  </r>
  <r>
    <x v="11"/>
    <d v="2011-12-25T13:03:26"/>
    <n v="6"/>
    <s v="Sun dried tomatoes"/>
    <n v="49"/>
    <n v="55"/>
    <n v="2695"/>
    <n v="25"/>
    <n v="1225"/>
    <n v="1470"/>
    <n v="23"/>
    <s v="Two Bitts"/>
    <x v="2"/>
    <n v="0.54545454545454541"/>
  </r>
  <r>
    <x v="11"/>
    <d v="2011-12-25T14:42:09"/>
    <n v="30"/>
    <s v="Red onions"/>
    <n v="79"/>
    <n v="12"/>
    <n v="948"/>
    <n v="8"/>
    <n v="632"/>
    <n v="316"/>
    <n v="846"/>
    <s v="The Dandelion"/>
    <x v="0"/>
    <n v="0.33333333333333331"/>
  </r>
  <r>
    <x v="11"/>
    <d v="2011-12-26T17:22:31"/>
    <n v="16"/>
    <s v="Romaine lettuce"/>
    <n v="31"/>
    <n v="15"/>
    <n v="465"/>
    <n v="14"/>
    <n v="434"/>
    <n v="31"/>
    <n v="846"/>
    <s v="The Dandelion"/>
    <x v="2"/>
    <n v="6.6666666666666666E-2"/>
  </r>
  <r>
    <x v="11"/>
    <d v="2011-12-27T21:06:02"/>
    <n v="39"/>
    <s v="Pineapple"/>
    <n v="43"/>
    <n v="33"/>
    <n v="1419"/>
    <n v="28"/>
    <n v="1204"/>
    <n v="215"/>
    <n v="14"/>
    <s v="Smoke House"/>
    <x v="1"/>
    <n v="0.15151515151515152"/>
  </r>
  <r>
    <x v="11"/>
    <d v="2011-12-28T00:16:22"/>
    <n v="16"/>
    <s v="Romaine lettuce"/>
    <n v="1"/>
    <n v="15"/>
    <n v="15"/>
    <n v="14"/>
    <n v="14"/>
    <n v="1"/>
    <n v="846"/>
    <s v="The Dandelion"/>
    <x v="2"/>
    <n v="6.6666666666666666E-2"/>
  </r>
  <r>
    <x v="11"/>
    <d v="2011-12-28T03:01:34"/>
    <n v="30"/>
    <s v="Red onions"/>
    <n v="31"/>
    <n v="12"/>
    <n v="372"/>
    <n v="8"/>
    <n v="248"/>
    <n v="124"/>
    <n v="95"/>
    <s v="Mamm'a Pasta Palace"/>
    <x v="0"/>
    <n v="0.33333333333333331"/>
  </r>
  <r>
    <x v="11"/>
    <d v="2011-12-28T04:49:19"/>
    <n v="4"/>
    <s v="Tomatoes"/>
    <n v="84"/>
    <n v="9"/>
    <n v="756"/>
    <n v="7"/>
    <n v="588"/>
    <n v="168"/>
    <n v="686"/>
    <s v="Laudisio"/>
    <x v="2"/>
    <n v="0.22222222222222221"/>
  </r>
  <r>
    <x v="11"/>
    <d v="2011-12-28T16:23:30"/>
    <n v="2"/>
    <s v="Black olives"/>
    <n v="9"/>
    <n v="12"/>
    <n v="108"/>
    <n v="6"/>
    <n v="54"/>
    <n v="54"/>
    <n v="14"/>
    <s v="Smoke House"/>
    <x v="2"/>
    <n v="0.5"/>
  </r>
  <r>
    <x v="11"/>
    <d v="2011-12-29T04:29:30"/>
    <n v="98"/>
    <s v="Sausage"/>
    <n v="45"/>
    <n v="18"/>
    <n v="810"/>
    <n v="8"/>
    <n v="360"/>
    <n v="450"/>
    <n v="233"/>
    <s v="Bert's Bistro"/>
    <x v="1"/>
    <n v="0.55555555555555558"/>
  </r>
  <r>
    <x v="11"/>
    <d v="2011-12-30T04:07:57"/>
    <n v="4"/>
    <s v="Tomatoes"/>
    <n v="68"/>
    <n v="9"/>
    <n v="612"/>
    <n v="7"/>
    <n v="476"/>
    <n v="136"/>
    <n v="6"/>
    <s v="Pierce Arrow"/>
    <x v="1"/>
    <n v="0.22222222222222221"/>
  </r>
  <r>
    <x v="11"/>
    <d v="2011-12-30T14:36:46"/>
    <n v="16"/>
    <s v="Romaine lettuce"/>
    <n v="8"/>
    <n v="15"/>
    <n v="120"/>
    <n v="14"/>
    <n v="112"/>
    <n v="8"/>
    <n v="572"/>
    <s v="Flagstaff House"/>
    <x v="2"/>
    <n v="6.6666666666666666E-2"/>
  </r>
  <r>
    <x v="11"/>
    <d v="2011-12-31T11:30:59"/>
    <n v="2"/>
    <s v="Black olives"/>
    <n v="42"/>
    <n v="12"/>
    <n v="504"/>
    <n v="6"/>
    <n v="252"/>
    <n v="252"/>
    <n v="14"/>
    <s v="Smoke House"/>
    <x v="1"/>
    <n v="0.5"/>
  </r>
  <r>
    <x v="11"/>
    <d v="2011-12-31T13:37:01"/>
    <n v="16"/>
    <s v="Romaine lettuce"/>
    <n v="72"/>
    <n v="15"/>
    <n v="1080"/>
    <n v="14"/>
    <n v="1008"/>
    <n v="72"/>
    <n v="95"/>
    <s v="Mamm'a Pasta Palace"/>
    <x v="2"/>
    <n v="6.6666666666666666E-2"/>
  </r>
  <r>
    <x v="12"/>
    <d v="2010-01-01T12:22:08"/>
    <n v="2"/>
    <s v="Black olives"/>
    <n v="50"/>
    <n v="12"/>
    <n v="600"/>
    <n v="6"/>
    <n v="300"/>
    <n v="300"/>
    <n v="686"/>
    <s v="Laudisio"/>
    <x v="2"/>
    <n v="0.5"/>
  </r>
  <r>
    <x v="12"/>
    <d v="2010-01-01T21:48:25"/>
    <n v="2"/>
    <s v="Black olives"/>
    <n v="5"/>
    <n v="12"/>
    <n v="60"/>
    <n v="6"/>
    <n v="30"/>
    <n v="30"/>
    <n v="14"/>
    <s v="Smoke House"/>
    <x v="2"/>
    <n v="0.5"/>
  </r>
  <r>
    <x v="12"/>
    <d v="2010-01-02T03:09:54"/>
    <n v="31"/>
    <s v="Peppers"/>
    <n v="31"/>
    <n v="21"/>
    <n v="651"/>
    <n v="12"/>
    <n v="372"/>
    <n v="279"/>
    <n v="686"/>
    <s v="Laudisio"/>
    <x v="2"/>
    <n v="0.42857142857142855"/>
  </r>
  <r>
    <x v="12"/>
    <d v="2010-01-12T10:23:17"/>
    <n v="4"/>
    <s v="Tomatoes"/>
    <n v="76"/>
    <n v="9"/>
    <n v="684"/>
    <n v="7"/>
    <n v="532"/>
    <n v="152"/>
    <n v="14"/>
    <s v="Smoke House"/>
    <x v="2"/>
    <n v="0.22222222222222221"/>
  </r>
  <r>
    <x v="12"/>
    <d v="2010-01-12T10:23:17"/>
    <n v="2"/>
    <s v="Black olives"/>
    <n v="50"/>
    <n v="12"/>
    <n v="600"/>
    <n v="6"/>
    <n v="300"/>
    <n v="300"/>
    <n v="686"/>
    <s v="Laudisio"/>
    <x v="2"/>
    <n v="0.5"/>
  </r>
  <r>
    <x v="12"/>
    <d v="2010-01-12T10:23:17"/>
    <n v="2"/>
    <s v="Black olives"/>
    <n v="5"/>
    <n v="12"/>
    <n v="60"/>
    <n v="6"/>
    <n v="30"/>
    <n v="30"/>
    <n v="14"/>
    <s v="Smoke House"/>
    <x v="2"/>
    <n v="0.5"/>
  </r>
  <r>
    <x v="12"/>
    <d v="2010-01-02T03:09:54"/>
    <n v="31"/>
    <s v="Peppers"/>
    <n v="31"/>
    <n v="21"/>
    <n v="651"/>
    <n v="12"/>
    <n v="372"/>
    <n v="279"/>
    <n v="686"/>
    <s v="Laudisio"/>
    <x v="2"/>
    <n v="0.42857142857142855"/>
  </r>
  <r>
    <x v="12"/>
    <d v="2010-01-02T10:23:17"/>
    <n v="4"/>
    <s v="Tomatoes"/>
    <n v="76"/>
    <n v="9"/>
    <n v="684"/>
    <n v="7"/>
    <n v="532"/>
    <n v="152"/>
    <n v="14"/>
    <s v="Smoke House"/>
    <x v="2"/>
    <n v="0.22222222222222221"/>
  </r>
  <r>
    <x v="12"/>
    <d v="2010-01-21T12:22:08"/>
    <n v="2"/>
    <s v="Black olives"/>
    <n v="50"/>
    <n v="12"/>
    <n v="600"/>
    <n v="6"/>
    <n v="300"/>
    <n v="300"/>
    <n v="686"/>
    <s v="Laudisio"/>
    <x v="2"/>
    <n v="0.5"/>
  </r>
  <r>
    <x v="12"/>
    <d v="2010-01-21T12:22:08"/>
    <n v="2"/>
    <s v="Black olives"/>
    <n v="5"/>
    <n v="12"/>
    <n v="60"/>
    <n v="6"/>
    <n v="30"/>
    <n v="30"/>
    <n v="14"/>
    <s v="Smoke House"/>
    <x v="2"/>
    <n v="0.5"/>
  </r>
  <r>
    <x v="12"/>
    <d v="2010-01-21T12:22:08"/>
    <n v="31"/>
    <s v="Peppers"/>
    <n v="31"/>
    <n v="21"/>
    <n v="651"/>
    <n v="12"/>
    <n v="372"/>
    <n v="279"/>
    <n v="686"/>
    <s v="Laudisio"/>
    <x v="2"/>
    <n v="0.42857142857142855"/>
  </r>
  <r>
    <x v="12"/>
    <d v="2010-01-21T12:22:08"/>
    <n v="4"/>
    <s v="Tomatoes"/>
    <n v="76"/>
    <n v="9"/>
    <n v="684"/>
    <n v="7"/>
    <n v="532"/>
    <n v="152"/>
    <n v="14"/>
    <s v="Smoke House"/>
    <x v="2"/>
    <n v="0.222222222222222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B6C855-14D7-430F-B070-735ED530EE7D}" name="PivotTable1" cacheId="3002"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5" rowHeaderCaption="customer">
  <location ref="Q61:S67" firstHeaderRow="0" firstDataRow="1" firstDataCol="1" rowPageCount="1" colPageCount="1"/>
  <pivotFields count="16">
    <pivotField numFmtId="164" showAll="0">
      <items count="505">
        <item x="498"/>
        <item x="499"/>
        <item x="500"/>
        <item x="502"/>
        <item x="501"/>
        <item x="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showAll="0"/>
    <pivotField axis="axisPage" multipleItemSelectionAllowed="1" showAll="0">
      <items count="13">
        <item h="1" x="3"/>
        <item h="1" x="10"/>
        <item h="1" x="0"/>
        <item h="1" x="6"/>
        <item x="5"/>
        <item h="1" x="8"/>
        <item h="1" x="4"/>
        <item h="1" x="2"/>
        <item h="1" x="1"/>
        <item h="1" x="11"/>
        <item h="1" x="9"/>
        <item h="1" x="7"/>
        <item t="default"/>
      </items>
    </pivotField>
    <pivotField dataField="1" showAll="0"/>
    <pivotField numFmtId="44" showAll="0"/>
    <pivotField dataField="1" numFmtId="44" showAll="0"/>
    <pivotField numFmtId="44" showAll="0"/>
    <pivotField numFmtId="44" showAll="0"/>
    <pivotField numFmtId="44" showAll="0"/>
    <pivotField showAll="0"/>
    <pivotField axis="axisRow" showAll="0" sortType="descending">
      <items count="11">
        <item x="1"/>
        <item x="8"/>
        <item x="3"/>
        <item x="9"/>
        <item x="6"/>
        <item x="5"/>
        <item x="2"/>
        <item x="7"/>
        <item x="0"/>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v="5"/>
    </i>
    <i>
      <x v="6"/>
    </i>
    <i>
      <x v="9"/>
    </i>
    <i>
      <x/>
    </i>
    <i>
      <x v="3"/>
    </i>
    <i t="grand">
      <x/>
    </i>
  </rowItems>
  <colFields count="1">
    <field x="-2"/>
  </colFields>
  <colItems count="2">
    <i>
      <x/>
    </i>
    <i i="1">
      <x v="1"/>
    </i>
  </colItems>
  <pageFields count="1">
    <pageField fld="2" hier="-1"/>
  </pageFields>
  <dataFields count="2">
    <dataField name="  Total Sales" fld="5" baseField="0" baseItem="0" numFmtId="39"/>
    <dataField name=" Quantity" fld="3" baseField="0" baseItem="0"/>
  </dataFields>
  <formats count="1">
    <format dxfId="12">
      <pivotArea dataOnly="0" labelOnly="1" outline="0" fieldPosition="0">
        <references count="1">
          <reference field="4294967294" count="2">
            <x v="0"/>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0" count="1" selected="0">
            <x v="6"/>
          </reference>
        </references>
      </pivotArea>
    </chartFormat>
    <chartFormat chart="0" format="2" series="1">
      <pivotArea type="data" outline="0" fieldPosition="0">
        <references count="2">
          <reference field="4294967294" count="1" selected="0">
            <x v="0"/>
          </reference>
          <reference field="10" count="1" selected="0">
            <x v="9"/>
          </reference>
        </references>
      </pivotArea>
    </chartFormat>
    <chartFormat chart="0" format="3" series="1">
      <pivotArea type="data" outline="0" fieldPosition="0">
        <references count="2">
          <reference field="4294967294" count="1" selected="0">
            <x v="0"/>
          </reference>
          <reference field="10" count="1" selected="0">
            <x v="0"/>
          </reference>
        </references>
      </pivotArea>
    </chartFormat>
    <chartFormat chart="0" format="4" series="1">
      <pivotArea type="data" outline="0" fieldPosition="0">
        <references count="2">
          <reference field="4294967294" count="1" selected="0">
            <x v="0"/>
          </reference>
          <reference field="10" count="1" selected="0">
            <x v="3"/>
          </reference>
        </references>
      </pivotArea>
    </chartFormat>
    <chartFormat chart="0"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32AC30-76E9-49C3-8B2D-F8E4E1245769}" name="PivotTable7" cacheId="3003"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7" rowHeaderCaption="ปี-เดือน" colHeaderCaption="ยอดขาย">
  <location ref="Q86:U101" firstHeaderRow="1" firstDataRow="2" firstDataCol="1"/>
  <pivotFields count="14">
    <pivotField axis="axisRow" showAll="0">
      <items count="14">
        <item x="12"/>
        <item x="0"/>
        <item x="1"/>
        <item x="2"/>
        <item x="3"/>
        <item x="4"/>
        <item x="5"/>
        <item x="6"/>
        <item x="7"/>
        <item x="8"/>
        <item x="9"/>
        <item x="10"/>
        <item x="11"/>
        <item t="default"/>
      </items>
    </pivotField>
    <pivotField numFmtId="164" showAll="0"/>
    <pivotField showAll="0"/>
    <pivotField showAll="0"/>
    <pivotField showAll="0"/>
    <pivotField numFmtId="44" showAll="0"/>
    <pivotField dataField="1" numFmtId="44" showAll="0"/>
    <pivotField numFmtId="44" showAll="0"/>
    <pivotField numFmtId="44" showAll="0"/>
    <pivotField numFmtId="44" showAll="0"/>
    <pivotField showAll="0"/>
    <pivotField showAll="0"/>
    <pivotField axis="axisCol" showAll="0">
      <items count="4">
        <item x="2"/>
        <item x="0"/>
        <item x="1"/>
        <item t="default"/>
      </items>
    </pivotField>
    <pivotField numFmtId="2" showAll="0"/>
  </pivotFields>
  <rowFields count="1">
    <field x="0"/>
  </rowFields>
  <rowItems count="14">
    <i>
      <x/>
    </i>
    <i>
      <x v="1"/>
    </i>
    <i>
      <x v="2"/>
    </i>
    <i>
      <x v="3"/>
    </i>
    <i>
      <x v="4"/>
    </i>
    <i>
      <x v="5"/>
    </i>
    <i>
      <x v="6"/>
    </i>
    <i>
      <x v="7"/>
    </i>
    <i>
      <x v="8"/>
    </i>
    <i>
      <x v="9"/>
    </i>
    <i>
      <x v="10"/>
    </i>
    <i>
      <x v="11"/>
    </i>
    <i>
      <x v="12"/>
    </i>
    <i t="grand">
      <x/>
    </i>
  </rowItems>
  <colFields count="1">
    <field x="12"/>
  </colFields>
  <colItems count="4">
    <i>
      <x/>
    </i>
    <i>
      <x v="1"/>
    </i>
    <i>
      <x v="2"/>
    </i>
    <i t="grand">
      <x/>
    </i>
  </colItems>
  <dataFields count="1">
    <dataField name="ผลรวม ของ Total Sales" fld="6" baseField="0" baseItem="0" numFmtId="44"/>
  </dataFields>
  <chartFormats count="4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2">
          <reference field="4294967294" count="1" selected="0">
            <x v="0"/>
          </reference>
          <reference field="0" count="1" selected="0">
            <x v="8"/>
          </reference>
        </references>
      </pivotArea>
    </chartFormat>
    <chartFormat chart="2" format="9" series="1">
      <pivotArea type="data" outline="0" fieldPosition="0">
        <references count="2">
          <reference field="4294967294" count="1" selected="0">
            <x v="0"/>
          </reference>
          <reference field="0" count="1" selected="0">
            <x v="9"/>
          </reference>
        </references>
      </pivotArea>
    </chartFormat>
    <chartFormat chart="2" format="10" series="1">
      <pivotArea type="data" outline="0" fieldPosition="0">
        <references count="2">
          <reference field="4294967294" count="1" selected="0">
            <x v="0"/>
          </reference>
          <reference field="0" count="1" selected="0">
            <x v="10"/>
          </reference>
        </references>
      </pivotArea>
    </chartFormat>
    <chartFormat chart="2" format="11" series="1">
      <pivotArea type="data" outline="0" fieldPosition="0">
        <references count="2">
          <reference field="4294967294" count="1" selected="0">
            <x v="0"/>
          </reference>
          <reference field="0" count="1" selected="0">
            <x v="11"/>
          </reference>
        </references>
      </pivotArea>
    </chartFormat>
    <chartFormat chart="2" format="12" series="1">
      <pivotArea type="data" outline="0" fieldPosition="0">
        <references count="2">
          <reference field="4294967294" count="1" selected="0">
            <x v="0"/>
          </reference>
          <reference field="0" count="1" selected="0">
            <x v="12"/>
          </reference>
        </references>
      </pivotArea>
    </chartFormat>
    <chartFormat chart="2" format="13" series="1">
      <pivotArea type="data" outline="0" fieldPosition="0">
        <references count="2">
          <reference field="4294967294" count="1" selected="0">
            <x v="0"/>
          </reference>
          <reference field="0" count="1" selected="0">
            <x v="0"/>
          </reference>
        </references>
      </pivotArea>
    </chartFormat>
    <chartFormat chart="2" format="14" series="1">
      <pivotArea type="data" outline="0" fieldPosition="0">
        <references count="2">
          <reference field="4294967294" count="1" selected="0">
            <x v="0"/>
          </reference>
          <reference field="0" count="1" selected="0">
            <x v="1"/>
          </reference>
        </references>
      </pivotArea>
    </chartFormat>
    <chartFormat chart="2" format="15"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0"/>
          </reference>
        </references>
      </pivotArea>
    </chartFormat>
    <chartFormat chart="0" format="14" series="1">
      <pivotArea type="data" outline="0" fieldPosition="0">
        <references count="2">
          <reference field="4294967294" count="1" selected="0">
            <x v="0"/>
          </reference>
          <reference field="0" count="1" selected="0">
            <x v="1"/>
          </reference>
        </references>
      </pivotArea>
    </chartFormat>
    <chartFormat chart="0" format="15" series="1">
      <pivotArea type="data" outline="0" fieldPosition="0">
        <references count="2">
          <reference field="4294967294" count="1" selected="0">
            <x v="0"/>
          </reference>
          <reference field="0" count="1" selected="0">
            <x v="2"/>
          </reference>
        </references>
      </pivotArea>
    </chartFormat>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4" format="2" series="1">
      <pivotArea type="data" outline="0" fieldPosition="0">
        <references count="2">
          <reference field="4294967294" count="1" selected="0">
            <x v="0"/>
          </reference>
          <reference field="12" count="1" selected="0">
            <x v="2"/>
          </reference>
        </references>
      </pivotArea>
    </chartFormat>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2"/>
          </reference>
        </references>
      </pivotArea>
    </chartFormat>
    <chartFormat chart="5" format="3" series="1">
      <pivotArea type="data" outline="0" fieldPosition="0">
        <references count="2">
          <reference field="4294967294" count="1" selected="0">
            <x v="0"/>
          </reference>
          <reference field="12" count="1" selected="0">
            <x v="0"/>
          </reference>
        </references>
      </pivotArea>
    </chartFormat>
    <chartFormat chart="5" format="4" series="1">
      <pivotArea type="data" outline="0" fieldPosition="0">
        <references count="2">
          <reference field="4294967294" count="1" selected="0">
            <x v="0"/>
          </reference>
          <reference field="12" count="1" selected="0">
            <x v="1"/>
          </reference>
        </references>
      </pivotArea>
    </chartFormat>
    <chartFormat chart="5" format="5" series="1">
      <pivotArea type="data" outline="0" fieldPosition="0">
        <references count="2">
          <reference field="4294967294" count="1" selected="0">
            <x v="0"/>
          </reference>
          <reference field="12" count="1" selected="0">
            <x v="2"/>
          </reference>
        </references>
      </pivotArea>
    </chartFormat>
    <chartFormat chart="6" format="6" series="1">
      <pivotArea type="data" outline="0" fieldPosition="0">
        <references count="2">
          <reference field="4294967294" count="1" selected="0">
            <x v="0"/>
          </reference>
          <reference field="12" count="1" selected="0">
            <x v="0"/>
          </reference>
        </references>
      </pivotArea>
    </chartFormat>
    <chartFormat chart="6" format="7" series="1">
      <pivotArea type="data" outline="0" fieldPosition="0">
        <references count="2">
          <reference field="4294967294" count="1" selected="0">
            <x v="0"/>
          </reference>
          <reference field="12" count="1" selected="0">
            <x v="1"/>
          </reference>
        </references>
      </pivotArea>
    </chartFormat>
    <chartFormat chart="6"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F759D7-B61C-430C-95F7-693E308AD845}" name="PivotTable8" cacheId="3003"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rowHeaderCaption="SalesRep">
  <location ref="Q105:S109" firstHeaderRow="0" firstDataRow="1" firstDataCol="1"/>
  <pivotFields count="14">
    <pivotField showAll="0"/>
    <pivotField numFmtId="164" showAll="0"/>
    <pivotField showAll="0"/>
    <pivotField showAll="0"/>
    <pivotField showAll="0"/>
    <pivotField numFmtId="44" showAll="0"/>
    <pivotField dataField="1" numFmtId="44" showAll="0"/>
    <pivotField numFmtId="44" showAll="0"/>
    <pivotField numFmtId="44" showAll="0"/>
    <pivotField numFmtId="44"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numFmtId="2" showAll="0"/>
  </pivotFields>
  <rowFields count="1">
    <field x="12"/>
  </rowFields>
  <rowItems count="4">
    <i>
      <x/>
    </i>
    <i>
      <x v="2"/>
    </i>
    <i>
      <x v="1"/>
    </i>
    <i t="grand">
      <x/>
    </i>
  </rowItems>
  <colFields count="1">
    <field x="-2"/>
  </colFields>
  <colItems count="2">
    <i>
      <x/>
    </i>
    <i i="1">
      <x v="1"/>
    </i>
  </colItems>
  <dataFields count="2">
    <dataField name="  Total Sales" fld="6" baseField="0" baseItem="0" numFmtId="44"/>
    <dataField name="  Profit Margin" fld="13" subtotal="average" baseField="0" baseItem="0" numFmtId="2"/>
  </dataFields>
  <formats count="2">
    <format dxfId="10">
      <pivotArea dataOnly="0" labelOnly="1" outline="0" fieldPosition="0">
        <references count="1">
          <reference field="4294967294" count="2">
            <x v="0"/>
            <x v="1"/>
          </reference>
        </references>
      </pivotArea>
    </format>
    <format dxfId="1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50F369-529D-41E0-A719-156FDAE74492}" name="PivotTable2" cacheId="300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Q26:R37" firstHeaderRow="1" firstDataRow="1" firstDataCol="1"/>
  <pivotFields count="16">
    <pivotField compact="0" numFmtId="164" outline="0" showAll="0">
      <items count="505">
        <item x="498"/>
        <item x="499"/>
        <item x="500"/>
        <item x="502"/>
        <item x="501"/>
        <item x="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compact="0" outline="0" showAll="0"/>
    <pivotField compact="0" outline="0" showAll="0"/>
    <pivotField compact="0" outline="0" showAll="0"/>
    <pivotField compact="0" numFmtId="44" outline="0" showAll="0"/>
    <pivotField compact="0" numFmtId="44" outline="0" showAll="0"/>
    <pivotField compact="0" numFmtId="44" outline="0" showAll="0"/>
    <pivotField compact="0" numFmtId="44" outline="0" showAll="0"/>
    <pivotField compact="0" numFmtId="44" outline="0" showAll="0"/>
    <pivotField compact="0" outline="0" showAll="0"/>
    <pivotField axis="axisRow" compact="0" outline="0" showAll="0" sortType="descending">
      <items count="11">
        <item x="1"/>
        <item x="8"/>
        <item x="5"/>
        <item x="3"/>
        <item x="9"/>
        <item x="6"/>
        <item x="2"/>
        <item x="7"/>
        <item x="0"/>
        <item x="4"/>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0"/>
  </rowFields>
  <rowItems count="11">
    <i>
      <x v="6"/>
    </i>
    <i>
      <x v="5"/>
    </i>
    <i>
      <x v="4"/>
    </i>
    <i>
      <x v="2"/>
    </i>
    <i>
      <x v="3"/>
    </i>
    <i>
      <x/>
    </i>
    <i>
      <x v="9"/>
    </i>
    <i>
      <x v="8"/>
    </i>
    <i>
      <x v="7"/>
    </i>
    <i>
      <x v="1"/>
    </i>
    <i t="grand">
      <x/>
    </i>
  </rowItems>
  <colItems count="1">
    <i/>
  </colItems>
  <dataFields count="1">
    <dataField name=" Profit Margin" fld="12" subtotal="average" baseField="0" baseItem="0" numFmtId="2"/>
  </dataFields>
  <formats count="3">
    <format dxfId="7">
      <pivotArea outline="0" collapsedLevelsAreSubtotals="1" fieldPosition="0"/>
    </format>
    <format dxfId="8">
      <pivotArea dataOnly="0" labelOnly="1" outline="0" axis="axisValues" fieldPosition="0"/>
    </format>
    <format dxfId="9">
      <pivotArea dataOnly="0" labelOnly="1" outline="0" axis="axisValues" fieldPosition="0"/>
    </format>
  </format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3"/>
          </reference>
        </references>
      </pivotArea>
    </chartFormat>
    <chartFormat chart="0" format="3">
      <pivotArea type="data" outline="0" fieldPosition="0">
        <references count="2">
          <reference field="4294967294" count="1" selected="0">
            <x v="0"/>
          </reference>
          <reference field="10" count="1" selected="0">
            <x v="6"/>
          </reference>
        </references>
      </pivotArea>
    </chartFormat>
    <chartFormat chart="0" format="4">
      <pivotArea type="data" outline="0" fieldPosition="0">
        <references count="2">
          <reference field="4294967294" count="1" selected="0">
            <x v="0"/>
          </reference>
          <reference field="10" count="1" selected="0">
            <x v="5"/>
          </reference>
        </references>
      </pivotArea>
    </chartFormat>
    <chartFormat chart="0" format="5">
      <pivotArea type="data" outline="0" fieldPosition="0">
        <references count="2">
          <reference field="4294967294" count="1" selected="0">
            <x v="0"/>
          </reference>
          <reference field="10" count="1" selected="0">
            <x v="9"/>
          </reference>
        </references>
      </pivotArea>
    </chartFormat>
    <chartFormat chart="0" format="6">
      <pivotArea type="data" outline="0" fieldPosition="0">
        <references count="2">
          <reference field="4294967294" count="1" selected="0">
            <x v="0"/>
          </reference>
          <reference field="10" count="1" selected="0">
            <x v="7"/>
          </reference>
        </references>
      </pivotArea>
    </chartFormat>
    <chartFormat chart="0" format="7">
      <pivotArea type="data" outline="0" fieldPosition="0">
        <references count="2">
          <reference field="4294967294" count="1" selected="0">
            <x v="0"/>
          </reference>
          <reference field="10" count="1" selected="0">
            <x v="4"/>
          </reference>
        </references>
      </pivotArea>
    </chartFormat>
    <chartFormat chart="0" format="8">
      <pivotArea type="data" outline="0" fieldPosition="0">
        <references count="2">
          <reference field="4294967294" count="1" selected="0">
            <x v="0"/>
          </reference>
          <reference field="10" count="1" selected="0">
            <x v="1"/>
          </reference>
        </references>
      </pivotArea>
    </chartFormat>
    <chartFormat chart="0" format="9">
      <pivotArea type="data" outline="0" fieldPosition="0">
        <references count="2">
          <reference field="4294967294" count="1" selected="0">
            <x v="0"/>
          </reference>
          <reference field="10" count="1" selected="0">
            <x v="0"/>
          </reference>
        </references>
      </pivotArea>
    </chartFormat>
    <chartFormat chart="0" format="10">
      <pivotArea type="data" outline="0" fieldPosition="0">
        <references count="2">
          <reference field="4294967294" count="1" selected="0">
            <x v="0"/>
          </reference>
          <reference field="10" count="1" selected="0">
            <x v="8"/>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10" count="1" selected="0">
            <x v="6"/>
          </reference>
        </references>
      </pivotArea>
    </chartFormat>
    <chartFormat chart="1" format="13">
      <pivotArea type="data" outline="0" fieldPosition="0">
        <references count="2">
          <reference field="4294967294" count="1" selected="0">
            <x v="0"/>
          </reference>
          <reference field="10" count="1" selected="0">
            <x v="5"/>
          </reference>
        </references>
      </pivotArea>
    </chartFormat>
    <chartFormat chart="1" format="14">
      <pivotArea type="data" outline="0" fieldPosition="0">
        <references count="2">
          <reference field="4294967294" count="1" selected="0">
            <x v="0"/>
          </reference>
          <reference field="10" count="1" selected="0">
            <x v="4"/>
          </reference>
        </references>
      </pivotArea>
    </chartFormat>
    <chartFormat chart="1" format="15">
      <pivotArea type="data" outline="0" fieldPosition="0">
        <references count="2">
          <reference field="4294967294" count="1" selected="0">
            <x v="0"/>
          </reference>
          <reference field="10" count="1" selected="0">
            <x v="2"/>
          </reference>
        </references>
      </pivotArea>
    </chartFormat>
    <chartFormat chart="1" format="16">
      <pivotArea type="data" outline="0" fieldPosition="0">
        <references count="2">
          <reference field="4294967294" count="1" selected="0">
            <x v="0"/>
          </reference>
          <reference field="10" count="1" selected="0">
            <x v="3"/>
          </reference>
        </references>
      </pivotArea>
    </chartFormat>
    <chartFormat chart="1" format="17">
      <pivotArea type="data" outline="0" fieldPosition="0">
        <references count="2">
          <reference field="4294967294" count="1" selected="0">
            <x v="0"/>
          </reference>
          <reference field="10" count="1" selected="0">
            <x v="0"/>
          </reference>
        </references>
      </pivotArea>
    </chartFormat>
    <chartFormat chart="1" format="18">
      <pivotArea type="data" outline="0" fieldPosition="0">
        <references count="2">
          <reference field="4294967294" count="1" selected="0">
            <x v="0"/>
          </reference>
          <reference field="10" count="1" selected="0">
            <x v="9"/>
          </reference>
        </references>
      </pivotArea>
    </chartFormat>
    <chartFormat chart="1" format="19">
      <pivotArea type="data" outline="0" fieldPosition="0">
        <references count="2">
          <reference field="4294967294" count="1" selected="0">
            <x v="0"/>
          </reference>
          <reference field="10" count="1" selected="0">
            <x v="8"/>
          </reference>
        </references>
      </pivotArea>
    </chartFormat>
    <chartFormat chart="1" format="20">
      <pivotArea type="data" outline="0" fieldPosition="0">
        <references count="2">
          <reference field="4294967294" count="1" selected="0">
            <x v="0"/>
          </reference>
          <reference field="10" count="1" selected="0">
            <x v="7"/>
          </reference>
        </references>
      </pivotArea>
    </chartFormat>
    <chartFormat chart="1" format="21">
      <pivotArea type="data" outline="0" fieldPosition="0">
        <references count="2">
          <reference field="4294967294" count="1" selected="0">
            <x v="0"/>
          </reference>
          <reference field="10" count="1" selected="0">
            <x v="1"/>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10" count="1" selected="0">
            <x v="6"/>
          </reference>
        </references>
      </pivotArea>
    </chartFormat>
    <chartFormat chart="2" format="24">
      <pivotArea type="data" outline="0" fieldPosition="0">
        <references count="2">
          <reference field="4294967294" count="1" selected="0">
            <x v="0"/>
          </reference>
          <reference field="10" count="1" selected="0">
            <x v="5"/>
          </reference>
        </references>
      </pivotArea>
    </chartFormat>
    <chartFormat chart="2" format="25">
      <pivotArea type="data" outline="0" fieldPosition="0">
        <references count="2">
          <reference field="4294967294" count="1" selected="0">
            <x v="0"/>
          </reference>
          <reference field="10" count="1" selected="0">
            <x v="4"/>
          </reference>
        </references>
      </pivotArea>
    </chartFormat>
    <chartFormat chart="2" format="26">
      <pivotArea type="data" outline="0" fieldPosition="0">
        <references count="2">
          <reference field="4294967294" count="1" selected="0">
            <x v="0"/>
          </reference>
          <reference field="10" count="1" selected="0">
            <x v="2"/>
          </reference>
        </references>
      </pivotArea>
    </chartFormat>
    <chartFormat chart="2" format="27">
      <pivotArea type="data" outline="0" fieldPosition="0">
        <references count="2">
          <reference field="4294967294" count="1" selected="0">
            <x v="0"/>
          </reference>
          <reference field="10" count="1" selected="0">
            <x v="3"/>
          </reference>
        </references>
      </pivotArea>
    </chartFormat>
    <chartFormat chart="2" format="28">
      <pivotArea type="data" outline="0" fieldPosition="0">
        <references count="2">
          <reference field="4294967294" count="1" selected="0">
            <x v="0"/>
          </reference>
          <reference field="10" count="1" selected="0">
            <x v="0"/>
          </reference>
        </references>
      </pivotArea>
    </chartFormat>
    <chartFormat chart="2" format="29">
      <pivotArea type="data" outline="0" fieldPosition="0">
        <references count="2">
          <reference field="4294967294" count="1" selected="0">
            <x v="0"/>
          </reference>
          <reference field="10" count="1" selected="0">
            <x v="9"/>
          </reference>
        </references>
      </pivotArea>
    </chartFormat>
    <chartFormat chart="2" format="30">
      <pivotArea type="data" outline="0" fieldPosition="0">
        <references count="2">
          <reference field="4294967294" count="1" selected="0">
            <x v="0"/>
          </reference>
          <reference field="10" count="1" selected="0">
            <x v="8"/>
          </reference>
        </references>
      </pivotArea>
    </chartFormat>
    <chartFormat chart="2" format="31">
      <pivotArea type="data" outline="0" fieldPosition="0">
        <references count="2">
          <reference field="4294967294" count="1" selected="0">
            <x v="0"/>
          </reference>
          <reference field="10" count="1" selected="0">
            <x v="7"/>
          </reference>
        </references>
      </pivotArea>
    </chartFormat>
    <chartFormat chart="2" format="3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B40C5F-0D61-410F-AF47-DA434901788B}" name="PivotTable4" cacheId="300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A20:AC33" firstHeaderRow="0" firstDataRow="1" firstDataCol="1"/>
  <pivotFields count="16">
    <pivotField compact="0" numFmtId="164" outline="0" showAll="0">
      <items count="505">
        <item x="498"/>
        <item x="499"/>
        <item x="500"/>
        <item x="502"/>
        <item x="501"/>
        <item x="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compact="0" outline="0" showAll="0"/>
    <pivotField axis="axisRow" compact="0" outline="0" showAll="0">
      <items count="13">
        <item x="3"/>
        <item x="10"/>
        <item x="0"/>
        <item x="6"/>
        <item x="5"/>
        <item x="8"/>
        <item x="4"/>
        <item x="2"/>
        <item x="1"/>
        <item x="11"/>
        <item x="9"/>
        <item x="7"/>
        <item t="default"/>
      </items>
    </pivotField>
    <pivotField compact="0" outline="0" showAll="0"/>
    <pivotField compact="0" numFmtId="44" outline="0" showAll="0"/>
    <pivotField dataField="1" compact="0" numFmtId="44" outline="0" showAll="0"/>
    <pivotField compact="0" numFmtId="44" outline="0" showAll="0"/>
    <pivotField compact="0" numFmtId="44" outline="0" showAll="0"/>
    <pivotField compact="0" numFmtId="44" outline="0" showAll="0"/>
    <pivotField compact="0" outline="0" showAll="0"/>
    <pivotField compact="0" outline="0" showAll="0"/>
    <pivotField compact="0" outline="0" showAll="0"/>
    <pivotField dataField="1" compact="0" numFmtId="2"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5" baseField="0" baseItem="0" numFmtId="44"/>
    <dataField name="  Profit Margin" fld="12" subtotal="average" baseField="0" baseItem="0" numFmtId="2"/>
  </dataFields>
  <formats count="4">
    <format dxfId="3">
      <pivotArea dataOnly="0" labelOnly="1" outline="0" fieldPosition="0">
        <references count="1">
          <reference field="4294967294" count="1">
            <x v="1"/>
          </reference>
        </references>
      </pivotArea>
    </format>
    <format dxfId="4">
      <pivotArea field="2" type="button" dataOnly="0" labelOnly="1" outline="0" axis="axisRow" fieldPosition="0"/>
    </format>
    <format dxfId="5">
      <pivotArea field="2" type="button" dataOnly="0" labelOnly="1" outline="0" axis="axisRow" fieldPosition="0"/>
    </format>
    <format dxfId="6">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5437A918-2B8B-4446-A801-E77D89BA095D}">
            <x14:pivotAreas count="1">
              <pivotArea type="data" outline="0" collapsedLevelsAreSubtotals="1" fieldPosition="0">
                <references count="2">
                  <reference field="4294967294" count="1" selected="0">
                    <x v="1"/>
                  </reference>
                  <reference field="2" count="12" selected="0">
                    <x v="0"/>
                    <x v="1"/>
                    <x v="2"/>
                    <x v="3"/>
                    <x v="4"/>
                    <x v="5"/>
                    <x v="6"/>
                    <x v="7"/>
                    <x v="8"/>
                    <x v="9"/>
                    <x v="10"/>
                    <x v="1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CFFA71-9B20-4EDE-B109-1856ED531307}" name="PivotTable3" cacheId="300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Q41:AB55" firstHeaderRow="1" firstDataRow="2" firstDataCol="1"/>
  <pivotFields count="16">
    <pivotField compact="0" numFmtId="164" outline="0" showAll="0">
      <items count="505">
        <item x="498"/>
        <item x="499"/>
        <item x="500"/>
        <item x="502"/>
        <item x="501"/>
        <item x="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compact="0" outline="0" showAll="0"/>
    <pivotField axis="axisRow" compact="0" outline="0" showAll="0" sortType="descending">
      <items count="13">
        <item x="3"/>
        <item x="10"/>
        <item x="0"/>
        <item x="6"/>
        <item x="5"/>
        <item x="8"/>
        <item x="4"/>
        <item x="2"/>
        <item x="1"/>
        <item x="11"/>
        <item x="9"/>
        <item x="7"/>
        <item t="default"/>
      </items>
      <autoSortScope>
        <pivotArea dataOnly="0" outline="0" fieldPosition="0">
          <references count="1">
            <reference field="4294967294" count="1" selected="0">
              <x v="0"/>
            </reference>
          </references>
        </pivotArea>
      </autoSortScope>
    </pivotField>
    <pivotField compact="0" outline="0" showAll="0"/>
    <pivotField compact="0" numFmtId="44" outline="0" showAll="0"/>
    <pivotField compact="0" numFmtId="44" outline="0" showAll="0"/>
    <pivotField compact="0" numFmtId="44" outline="0" showAll="0"/>
    <pivotField compact="0" numFmtId="44" outline="0" showAll="0"/>
    <pivotField compact="0" numFmtId="44" outline="0" showAll="0"/>
    <pivotField compact="0" outline="0" showAll="0"/>
    <pivotField axis="axisCol" compact="0" outline="0" showAll="0">
      <items count="11">
        <item x="1"/>
        <item x="8"/>
        <item x="3"/>
        <item x="9"/>
        <item x="6"/>
        <item x="5"/>
        <item x="2"/>
        <item x="7"/>
        <item x="0"/>
        <item x="4"/>
        <item t="default"/>
      </items>
    </pivotField>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13">
    <i>
      <x v="3"/>
    </i>
    <i>
      <x v="5"/>
    </i>
    <i>
      <x v="7"/>
    </i>
    <i>
      <x v="11"/>
    </i>
    <i>
      <x/>
    </i>
    <i>
      <x v="9"/>
    </i>
    <i>
      <x v="2"/>
    </i>
    <i>
      <x v="1"/>
    </i>
    <i>
      <x v="8"/>
    </i>
    <i>
      <x v="10"/>
    </i>
    <i>
      <x v="6"/>
    </i>
    <i>
      <x v="4"/>
    </i>
    <i t="grand">
      <x/>
    </i>
  </rowItems>
  <colFields count="1">
    <field x="10"/>
  </colFields>
  <colItems count="11">
    <i>
      <x/>
    </i>
    <i>
      <x v="1"/>
    </i>
    <i>
      <x v="2"/>
    </i>
    <i>
      <x v="3"/>
    </i>
    <i>
      <x v="4"/>
    </i>
    <i>
      <x v="5"/>
    </i>
    <i>
      <x v="6"/>
    </i>
    <i>
      <x v="7"/>
    </i>
    <i>
      <x v="8"/>
    </i>
    <i>
      <x v="9"/>
    </i>
    <i t="grand">
      <x/>
    </i>
  </colItems>
  <dataFields count="1">
    <dataField name="Sum of Profit Margin" fld="12" baseField="0" baseItem="0" numFmtId="2"/>
  </dataFields>
  <formats count="3">
    <format dxfId="0">
      <pivotArea outline="0" collapsedLevelsAreSubtotals="1" fieldPosition="0"/>
    </format>
    <format dxfId="1">
      <pivotArea dataOnly="0" labelOnly="1" outline="0" axis="axisValues" fieldPosition="0"/>
    </format>
    <format dxfId="2">
      <pivotArea dataOnly="0" labelOnly="1" outline="0" fieldPosition="0">
        <references count="1">
          <reference field="10" count="0"/>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9" series="1">
      <pivotArea type="data" outline="0" fieldPosition="0">
        <references count="2">
          <reference field="4294967294" count="1" selected="0">
            <x v="0"/>
          </reference>
          <reference field="10" count="1" selected="0">
            <x v="9"/>
          </reference>
        </references>
      </pivotArea>
    </chartFormat>
    <chartFormat chart="2" format="10" series="1">
      <pivotArea type="data" outline="0" fieldPosition="0">
        <references count="2">
          <reference field="4294967294" count="1" selected="0">
            <x v="0"/>
          </reference>
          <reference field="10" count="1" selected="0">
            <x v="0"/>
          </reference>
        </references>
      </pivotArea>
    </chartFormat>
    <chartFormat chart="2" format="11" series="1">
      <pivotArea type="data" outline="0" fieldPosition="0">
        <references count="2">
          <reference field="4294967294" count="1" selected="0">
            <x v="0"/>
          </reference>
          <reference field="10" count="1" selected="0">
            <x v="1"/>
          </reference>
        </references>
      </pivotArea>
    </chartFormat>
    <chartFormat chart="2" format="12" series="1">
      <pivotArea type="data" outline="0" fieldPosition="0">
        <references count="2">
          <reference field="4294967294" count="1" selected="0">
            <x v="0"/>
          </reference>
          <reference field="10" count="1" selected="0">
            <x v="2"/>
          </reference>
        </references>
      </pivotArea>
    </chartFormat>
    <chartFormat chart="2" format="13" series="1">
      <pivotArea type="data" outline="0" fieldPosition="0">
        <references count="2">
          <reference field="4294967294" count="1" selected="0">
            <x v="0"/>
          </reference>
          <reference field="10" count="1" selected="0">
            <x v="3"/>
          </reference>
        </references>
      </pivotArea>
    </chartFormat>
    <chartFormat chart="2" format="14" series="1">
      <pivotArea type="data" outline="0" fieldPosition="0">
        <references count="2">
          <reference field="4294967294" count="1" selected="0">
            <x v="0"/>
          </reference>
          <reference field="10" count="1" selected="0">
            <x v="4"/>
          </reference>
        </references>
      </pivotArea>
    </chartFormat>
    <chartFormat chart="2" format="15" series="1">
      <pivotArea type="data" outline="0" fieldPosition="0">
        <references count="2">
          <reference field="4294967294" count="1" selected="0">
            <x v="0"/>
          </reference>
          <reference field="10" count="1" selected="0">
            <x v="5"/>
          </reference>
        </references>
      </pivotArea>
    </chartFormat>
    <chartFormat chart="2" format="16" series="1">
      <pivotArea type="data" outline="0" fieldPosition="0">
        <references count="2">
          <reference field="4294967294" count="1" selected="0">
            <x v="0"/>
          </reference>
          <reference field="10" count="1" selected="0">
            <x v="6"/>
          </reference>
        </references>
      </pivotArea>
    </chartFormat>
    <chartFormat chart="2" format="17" series="1">
      <pivotArea type="data" outline="0" fieldPosition="0">
        <references count="2">
          <reference field="4294967294" count="1" selected="0">
            <x v="0"/>
          </reference>
          <reference field="10" count="1" selected="0">
            <x v="7"/>
          </reference>
        </references>
      </pivotArea>
    </chartFormat>
    <chartFormat chart="2" format="18" series="1">
      <pivotArea type="data" outline="0" fieldPosition="0">
        <references count="2">
          <reference field="4294967294" count="1" selected="0">
            <x v="0"/>
          </reference>
          <reference field="10" count="1" selected="0">
            <x v="8"/>
          </reference>
        </references>
      </pivotArea>
    </chartFormat>
    <chartFormat chart="2" format="19" series="1">
      <pivotArea type="data" outline="0" fieldPosition="0">
        <references count="2">
          <reference field="4294967294" count="1" selected="0">
            <x v="0"/>
          </reference>
          <reference field="10" count="1" selected="0">
            <x v="9"/>
          </reference>
        </references>
      </pivotArea>
    </chartFormat>
    <chartFormat chart="3" format="20" series="1">
      <pivotArea type="data" outline="0" fieldPosition="0">
        <references count="2">
          <reference field="4294967294" count="1" selected="0">
            <x v="0"/>
          </reference>
          <reference field="10" count="1" selected="0">
            <x v="0"/>
          </reference>
        </references>
      </pivotArea>
    </chartFormat>
    <chartFormat chart="3" format="21" series="1">
      <pivotArea type="data" outline="0" fieldPosition="0">
        <references count="2">
          <reference field="4294967294" count="1" selected="0">
            <x v="0"/>
          </reference>
          <reference field="10" count="1" selected="0">
            <x v="1"/>
          </reference>
        </references>
      </pivotArea>
    </chartFormat>
    <chartFormat chart="3" format="22" series="1">
      <pivotArea type="data" outline="0" fieldPosition="0">
        <references count="2">
          <reference field="4294967294" count="1" selected="0">
            <x v="0"/>
          </reference>
          <reference field="10" count="1" selected="0">
            <x v="2"/>
          </reference>
        </references>
      </pivotArea>
    </chartFormat>
    <chartFormat chart="3" format="23" series="1">
      <pivotArea type="data" outline="0" fieldPosition="0">
        <references count="2">
          <reference field="4294967294" count="1" selected="0">
            <x v="0"/>
          </reference>
          <reference field="10" count="1" selected="0">
            <x v="3"/>
          </reference>
        </references>
      </pivotArea>
    </chartFormat>
    <chartFormat chart="3" format="24" series="1">
      <pivotArea type="data" outline="0" fieldPosition="0">
        <references count="2">
          <reference field="4294967294" count="1" selected="0">
            <x v="0"/>
          </reference>
          <reference field="10" count="1" selected="0">
            <x v="4"/>
          </reference>
        </references>
      </pivotArea>
    </chartFormat>
    <chartFormat chart="3" format="25" series="1">
      <pivotArea type="data" outline="0" fieldPosition="0">
        <references count="2">
          <reference field="4294967294" count="1" selected="0">
            <x v="0"/>
          </reference>
          <reference field="10" count="1" selected="0">
            <x v="5"/>
          </reference>
        </references>
      </pivotArea>
    </chartFormat>
    <chartFormat chart="3" format="26" series="1">
      <pivotArea type="data" outline="0" fieldPosition="0">
        <references count="2">
          <reference field="4294967294" count="1" selected="0">
            <x v="0"/>
          </reference>
          <reference field="10" count="1" selected="0">
            <x v="6"/>
          </reference>
        </references>
      </pivotArea>
    </chartFormat>
    <chartFormat chart="3" format="27" series="1">
      <pivotArea type="data" outline="0" fieldPosition="0">
        <references count="2">
          <reference field="4294967294" count="1" selected="0">
            <x v="0"/>
          </reference>
          <reference field="10" count="1" selected="0">
            <x v="7"/>
          </reference>
        </references>
      </pivotArea>
    </chartFormat>
    <chartFormat chart="3" format="28" series="1">
      <pivotArea type="data" outline="0" fieldPosition="0">
        <references count="2">
          <reference field="4294967294" count="1" selected="0">
            <x v="0"/>
          </reference>
          <reference field="10" count="1" selected="0">
            <x v="8"/>
          </reference>
        </references>
      </pivotArea>
    </chartFormat>
    <chartFormat chart="3" format="29" series="1">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46231-3076-417B-8C85-D492B0C7A601}">
  <dimension ref="A1:AH511"/>
  <sheetViews>
    <sheetView tabSelected="1" topLeftCell="W1" zoomScale="140" zoomScaleNormal="140" workbookViewId="0">
      <selection activeCell="W80" sqref="W80"/>
    </sheetView>
  </sheetViews>
  <sheetFormatPr defaultColWidth="8.85546875" defaultRowHeight="12.75"/>
  <cols>
    <col min="1" max="1" width="10.28515625" customWidth="1"/>
    <col min="2" max="2" width="10.28515625" bestFit="1" customWidth="1"/>
    <col min="3" max="3" width="9.85546875" bestFit="1" customWidth="1"/>
    <col min="4" max="4" width="17.42578125" bestFit="1" customWidth="1"/>
    <col min="5" max="5" width="8.42578125" bestFit="1" customWidth="1"/>
    <col min="6" max="6" width="9.85546875" bestFit="1" customWidth="1"/>
    <col min="7" max="7" width="11.140625" bestFit="1" customWidth="1"/>
    <col min="8" max="8" width="10.140625" style="1" bestFit="1" customWidth="1"/>
    <col min="9" max="9" width="11.140625" style="1" bestFit="1" customWidth="1"/>
    <col min="10" max="10" width="10.28515625" style="1" bestFit="1" customWidth="1"/>
    <col min="11" max="11" width="11.42578125" customWidth="1"/>
    <col min="12" max="12" width="20" bestFit="1" customWidth="1"/>
    <col min="13" max="13" width="14" bestFit="1" customWidth="1"/>
    <col min="14" max="14" width="13.28515625" style="34" bestFit="1" customWidth="1"/>
    <col min="15" max="15" width="9.140625"/>
    <col min="16" max="16" width="15.42578125" bestFit="1" customWidth="1"/>
    <col min="17" max="17" width="19.7109375" customWidth="1"/>
    <col min="18" max="18" width="20.42578125" customWidth="1"/>
    <col min="19" max="19" width="13.85546875" customWidth="1"/>
    <col min="20" max="20" width="12.7109375" bestFit="1" customWidth="1"/>
    <col min="21" max="21" width="12.85546875" customWidth="1"/>
    <col min="22" max="22" width="15.7109375" customWidth="1"/>
    <col min="23" max="23" width="14.85546875" customWidth="1"/>
    <col min="24" max="24" width="15" customWidth="1"/>
    <col min="25" max="26" width="10.7109375" bestFit="1" customWidth="1"/>
    <col min="27" max="27" width="18.140625" customWidth="1"/>
    <col min="28" max="28" width="17.42578125" customWidth="1"/>
    <col min="29" max="29" width="13.28515625" customWidth="1"/>
    <col min="30" max="30" width="7.140625" customWidth="1"/>
    <col min="31" max="31" width="2.42578125" customWidth="1"/>
    <col min="32" max="32" width="56.42578125" customWidth="1"/>
    <col min="33" max="604" width="19.140625" bestFit="1" customWidth="1"/>
    <col min="605" max="605" width="29.7109375" bestFit="1" customWidth="1"/>
    <col min="606" max="606" width="31.42578125" bestFit="1" customWidth="1"/>
    <col min="607" max="690" width="19.140625" bestFit="1" customWidth="1"/>
    <col min="691" max="691" width="26.140625" bestFit="1" customWidth="1"/>
    <col min="692" max="692" width="28.140625" bestFit="1" customWidth="1"/>
    <col min="693" max="1028" width="19.140625" bestFit="1" customWidth="1"/>
    <col min="1029" max="1029" width="28.85546875" bestFit="1" customWidth="1"/>
    <col min="1030" max="1030" width="30.7109375" bestFit="1" customWidth="1"/>
    <col min="1031" max="1031" width="22.42578125" bestFit="1" customWidth="1"/>
    <col min="1032" max="1032" width="24.28515625" bestFit="1" customWidth="1"/>
  </cols>
  <sheetData>
    <row r="1" spans="1:20" ht="15">
      <c r="A1" s="24" t="s">
        <v>0</v>
      </c>
      <c r="B1" s="2" t="s">
        <v>1</v>
      </c>
      <c r="C1" s="2" t="s">
        <v>2</v>
      </c>
      <c r="D1" s="2" t="s">
        <v>3</v>
      </c>
      <c r="E1" s="2" t="s">
        <v>4</v>
      </c>
      <c r="F1" s="2" t="s">
        <v>5</v>
      </c>
      <c r="G1" s="2" t="s">
        <v>6</v>
      </c>
      <c r="H1" s="3" t="s">
        <v>7</v>
      </c>
      <c r="I1" s="3" t="s">
        <v>8</v>
      </c>
      <c r="J1" s="3" t="s">
        <v>9</v>
      </c>
      <c r="K1" s="2" t="s">
        <v>10</v>
      </c>
      <c r="L1" s="2" t="s">
        <v>11</v>
      </c>
      <c r="M1" s="28" t="s">
        <v>12</v>
      </c>
      <c r="N1" s="32" t="s">
        <v>13</v>
      </c>
      <c r="P1" s="41" t="s">
        <v>14</v>
      </c>
      <c r="Q1" s="19">
        <f>MAX(N:N)</f>
        <v>0.55555555555555558</v>
      </c>
      <c r="R1" s="19">
        <v>0.6</v>
      </c>
      <c r="T1" s="26" t="s">
        <v>15</v>
      </c>
    </row>
    <row r="2" spans="1:20">
      <c r="A2" t="str">
        <f>TEXT(B2, "YYYY-MM")</f>
        <v>2011-01</v>
      </c>
      <c r="B2" s="4">
        <v>40547</v>
      </c>
      <c r="C2" s="5">
        <v>22</v>
      </c>
      <c r="D2" s="6" t="s">
        <v>16</v>
      </c>
      <c r="E2" s="5">
        <v>41</v>
      </c>
      <c r="F2" s="7">
        <v>24</v>
      </c>
      <c r="G2" s="7">
        <f t="shared" ref="G2:G65" si="0">E2*F2</f>
        <v>984</v>
      </c>
      <c r="H2" s="8">
        <v>18</v>
      </c>
      <c r="I2" s="8">
        <f>E2*H2</f>
        <v>738</v>
      </c>
      <c r="J2" s="8">
        <f>G2-I2</f>
        <v>246</v>
      </c>
      <c r="K2" s="5">
        <v>315</v>
      </c>
      <c r="L2" s="6" t="s">
        <v>17</v>
      </c>
      <c r="M2" s="29" t="s">
        <v>18</v>
      </c>
      <c r="N2" s="33">
        <f>J2/G2</f>
        <v>0.25</v>
      </c>
      <c r="P2" s="41" t="s">
        <v>19</v>
      </c>
      <c r="Q2" s="19">
        <f>MIN(N:N)</f>
        <v>6.6666666666666666E-2</v>
      </c>
      <c r="R2" s="19">
        <v>0</v>
      </c>
    </row>
    <row r="3" spans="1:20">
      <c r="A3" t="str">
        <f t="shared" ref="A3:A66" si="1">TEXT(B3, "YYYY-MM")</f>
        <v>2011-01</v>
      </c>
      <c r="B3" s="9">
        <v>40547.229074074072</v>
      </c>
      <c r="C3" s="10">
        <v>16</v>
      </c>
      <c r="D3" s="11" t="s">
        <v>20</v>
      </c>
      <c r="E3" s="10">
        <v>90</v>
      </c>
      <c r="F3" s="12">
        <v>15</v>
      </c>
      <c r="G3" s="12">
        <f t="shared" si="0"/>
        <v>1350</v>
      </c>
      <c r="H3" s="13">
        <v>14</v>
      </c>
      <c r="I3" s="13">
        <f t="shared" ref="I3:I66" si="2">E3*H3</f>
        <v>1260</v>
      </c>
      <c r="J3" s="8">
        <f t="shared" ref="J3:J66" si="3">G3-I3</f>
        <v>90</v>
      </c>
      <c r="K3" s="10">
        <v>315</v>
      </c>
      <c r="L3" s="11" t="s">
        <v>17</v>
      </c>
      <c r="M3" s="30" t="s">
        <v>21</v>
      </c>
      <c r="N3" s="33">
        <f t="shared" ref="N3:N66" si="4">J3/G3</f>
        <v>6.6666666666666666E-2</v>
      </c>
      <c r="P3" s="41" t="s">
        <v>22</v>
      </c>
      <c r="Q3" s="19">
        <v>4</v>
      </c>
      <c r="R3" s="19">
        <v>4</v>
      </c>
    </row>
    <row r="4" spans="1:20">
      <c r="A4" t="str">
        <f t="shared" si="1"/>
        <v>2011-01</v>
      </c>
      <c r="B4" s="9">
        <v>40548.351168981484</v>
      </c>
      <c r="C4" s="10">
        <v>30</v>
      </c>
      <c r="D4" s="11" t="s">
        <v>23</v>
      </c>
      <c r="E4" s="10">
        <v>27</v>
      </c>
      <c r="F4" s="12">
        <v>12</v>
      </c>
      <c r="G4" s="12">
        <f t="shared" si="0"/>
        <v>324</v>
      </c>
      <c r="H4" s="13">
        <v>8</v>
      </c>
      <c r="I4" s="13">
        <f t="shared" si="2"/>
        <v>216</v>
      </c>
      <c r="J4" s="8">
        <f t="shared" si="3"/>
        <v>108</v>
      </c>
      <c r="K4" s="10">
        <v>233</v>
      </c>
      <c r="L4" s="11" t="s">
        <v>24</v>
      </c>
      <c r="M4" s="30" t="s">
        <v>25</v>
      </c>
      <c r="N4" s="33">
        <f t="shared" si="4"/>
        <v>0.33333333333333331</v>
      </c>
      <c r="P4" s="41" t="s">
        <v>26</v>
      </c>
      <c r="Q4" s="19">
        <f>(Q1-Q2)/Q3</f>
        <v>0.12222222222222223</v>
      </c>
      <c r="R4">
        <f>(R1-R2)/R3</f>
        <v>0.15</v>
      </c>
    </row>
    <row r="5" spans="1:20">
      <c r="A5" t="str">
        <f t="shared" si="1"/>
        <v>2011-01</v>
      </c>
      <c r="B5" s="9">
        <v>40549.195324074077</v>
      </c>
      <c r="C5" s="10">
        <v>16</v>
      </c>
      <c r="D5" s="11" t="s">
        <v>20</v>
      </c>
      <c r="E5" s="10">
        <v>67</v>
      </c>
      <c r="F5" s="12">
        <v>15</v>
      </c>
      <c r="G5" s="12">
        <f t="shared" si="0"/>
        <v>1005</v>
      </c>
      <c r="H5" s="13">
        <v>14</v>
      </c>
      <c r="I5" s="13">
        <f t="shared" si="2"/>
        <v>938</v>
      </c>
      <c r="J5" s="8">
        <f t="shared" si="3"/>
        <v>67</v>
      </c>
      <c r="K5" s="10">
        <v>14</v>
      </c>
      <c r="L5" s="11" t="s">
        <v>27</v>
      </c>
      <c r="M5" s="30" t="s">
        <v>21</v>
      </c>
      <c r="N5" s="33">
        <f t="shared" si="4"/>
        <v>6.6666666666666666E-2</v>
      </c>
      <c r="P5" s="41" t="s">
        <v>28</v>
      </c>
      <c r="Q5" s="41" t="s">
        <v>29</v>
      </c>
    </row>
    <row r="6" spans="1:20">
      <c r="A6" t="str">
        <f t="shared" si="1"/>
        <v>2011-01</v>
      </c>
      <c r="B6" s="9">
        <v>40550.305960648147</v>
      </c>
      <c r="C6" s="10">
        <v>2</v>
      </c>
      <c r="D6" s="11" t="s">
        <v>30</v>
      </c>
      <c r="E6" s="10">
        <v>79</v>
      </c>
      <c r="F6" s="12">
        <v>12</v>
      </c>
      <c r="G6" s="12">
        <f t="shared" si="0"/>
        <v>948</v>
      </c>
      <c r="H6" s="13">
        <v>6</v>
      </c>
      <c r="I6" s="13">
        <f t="shared" si="2"/>
        <v>474</v>
      </c>
      <c r="J6" s="8">
        <f t="shared" si="3"/>
        <v>474</v>
      </c>
      <c r="K6" s="10">
        <v>572</v>
      </c>
      <c r="L6" s="11" t="s">
        <v>31</v>
      </c>
      <c r="M6" s="30" t="s">
        <v>25</v>
      </c>
      <c r="N6" s="33">
        <f t="shared" si="4"/>
        <v>0.5</v>
      </c>
      <c r="P6" s="19">
        <v>0.15</v>
      </c>
      <c r="Q6" cm="1">
        <f t="array" ref="Q6:Q10">FREQUENCY(N2:N511,P6:P9)</f>
        <v>99</v>
      </c>
    </row>
    <row r="7" spans="1:20">
      <c r="A7" t="str">
        <f t="shared" si="1"/>
        <v>2011-01</v>
      </c>
      <c r="B7" s="9">
        <v>40550.360405092593</v>
      </c>
      <c r="C7" s="10">
        <v>16</v>
      </c>
      <c r="D7" s="11" t="s">
        <v>20</v>
      </c>
      <c r="E7" s="10">
        <v>46</v>
      </c>
      <c r="F7" s="12">
        <v>15</v>
      </c>
      <c r="G7" s="12">
        <f t="shared" si="0"/>
        <v>690</v>
      </c>
      <c r="H7" s="13">
        <v>14</v>
      </c>
      <c r="I7" s="13">
        <f t="shared" si="2"/>
        <v>644</v>
      </c>
      <c r="J7" s="8">
        <f t="shared" si="3"/>
        <v>46</v>
      </c>
      <c r="K7" s="10">
        <v>23</v>
      </c>
      <c r="L7" s="11" t="s">
        <v>32</v>
      </c>
      <c r="M7" s="30" t="s">
        <v>25</v>
      </c>
      <c r="N7" s="33">
        <f t="shared" si="4"/>
        <v>6.6666666666666666E-2</v>
      </c>
      <c r="P7" s="19">
        <v>0.3</v>
      </c>
      <c r="Q7">
        <v>141</v>
      </c>
    </row>
    <row r="8" spans="1:20">
      <c r="A8" t="str">
        <f t="shared" si="1"/>
        <v>2011-01</v>
      </c>
      <c r="B8" s="9">
        <v>40550.614479166667</v>
      </c>
      <c r="C8" s="10">
        <v>16</v>
      </c>
      <c r="D8" s="11" t="s">
        <v>20</v>
      </c>
      <c r="E8" s="10">
        <v>52</v>
      </c>
      <c r="F8" s="12">
        <v>15</v>
      </c>
      <c r="G8" s="12">
        <f t="shared" si="0"/>
        <v>780</v>
      </c>
      <c r="H8" s="13">
        <v>14</v>
      </c>
      <c r="I8" s="13">
        <f t="shared" si="2"/>
        <v>728</v>
      </c>
      <c r="J8" s="8">
        <f t="shared" si="3"/>
        <v>52</v>
      </c>
      <c r="K8" s="10">
        <v>6</v>
      </c>
      <c r="L8" s="11" t="s">
        <v>33</v>
      </c>
      <c r="M8" s="30" t="s">
        <v>21</v>
      </c>
      <c r="N8" s="33">
        <f t="shared" si="4"/>
        <v>6.6666666666666666E-2</v>
      </c>
      <c r="P8" s="19">
        <v>0.45</v>
      </c>
      <c r="Q8">
        <v>150</v>
      </c>
    </row>
    <row r="9" spans="1:20">
      <c r="A9" t="str">
        <f t="shared" si="1"/>
        <v>2011-01</v>
      </c>
      <c r="B9" s="9">
        <v>40551.642372685186</v>
      </c>
      <c r="C9" s="10">
        <v>30</v>
      </c>
      <c r="D9" s="11" t="s">
        <v>23</v>
      </c>
      <c r="E9" s="10">
        <v>39</v>
      </c>
      <c r="F9" s="12">
        <v>12</v>
      </c>
      <c r="G9" s="12">
        <f t="shared" si="0"/>
        <v>468</v>
      </c>
      <c r="H9" s="13">
        <v>8</v>
      </c>
      <c r="I9" s="13">
        <f t="shared" si="2"/>
        <v>312</v>
      </c>
      <c r="J9" s="8">
        <f t="shared" si="3"/>
        <v>156</v>
      </c>
      <c r="K9" s="10">
        <v>95</v>
      </c>
      <c r="L9" s="11" t="s">
        <v>34</v>
      </c>
      <c r="M9" s="30" t="s">
        <v>25</v>
      </c>
      <c r="N9" s="33">
        <f t="shared" si="4"/>
        <v>0.33333333333333331</v>
      </c>
      <c r="P9" s="19">
        <v>0.6</v>
      </c>
      <c r="Q9">
        <v>120</v>
      </c>
    </row>
    <row r="10" spans="1:20">
      <c r="A10" t="str">
        <f t="shared" si="1"/>
        <v>2011-01</v>
      </c>
      <c r="B10" s="9">
        <v>40552.457418981481</v>
      </c>
      <c r="C10" s="10">
        <v>16</v>
      </c>
      <c r="D10" s="11" t="s">
        <v>20</v>
      </c>
      <c r="E10" s="10">
        <v>66</v>
      </c>
      <c r="F10" s="12">
        <v>15</v>
      </c>
      <c r="G10" s="12">
        <f t="shared" si="0"/>
        <v>990</v>
      </c>
      <c r="H10" s="13">
        <v>14</v>
      </c>
      <c r="I10" s="13">
        <f t="shared" si="2"/>
        <v>924</v>
      </c>
      <c r="J10" s="8">
        <f t="shared" si="3"/>
        <v>66</v>
      </c>
      <c r="K10" s="10">
        <v>846</v>
      </c>
      <c r="L10" s="11" t="s">
        <v>35</v>
      </c>
      <c r="M10" s="30" t="s">
        <v>25</v>
      </c>
      <c r="N10" s="33">
        <f t="shared" si="4"/>
        <v>6.6666666666666666E-2</v>
      </c>
      <c r="Q10">
        <v>0</v>
      </c>
    </row>
    <row r="11" spans="1:20">
      <c r="A11" t="str">
        <f t="shared" si="1"/>
        <v>2011-01</v>
      </c>
      <c r="B11" s="9">
        <v>40553.019085648149</v>
      </c>
      <c r="C11" s="10">
        <v>16</v>
      </c>
      <c r="D11" s="11" t="s">
        <v>20</v>
      </c>
      <c r="E11" s="10">
        <v>58</v>
      </c>
      <c r="F11" s="12">
        <v>15</v>
      </c>
      <c r="G11" s="12">
        <f t="shared" si="0"/>
        <v>870</v>
      </c>
      <c r="H11" s="13">
        <v>14</v>
      </c>
      <c r="I11" s="13">
        <f t="shared" si="2"/>
        <v>812</v>
      </c>
      <c r="J11" s="8">
        <f t="shared" si="3"/>
        <v>58</v>
      </c>
      <c r="K11" s="10">
        <v>557</v>
      </c>
      <c r="L11" s="11" t="s">
        <v>36</v>
      </c>
      <c r="M11" s="30" t="s">
        <v>25</v>
      </c>
      <c r="N11" s="33">
        <f t="shared" si="4"/>
        <v>6.6666666666666666E-2</v>
      </c>
    </row>
    <row r="12" spans="1:20">
      <c r="A12" t="str">
        <f t="shared" si="1"/>
        <v>2011-01</v>
      </c>
      <c r="B12" s="9">
        <v>40553.452048611114</v>
      </c>
      <c r="C12" s="10">
        <v>39</v>
      </c>
      <c r="D12" s="11" t="s">
        <v>37</v>
      </c>
      <c r="E12" s="10">
        <v>40</v>
      </c>
      <c r="F12" s="12">
        <v>33</v>
      </c>
      <c r="G12" s="12">
        <f t="shared" si="0"/>
        <v>1320</v>
      </c>
      <c r="H12" s="13">
        <v>28</v>
      </c>
      <c r="I12" s="13">
        <f t="shared" si="2"/>
        <v>1120</v>
      </c>
      <c r="J12" s="8">
        <f t="shared" si="3"/>
        <v>200</v>
      </c>
      <c r="K12" s="10">
        <v>315</v>
      </c>
      <c r="L12" s="11" t="s">
        <v>17</v>
      </c>
      <c r="M12" s="30" t="s">
        <v>25</v>
      </c>
      <c r="N12" s="33">
        <f t="shared" si="4"/>
        <v>0.15151515151515152</v>
      </c>
    </row>
    <row r="13" spans="1:20">
      <c r="A13" t="str">
        <f t="shared" si="1"/>
        <v>2011-01</v>
      </c>
      <c r="B13" s="9">
        <v>40554.687048611115</v>
      </c>
      <c r="C13" s="10">
        <v>39</v>
      </c>
      <c r="D13" s="11" t="s">
        <v>37</v>
      </c>
      <c r="E13" s="10">
        <v>71</v>
      </c>
      <c r="F13" s="12">
        <v>33</v>
      </c>
      <c r="G13" s="12">
        <f t="shared" si="0"/>
        <v>2343</v>
      </c>
      <c r="H13" s="13">
        <v>28</v>
      </c>
      <c r="I13" s="13">
        <f t="shared" si="2"/>
        <v>1988</v>
      </c>
      <c r="J13" s="8">
        <f t="shared" si="3"/>
        <v>355</v>
      </c>
      <c r="K13" s="10">
        <v>846</v>
      </c>
      <c r="L13" s="11" t="s">
        <v>35</v>
      </c>
      <c r="M13" s="30" t="s">
        <v>25</v>
      </c>
      <c r="N13" s="33">
        <f t="shared" si="4"/>
        <v>0.15151515151515152</v>
      </c>
    </row>
    <row r="14" spans="1:20">
      <c r="A14" t="str">
        <f t="shared" si="1"/>
        <v>2011-01</v>
      </c>
      <c r="B14" s="9">
        <v>40557.057430555556</v>
      </c>
      <c r="C14" s="10">
        <v>16</v>
      </c>
      <c r="D14" s="11" t="s">
        <v>20</v>
      </c>
      <c r="E14" s="10">
        <v>18</v>
      </c>
      <c r="F14" s="12">
        <v>15</v>
      </c>
      <c r="G14" s="12">
        <f t="shared" si="0"/>
        <v>270</v>
      </c>
      <c r="H14" s="13">
        <v>14</v>
      </c>
      <c r="I14" s="13">
        <f t="shared" si="2"/>
        <v>252</v>
      </c>
      <c r="J14" s="8">
        <f t="shared" si="3"/>
        <v>18</v>
      </c>
      <c r="K14" s="10">
        <v>557</v>
      </c>
      <c r="L14" s="11" t="s">
        <v>36</v>
      </c>
      <c r="M14" s="30" t="s">
        <v>25</v>
      </c>
      <c r="N14" s="33">
        <f t="shared" si="4"/>
        <v>6.6666666666666666E-2</v>
      </c>
    </row>
    <row r="15" spans="1:20">
      <c r="A15" t="str">
        <f t="shared" si="1"/>
        <v>2011-01</v>
      </c>
      <c r="B15" s="9">
        <v>40557.298125000001</v>
      </c>
      <c r="C15" s="10">
        <v>16</v>
      </c>
      <c r="D15" s="11" t="s">
        <v>20</v>
      </c>
      <c r="E15" s="10">
        <v>28</v>
      </c>
      <c r="F15" s="12">
        <v>15</v>
      </c>
      <c r="G15" s="12">
        <f t="shared" si="0"/>
        <v>420</v>
      </c>
      <c r="H15" s="13">
        <v>14</v>
      </c>
      <c r="I15" s="13">
        <f t="shared" si="2"/>
        <v>392</v>
      </c>
      <c r="J15" s="8">
        <f t="shared" si="3"/>
        <v>28</v>
      </c>
      <c r="K15" s="10">
        <v>572</v>
      </c>
      <c r="L15" s="11" t="s">
        <v>31</v>
      </c>
      <c r="M15" s="30" t="s">
        <v>18</v>
      </c>
      <c r="N15" s="33">
        <f t="shared" si="4"/>
        <v>6.6666666666666666E-2</v>
      </c>
    </row>
    <row r="16" spans="1:20" ht="15">
      <c r="A16" t="str">
        <f t="shared" si="1"/>
        <v>2011-01</v>
      </c>
      <c r="B16" s="9">
        <v>40558.647997685184</v>
      </c>
      <c r="C16" s="10">
        <v>85</v>
      </c>
      <c r="D16" s="11" t="s">
        <v>38</v>
      </c>
      <c r="E16" s="10">
        <v>33</v>
      </c>
      <c r="F16" s="12">
        <v>53</v>
      </c>
      <c r="G16" s="12">
        <f t="shared" si="0"/>
        <v>1749</v>
      </c>
      <c r="H16" s="13">
        <v>35</v>
      </c>
      <c r="I16" s="13">
        <f t="shared" si="2"/>
        <v>1155</v>
      </c>
      <c r="J16" s="8">
        <f t="shared" si="3"/>
        <v>594</v>
      </c>
      <c r="K16" s="10">
        <v>14</v>
      </c>
      <c r="L16" s="11" t="s">
        <v>27</v>
      </c>
      <c r="M16" s="30" t="s">
        <v>21</v>
      </c>
      <c r="N16" s="33">
        <f t="shared" si="4"/>
        <v>0.33962264150943394</v>
      </c>
      <c r="Q16" s="26" t="s">
        <v>39</v>
      </c>
    </row>
    <row r="17" spans="1:32">
      <c r="A17" t="str">
        <f t="shared" si="1"/>
        <v>2011-01</v>
      </c>
      <c r="B17" s="9">
        <v>40558.81349537037</v>
      </c>
      <c r="C17" s="10">
        <v>100</v>
      </c>
      <c r="D17" s="11" t="s">
        <v>40</v>
      </c>
      <c r="E17" s="10">
        <v>14</v>
      </c>
      <c r="F17" s="12">
        <v>8</v>
      </c>
      <c r="G17" s="12">
        <f t="shared" si="0"/>
        <v>112</v>
      </c>
      <c r="H17" s="13">
        <v>4</v>
      </c>
      <c r="I17" s="13">
        <f t="shared" si="2"/>
        <v>56</v>
      </c>
      <c r="J17" s="8">
        <f t="shared" si="3"/>
        <v>56</v>
      </c>
      <c r="K17" s="10">
        <v>14</v>
      </c>
      <c r="L17" s="11" t="s">
        <v>27</v>
      </c>
      <c r="M17" s="30" t="s">
        <v>25</v>
      </c>
      <c r="N17" s="33">
        <f t="shared" si="4"/>
        <v>0.5</v>
      </c>
    </row>
    <row r="18" spans="1:32">
      <c r="A18" t="str">
        <f t="shared" si="1"/>
        <v>2011-01</v>
      </c>
      <c r="B18" s="9">
        <v>40559.54859953704</v>
      </c>
      <c r="C18" s="10">
        <v>100</v>
      </c>
      <c r="D18" s="11" t="s">
        <v>40</v>
      </c>
      <c r="E18" s="10">
        <v>72</v>
      </c>
      <c r="F18" s="12">
        <v>8</v>
      </c>
      <c r="G18" s="12">
        <f t="shared" si="0"/>
        <v>576</v>
      </c>
      <c r="H18" s="13">
        <v>4</v>
      </c>
      <c r="I18" s="13">
        <f t="shared" si="2"/>
        <v>288</v>
      </c>
      <c r="J18" s="8">
        <f t="shared" si="3"/>
        <v>288</v>
      </c>
      <c r="K18" s="10">
        <v>95</v>
      </c>
      <c r="L18" s="11" t="s">
        <v>34</v>
      </c>
      <c r="M18" s="30" t="s">
        <v>21</v>
      </c>
      <c r="N18" s="33">
        <f t="shared" si="4"/>
        <v>0.5</v>
      </c>
    </row>
    <row r="19" spans="1:32">
      <c r="A19" t="str">
        <f t="shared" si="1"/>
        <v>2011-01</v>
      </c>
      <c r="B19" s="9">
        <v>40561.008715277778</v>
      </c>
      <c r="C19" s="10">
        <v>100</v>
      </c>
      <c r="D19" s="11" t="s">
        <v>40</v>
      </c>
      <c r="E19" s="10">
        <v>10</v>
      </c>
      <c r="F19" s="12">
        <v>8</v>
      </c>
      <c r="G19" s="12">
        <f t="shared" si="0"/>
        <v>80</v>
      </c>
      <c r="H19" s="13">
        <v>4</v>
      </c>
      <c r="I19" s="13">
        <f t="shared" si="2"/>
        <v>40</v>
      </c>
      <c r="J19" s="8">
        <f t="shared" si="3"/>
        <v>40</v>
      </c>
      <c r="K19" s="10">
        <v>95</v>
      </c>
      <c r="L19" s="11" t="s">
        <v>34</v>
      </c>
      <c r="M19" s="30" t="s">
        <v>25</v>
      </c>
      <c r="N19" s="33">
        <f t="shared" si="4"/>
        <v>0.5</v>
      </c>
    </row>
    <row r="20" spans="1:32" ht="14.25" customHeight="1">
      <c r="A20" t="str">
        <f t="shared" si="1"/>
        <v>2011-01</v>
      </c>
      <c r="B20" s="9">
        <v>40561.294907407406</v>
      </c>
      <c r="C20" s="10">
        <v>16</v>
      </c>
      <c r="D20" s="11" t="s">
        <v>20</v>
      </c>
      <c r="E20" s="10">
        <v>42</v>
      </c>
      <c r="F20" s="12">
        <v>15</v>
      </c>
      <c r="G20" s="12">
        <f t="shared" si="0"/>
        <v>630</v>
      </c>
      <c r="H20" s="13">
        <v>14</v>
      </c>
      <c r="I20" s="13">
        <f t="shared" si="2"/>
        <v>588</v>
      </c>
      <c r="J20" s="8">
        <f t="shared" si="3"/>
        <v>42</v>
      </c>
      <c r="K20" s="10">
        <v>14</v>
      </c>
      <c r="L20" s="11" t="s">
        <v>27</v>
      </c>
      <c r="M20" s="30" t="s">
        <v>21</v>
      </c>
      <c r="N20" s="33">
        <f t="shared" si="4"/>
        <v>6.6666666666666666E-2</v>
      </c>
      <c r="AA20" s="38" t="s">
        <v>3</v>
      </c>
      <c r="AB20" t="s">
        <v>41</v>
      </c>
      <c r="AC20" s="36" t="s">
        <v>42</v>
      </c>
      <c r="AF20" s="44" t="s">
        <v>43</v>
      </c>
    </row>
    <row r="21" spans="1:32" ht="27.75">
      <c r="A21" t="str">
        <f t="shared" si="1"/>
        <v>2011-01</v>
      </c>
      <c r="B21" s="9">
        <v>40563.608680555553</v>
      </c>
      <c r="C21" s="10">
        <v>4</v>
      </c>
      <c r="D21" s="11" t="s">
        <v>44</v>
      </c>
      <c r="E21" s="10">
        <v>48</v>
      </c>
      <c r="F21" s="12">
        <v>9</v>
      </c>
      <c r="G21" s="12">
        <f t="shared" si="0"/>
        <v>432</v>
      </c>
      <c r="H21" s="13">
        <v>7</v>
      </c>
      <c r="I21" s="13">
        <f t="shared" si="2"/>
        <v>336</v>
      </c>
      <c r="J21" s="8">
        <f t="shared" si="3"/>
        <v>96</v>
      </c>
      <c r="K21" s="10">
        <v>23</v>
      </c>
      <c r="L21" s="11" t="s">
        <v>32</v>
      </c>
      <c r="M21" s="30" t="s">
        <v>25</v>
      </c>
      <c r="N21" s="33">
        <f t="shared" si="4"/>
        <v>0.22222222222222221</v>
      </c>
      <c r="AA21" t="s">
        <v>30</v>
      </c>
      <c r="AB21" s="22">
        <v>18492</v>
      </c>
      <c r="AC21" s="19">
        <v>0.5</v>
      </c>
      <c r="AF21" s="39" t="s">
        <v>45</v>
      </c>
    </row>
    <row r="22" spans="1:32" ht="13.5">
      <c r="A22" t="str">
        <f t="shared" si="1"/>
        <v>2011-01</v>
      </c>
      <c r="B22" s="9">
        <v>40564.158067129632</v>
      </c>
      <c r="C22" s="10">
        <v>31</v>
      </c>
      <c r="D22" s="11" t="s">
        <v>46</v>
      </c>
      <c r="E22" s="10">
        <v>29</v>
      </c>
      <c r="F22" s="12">
        <v>21</v>
      </c>
      <c r="G22" s="12">
        <f t="shared" si="0"/>
        <v>609</v>
      </c>
      <c r="H22" s="13">
        <v>12</v>
      </c>
      <c r="I22" s="13">
        <f t="shared" si="2"/>
        <v>348</v>
      </c>
      <c r="J22" s="8">
        <f t="shared" si="3"/>
        <v>261</v>
      </c>
      <c r="K22" s="10">
        <v>846</v>
      </c>
      <c r="L22" s="11" t="s">
        <v>35</v>
      </c>
      <c r="M22" s="30" t="s">
        <v>21</v>
      </c>
      <c r="N22" s="33">
        <f t="shared" si="4"/>
        <v>0.42857142857142855</v>
      </c>
      <c r="AA22" t="s">
        <v>47</v>
      </c>
      <c r="AB22" s="22">
        <v>42084</v>
      </c>
      <c r="AC22" s="19">
        <v>0.30555555555555541</v>
      </c>
      <c r="AF22" s="39" t="s">
        <v>48</v>
      </c>
    </row>
    <row r="23" spans="1:32">
      <c r="A23" t="str">
        <f t="shared" si="1"/>
        <v>2011-01</v>
      </c>
      <c r="B23" s="9">
        <v>40564.565798611111</v>
      </c>
      <c r="C23" s="10">
        <v>22</v>
      </c>
      <c r="D23" s="11" t="s">
        <v>16</v>
      </c>
      <c r="E23" s="10">
        <v>10</v>
      </c>
      <c r="F23" s="12">
        <v>24</v>
      </c>
      <c r="G23" s="12">
        <f t="shared" si="0"/>
        <v>240</v>
      </c>
      <c r="H23" s="13">
        <v>18</v>
      </c>
      <c r="I23" s="13">
        <f t="shared" si="2"/>
        <v>180</v>
      </c>
      <c r="J23" s="8">
        <f t="shared" si="3"/>
        <v>60</v>
      </c>
      <c r="K23" s="10">
        <v>95</v>
      </c>
      <c r="L23" s="11" t="s">
        <v>34</v>
      </c>
      <c r="M23" s="30" t="s">
        <v>18</v>
      </c>
      <c r="N23" s="33">
        <f t="shared" si="4"/>
        <v>0.25</v>
      </c>
      <c r="AA23" t="s">
        <v>16</v>
      </c>
      <c r="AB23" s="22">
        <v>40224</v>
      </c>
      <c r="AC23" s="19">
        <v>0.25</v>
      </c>
      <c r="AF23" s="45" t="s">
        <v>49</v>
      </c>
    </row>
    <row r="24" spans="1:32">
      <c r="A24" t="str">
        <f t="shared" si="1"/>
        <v>2011-01</v>
      </c>
      <c r="B24" s="9">
        <v>40566.445775462962</v>
      </c>
      <c r="C24" s="10">
        <v>2</v>
      </c>
      <c r="D24" s="11" t="s">
        <v>30</v>
      </c>
      <c r="E24" s="10">
        <v>98</v>
      </c>
      <c r="F24" s="12">
        <v>12</v>
      </c>
      <c r="G24" s="12">
        <f t="shared" si="0"/>
        <v>1176</v>
      </c>
      <c r="H24" s="13">
        <v>6</v>
      </c>
      <c r="I24" s="13">
        <f t="shared" si="2"/>
        <v>588</v>
      </c>
      <c r="J24" s="8">
        <f t="shared" si="3"/>
        <v>588</v>
      </c>
      <c r="K24" s="10">
        <v>23</v>
      </c>
      <c r="L24" s="11" t="s">
        <v>32</v>
      </c>
      <c r="M24" s="30" t="s">
        <v>21</v>
      </c>
      <c r="N24" s="33">
        <f t="shared" si="4"/>
        <v>0.5</v>
      </c>
      <c r="AA24" t="s">
        <v>40</v>
      </c>
      <c r="AB24" s="22">
        <v>25568</v>
      </c>
      <c r="AC24" s="19">
        <v>0.5</v>
      </c>
      <c r="AF24" s="40" t="s">
        <v>50</v>
      </c>
    </row>
    <row r="25" spans="1:32">
      <c r="A25" t="str">
        <f t="shared" si="1"/>
        <v>2011-01</v>
      </c>
      <c r="B25" s="9">
        <v>40567.871388888889</v>
      </c>
      <c r="C25" s="10">
        <v>22</v>
      </c>
      <c r="D25" s="11" t="s">
        <v>16</v>
      </c>
      <c r="E25" s="10">
        <v>45</v>
      </c>
      <c r="F25" s="12">
        <v>24</v>
      </c>
      <c r="G25" s="12">
        <f t="shared" si="0"/>
        <v>1080</v>
      </c>
      <c r="H25" s="13">
        <v>18</v>
      </c>
      <c r="I25" s="13">
        <f t="shared" si="2"/>
        <v>810</v>
      </c>
      <c r="J25" s="8">
        <f t="shared" si="3"/>
        <v>270</v>
      </c>
      <c r="K25" s="10">
        <v>557</v>
      </c>
      <c r="L25" s="11" t="s">
        <v>36</v>
      </c>
      <c r="M25" s="30" t="s">
        <v>25</v>
      </c>
      <c r="N25" s="33">
        <f t="shared" si="4"/>
        <v>0.25</v>
      </c>
      <c r="AA25" t="s">
        <v>38</v>
      </c>
      <c r="AB25" s="22">
        <v>22631</v>
      </c>
      <c r="AC25" s="19">
        <v>0.33962264150943394</v>
      </c>
      <c r="AF25" s="40" t="s">
        <v>51</v>
      </c>
    </row>
    <row r="26" spans="1:32">
      <c r="A26" t="str">
        <f t="shared" si="1"/>
        <v>2011-01</v>
      </c>
      <c r="B26" s="9">
        <v>40569.476493055554</v>
      </c>
      <c r="C26" s="10">
        <v>16</v>
      </c>
      <c r="D26" s="11" t="s">
        <v>20</v>
      </c>
      <c r="E26" s="10">
        <v>58</v>
      </c>
      <c r="F26" s="12">
        <v>15</v>
      </c>
      <c r="G26" s="12">
        <f t="shared" si="0"/>
        <v>870</v>
      </c>
      <c r="H26" s="13">
        <v>14</v>
      </c>
      <c r="I26" s="13">
        <f t="shared" si="2"/>
        <v>812</v>
      </c>
      <c r="J26" s="8">
        <f t="shared" si="3"/>
        <v>58</v>
      </c>
      <c r="K26" s="10">
        <v>23</v>
      </c>
      <c r="L26" s="11" t="s">
        <v>32</v>
      </c>
      <c r="M26" s="30" t="s">
        <v>25</v>
      </c>
      <c r="N26" s="33">
        <f t="shared" si="4"/>
        <v>6.6666666666666666E-2</v>
      </c>
      <c r="Q26" t="s">
        <v>11</v>
      </c>
      <c r="R26" s="35" t="s">
        <v>52</v>
      </c>
      <c r="AA26" t="s">
        <v>46</v>
      </c>
      <c r="AB26" s="22">
        <v>62349</v>
      </c>
      <c r="AC26" s="19">
        <v>0.42857142857142816</v>
      </c>
      <c r="AF26" t="s">
        <v>53</v>
      </c>
    </row>
    <row r="27" spans="1:32">
      <c r="A27" t="str">
        <f t="shared" si="1"/>
        <v>2011-01</v>
      </c>
      <c r="B27" s="9">
        <v>40570.941435185188</v>
      </c>
      <c r="C27" s="10">
        <v>100</v>
      </c>
      <c r="D27" s="11" t="s">
        <v>40</v>
      </c>
      <c r="E27" s="10">
        <v>66</v>
      </c>
      <c r="F27" s="12">
        <v>8</v>
      </c>
      <c r="G27" s="12">
        <f t="shared" si="0"/>
        <v>528</v>
      </c>
      <c r="H27" s="13">
        <v>4</v>
      </c>
      <c r="I27" s="13">
        <f t="shared" si="2"/>
        <v>264</v>
      </c>
      <c r="J27" s="8">
        <f t="shared" si="3"/>
        <v>264</v>
      </c>
      <c r="K27" s="10">
        <v>572</v>
      </c>
      <c r="L27" s="11" t="s">
        <v>31</v>
      </c>
      <c r="M27" s="30" t="s">
        <v>25</v>
      </c>
      <c r="N27" s="33">
        <f t="shared" si="4"/>
        <v>0.5</v>
      </c>
      <c r="Q27" t="s">
        <v>27</v>
      </c>
      <c r="R27" s="19">
        <v>0.32713523373900733</v>
      </c>
      <c r="AA27" t="s">
        <v>37</v>
      </c>
      <c r="AB27" s="22">
        <v>43494</v>
      </c>
      <c r="AC27" s="19">
        <v>0.15151515151515146</v>
      </c>
      <c r="AF27" s="45" t="s">
        <v>54</v>
      </c>
    </row>
    <row r="28" spans="1:32">
      <c r="A28" t="str">
        <f t="shared" si="1"/>
        <v>2011-01</v>
      </c>
      <c r="B28" s="9">
        <v>40571.495358796295</v>
      </c>
      <c r="C28" s="10">
        <v>31</v>
      </c>
      <c r="D28" s="11" t="s">
        <v>46</v>
      </c>
      <c r="E28" s="10">
        <v>85</v>
      </c>
      <c r="F28" s="12">
        <v>21</v>
      </c>
      <c r="G28" s="12">
        <f t="shared" si="0"/>
        <v>1785</v>
      </c>
      <c r="H28" s="13">
        <v>12</v>
      </c>
      <c r="I28" s="13">
        <f t="shared" si="2"/>
        <v>1020</v>
      </c>
      <c r="J28" s="8">
        <f t="shared" si="3"/>
        <v>765</v>
      </c>
      <c r="K28" s="10">
        <v>6</v>
      </c>
      <c r="L28" s="11" t="s">
        <v>33</v>
      </c>
      <c r="M28" s="30" t="s">
        <v>25</v>
      </c>
      <c r="N28" s="33">
        <f t="shared" si="4"/>
        <v>0.42857142857142855</v>
      </c>
      <c r="Q28" t="s">
        <v>34</v>
      </c>
      <c r="R28" s="19">
        <v>0.31711399711399701</v>
      </c>
      <c r="AA28" t="s">
        <v>23</v>
      </c>
      <c r="AB28" s="22">
        <v>39240</v>
      </c>
      <c r="AC28" s="19">
        <v>0.33333333333333331</v>
      </c>
      <c r="AF28" t="s">
        <v>55</v>
      </c>
    </row>
    <row r="29" spans="1:32">
      <c r="A29" t="str">
        <f t="shared" si="1"/>
        <v>2011-01</v>
      </c>
      <c r="B29" s="9">
        <v>40571.873645833337</v>
      </c>
      <c r="C29" s="10">
        <v>22</v>
      </c>
      <c r="D29" s="11" t="s">
        <v>16</v>
      </c>
      <c r="E29" s="10">
        <v>12</v>
      </c>
      <c r="F29" s="12">
        <v>24</v>
      </c>
      <c r="G29" s="12">
        <f t="shared" si="0"/>
        <v>288</v>
      </c>
      <c r="H29" s="13">
        <v>18</v>
      </c>
      <c r="I29" s="13">
        <f t="shared" si="2"/>
        <v>216</v>
      </c>
      <c r="J29" s="8">
        <f t="shared" si="3"/>
        <v>72</v>
      </c>
      <c r="K29" s="10">
        <v>846</v>
      </c>
      <c r="L29" s="11" t="s">
        <v>35</v>
      </c>
      <c r="M29" s="30" t="s">
        <v>18</v>
      </c>
      <c r="N29" s="33">
        <f t="shared" si="4"/>
        <v>0.25</v>
      </c>
      <c r="Q29" t="s">
        <v>56</v>
      </c>
      <c r="R29" s="19">
        <v>0.30889933394221553</v>
      </c>
      <c r="AA29" t="s">
        <v>20</v>
      </c>
      <c r="AB29" s="22">
        <v>68160</v>
      </c>
      <c r="AC29" s="19">
        <v>6.6666666666666624E-2</v>
      </c>
      <c r="AF29" t="s">
        <v>57</v>
      </c>
    </row>
    <row r="30" spans="1:32">
      <c r="A30" t="str">
        <f t="shared" si="1"/>
        <v>2011-01</v>
      </c>
      <c r="B30" s="9">
        <v>40572.385231481479</v>
      </c>
      <c r="C30" s="10">
        <v>4</v>
      </c>
      <c r="D30" s="11" t="s">
        <v>44</v>
      </c>
      <c r="E30" s="10">
        <v>40</v>
      </c>
      <c r="F30" s="12">
        <v>9</v>
      </c>
      <c r="G30" s="12">
        <f t="shared" si="0"/>
        <v>360</v>
      </c>
      <c r="H30" s="13">
        <v>7</v>
      </c>
      <c r="I30" s="13">
        <f t="shared" si="2"/>
        <v>280</v>
      </c>
      <c r="J30" s="8">
        <f t="shared" si="3"/>
        <v>80</v>
      </c>
      <c r="K30" s="10">
        <v>6</v>
      </c>
      <c r="L30" s="11" t="s">
        <v>33</v>
      </c>
      <c r="M30" s="30" t="s">
        <v>21</v>
      </c>
      <c r="N30" s="33">
        <f t="shared" si="4"/>
        <v>0.22222222222222221</v>
      </c>
      <c r="Q30" t="s">
        <v>33</v>
      </c>
      <c r="R30" s="19">
        <v>0.30146431733486889</v>
      </c>
      <c r="AA30" t="s">
        <v>58</v>
      </c>
      <c r="AB30" s="22">
        <v>18432</v>
      </c>
      <c r="AC30" s="19">
        <v>0.55555555555555547</v>
      </c>
      <c r="AF30" s="45" t="s">
        <v>59</v>
      </c>
    </row>
    <row r="31" spans="1:32">
      <c r="A31" t="str">
        <f t="shared" si="1"/>
        <v>2011-01</v>
      </c>
      <c r="B31" s="9">
        <v>40572.539594907408</v>
      </c>
      <c r="C31" s="10">
        <v>31</v>
      </c>
      <c r="D31" s="11" t="s">
        <v>46</v>
      </c>
      <c r="E31" s="10">
        <v>5</v>
      </c>
      <c r="F31" s="12">
        <v>21</v>
      </c>
      <c r="G31" s="12">
        <f t="shared" si="0"/>
        <v>105</v>
      </c>
      <c r="H31" s="13">
        <v>12</v>
      </c>
      <c r="I31" s="13">
        <f t="shared" si="2"/>
        <v>60</v>
      </c>
      <c r="J31" s="8">
        <f t="shared" si="3"/>
        <v>45</v>
      </c>
      <c r="K31" s="10">
        <v>6</v>
      </c>
      <c r="L31" s="11" t="s">
        <v>33</v>
      </c>
      <c r="M31" s="30" t="s">
        <v>21</v>
      </c>
      <c r="N31" s="33">
        <f t="shared" si="4"/>
        <v>0.42857142857142855</v>
      </c>
      <c r="Q31" t="s">
        <v>31</v>
      </c>
      <c r="R31" s="19">
        <v>0.29388642300034695</v>
      </c>
      <c r="AA31" t="s">
        <v>60</v>
      </c>
      <c r="AB31" s="22">
        <v>11550</v>
      </c>
      <c r="AC31" s="19">
        <v>0.54545454545454541</v>
      </c>
      <c r="AF31" s="40" t="s">
        <v>61</v>
      </c>
    </row>
    <row r="32" spans="1:32">
      <c r="A32" t="str">
        <f t="shared" si="1"/>
        <v>2011-01</v>
      </c>
      <c r="B32" s="9">
        <v>40572.978043981479</v>
      </c>
      <c r="C32" s="10">
        <v>16</v>
      </c>
      <c r="D32" s="11" t="s">
        <v>20</v>
      </c>
      <c r="E32" s="10">
        <v>49</v>
      </c>
      <c r="F32" s="12">
        <v>15</v>
      </c>
      <c r="G32" s="12">
        <f t="shared" si="0"/>
        <v>735</v>
      </c>
      <c r="H32" s="13">
        <v>14</v>
      </c>
      <c r="I32" s="13">
        <f t="shared" si="2"/>
        <v>686</v>
      </c>
      <c r="J32" s="8">
        <f t="shared" si="3"/>
        <v>49</v>
      </c>
      <c r="K32" s="10">
        <v>572</v>
      </c>
      <c r="L32" s="11" t="s">
        <v>31</v>
      </c>
      <c r="M32" s="30" t="s">
        <v>25</v>
      </c>
      <c r="N32" s="33">
        <f t="shared" si="4"/>
        <v>6.6666666666666666E-2</v>
      </c>
      <c r="Q32" t="s">
        <v>24</v>
      </c>
      <c r="R32" s="19">
        <v>0.29313115755164271</v>
      </c>
      <c r="AA32" t="s">
        <v>44</v>
      </c>
      <c r="AB32" s="22">
        <v>40545</v>
      </c>
      <c r="AC32" s="19">
        <v>0.22222222222222182</v>
      </c>
      <c r="AF32" s="45" t="s">
        <v>62</v>
      </c>
    </row>
    <row r="33" spans="1:34">
      <c r="A33" t="str">
        <f t="shared" si="1"/>
        <v>2011-01</v>
      </c>
      <c r="B33" s="9">
        <v>40572.990069444444</v>
      </c>
      <c r="C33" s="10">
        <v>30</v>
      </c>
      <c r="D33" s="11" t="s">
        <v>23</v>
      </c>
      <c r="E33" s="10">
        <v>13</v>
      </c>
      <c r="F33" s="12">
        <v>12</v>
      </c>
      <c r="G33" s="12">
        <f t="shared" si="0"/>
        <v>156</v>
      </c>
      <c r="H33" s="13">
        <v>8</v>
      </c>
      <c r="I33" s="13">
        <f t="shared" si="2"/>
        <v>104</v>
      </c>
      <c r="J33" s="8">
        <f t="shared" si="3"/>
        <v>52</v>
      </c>
      <c r="K33" s="10">
        <v>14</v>
      </c>
      <c r="L33" s="11" t="s">
        <v>27</v>
      </c>
      <c r="M33" s="30" t="s">
        <v>25</v>
      </c>
      <c r="N33" s="33">
        <f t="shared" si="4"/>
        <v>0.33333333333333331</v>
      </c>
      <c r="Q33" t="s">
        <v>32</v>
      </c>
      <c r="R33" s="19">
        <v>0.28801946639255283</v>
      </c>
      <c r="AA33" t="s">
        <v>63</v>
      </c>
      <c r="AB33" s="22">
        <v>432769</v>
      </c>
      <c r="AC33" s="19">
        <v>0.30081777555695427</v>
      </c>
      <c r="AF33" s="40" t="s">
        <v>64</v>
      </c>
    </row>
    <row r="34" spans="1:34">
      <c r="A34" t="str">
        <f t="shared" si="1"/>
        <v>2011-01</v>
      </c>
      <c r="B34" s="9">
        <v>40574.468252314815</v>
      </c>
      <c r="C34" s="10">
        <v>100</v>
      </c>
      <c r="D34" s="11" t="s">
        <v>40</v>
      </c>
      <c r="E34" s="10">
        <v>38</v>
      </c>
      <c r="F34" s="12">
        <v>8</v>
      </c>
      <c r="G34" s="12">
        <f t="shared" si="0"/>
        <v>304</v>
      </c>
      <c r="H34" s="13">
        <v>4</v>
      </c>
      <c r="I34" s="13">
        <f t="shared" si="2"/>
        <v>152</v>
      </c>
      <c r="J34" s="8">
        <f t="shared" si="3"/>
        <v>152</v>
      </c>
      <c r="K34" s="10">
        <v>95</v>
      </c>
      <c r="L34" s="11" t="s">
        <v>34</v>
      </c>
      <c r="M34" s="30" t="s">
        <v>18</v>
      </c>
      <c r="N34" s="33">
        <f t="shared" si="4"/>
        <v>0.5</v>
      </c>
      <c r="Q34" t="s">
        <v>17</v>
      </c>
      <c r="R34" s="19">
        <v>0.28757988043702332</v>
      </c>
    </row>
    <row r="35" spans="1:34" ht="17.25" customHeight="1">
      <c r="A35" t="str">
        <f t="shared" si="1"/>
        <v>2011-01</v>
      </c>
      <c r="B35" s="9">
        <v>40574.700949074075</v>
      </c>
      <c r="C35" s="10">
        <v>16</v>
      </c>
      <c r="D35" s="11" t="s">
        <v>20</v>
      </c>
      <c r="E35" s="10">
        <v>51</v>
      </c>
      <c r="F35" s="12">
        <v>15</v>
      </c>
      <c r="G35" s="12">
        <f t="shared" si="0"/>
        <v>765</v>
      </c>
      <c r="H35" s="13">
        <v>14</v>
      </c>
      <c r="I35" s="13">
        <f t="shared" si="2"/>
        <v>714</v>
      </c>
      <c r="J35" s="8">
        <f t="shared" si="3"/>
        <v>51</v>
      </c>
      <c r="K35" s="10">
        <v>23</v>
      </c>
      <c r="L35" s="11" t="s">
        <v>32</v>
      </c>
      <c r="M35" s="30" t="s">
        <v>25</v>
      </c>
      <c r="N35" s="33">
        <f t="shared" si="4"/>
        <v>6.6666666666666666E-2</v>
      </c>
      <c r="Q35" t="s">
        <v>35</v>
      </c>
      <c r="R35" s="19">
        <v>0.28729750333523918</v>
      </c>
      <c r="AF35" s="46" t="s">
        <v>65</v>
      </c>
    </row>
    <row r="36" spans="1:34">
      <c r="A36" t="str">
        <f t="shared" si="1"/>
        <v>2011-02</v>
      </c>
      <c r="B36" s="9">
        <v>40576.283865740741</v>
      </c>
      <c r="C36" s="10">
        <v>30</v>
      </c>
      <c r="D36" s="11" t="s">
        <v>23</v>
      </c>
      <c r="E36" s="10">
        <v>85</v>
      </c>
      <c r="F36" s="12">
        <v>12</v>
      </c>
      <c r="G36" s="12">
        <f t="shared" si="0"/>
        <v>1020</v>
      </c>
      <c r="H36" s="13">
        <v>8</v>
      </c>
      <c r="I36" s="13">
        <f t="shared" si="2"/>
        <v>680</v>
      </c>
      <c r="J36" s="8">
        <f t="shared" si="3"/>
        <v>340</v>
      </c>
      <c r="K36" s="10">
        <v>572</v>
      </c>
      <c r="L36" s="11" t="s">
        <v>31</v>
      </c>
      <c r="M36" s="30" t="s">
        <v>25</v>
      </c>
      <c r="N36" s="33">
        <f t="shared" si="4"/>
        <v>0.33333333333333331</v>
      </c>
      <c r="Q36" t="s">
        <v>36</v>
      </c>
      <c r="R36" s="19">
        <v>0.2746572871572871</v>
      </c>
      <c r="AF36" s="43" t="s">
        <v>66</v>
      </c>
    </row>
    <row r="37" spans="1:34">
      <c r="A37" t="str">
        <f t="shared" si="1"/>
        <v>2011-02</v>
      </c>
      <c r="B37" s="9">
        <v>40576.947094907409</v>
      </c>
      <c r="C37" s="10">
        <v>16</v>
      </c>
      <c r="D37" s="11" t="s">
        <v>20</v>
      </c>
      <c r="E37" s="10">
        <v>82</v>
      </c>
      <c r="F37" s="12">
        <v>15</v>
      </c>
      <c r="G37" s="12">
        <f t="shared" si="0"/>
        <v>1230</v>
      </c>
      <c r="H37" s="13">
        <v>14</v>
      </c>
      <c r="I37" s="13">
        <f t="shared" si="2"/>
        <v>1148</v>
      </c>
      <c r="J37" s="8">
        <f t="shared" si="3"/>
        <v>82</v>
      </c>
      <c r="K37" s="10">
        <v>14</v>
      </c>
      <c r="L37" s="11" t="s">
        <v>27</v>
      </c>
      <c r="M37" s="30" t="s">
        <v>25</v>
      </c>
      <c r="N37" s="33">
        <f t="shared" si="4"/>
        <v>6.6666666666666666E-2</v>
      </c>
      <c r="Q37" t="s">
        <v>63</v>
      </c>
      <c r="R37" s="19">
        <v>0.30081777555695438</v>
      </c>
      <c r="AF37" s="42" t="s">
        <v>67</v>
      </c>
    </row>
    <row r="38" spans="1:34" ht="12.75" customHeight="1">
      <c r="A38" t="str">
        <f t="shared" si="1"/>
        <v>2011-02</v>
      </c>
      <c r="B38" s="9">
        <v>40578.971504629626</v>
      </c>
      <c r="C38" s="10">
        <v>39</v>
      </c>
      <c r="D38" s="11" t="s">
        <v>37</v>
      </c>
      <c r="E38" s="10">
        <v>64</v>
      </c>
      <c r="F38" s="12">
        <v>33</v>
      </c>
      <c r="G38" s="12">
        <f t="shared" si="0"/>
        <v>2112</v>
      </c>
      <c r="H38" s="13">
        <v>28</v>
      </c>
      <c r="I38" s="13">
        <f t="shared" si="2"/>
        <v>1792</v>
      </c>
      <c r="J38" s="8">
        <f t="shared" si="3"/>
        <v>320</v>
      </c>
      <c r="K38" s="10">
        <v>846</v>
      </c>
      <c r="L38" s="11" t="s">
        <v>35</v>
      </c>
      <c r="M38" s="30" t="s">
        <v>25</v>
      </c>
      <c r="N38" s="33">
        <f t="shared" si="4"/>
        <v>0.15151515151515152</v>
      </c>
      <c r="R38" s="19"/>
      <c r="AF38" s="50" t="s">
        <v>68</v>
      </c>
      <c r="AG38" s="50"/>
      <c r="AH38" s="50"/>
    </row>
    <row r="39" spans="1:34">
      <c r="A39" t="str">
        <f t="shared" si="1"/>
        <v>2011-02</v>
      </c>
      <c r="B39" s="9">
        <v>40579.572384259256</v>
      </c>
      <c r="C39" s="10">
        <v>22</v>
      </c>
      <c r="D39" s="11" t="s">
        <v>16</v>
      </c>
      <c r="E39" s="10">
        <v>22</v>
      </c>
      <c r="F39" s="12">
        <v>24</v>
      </c>
      <c r="G39" s="12">
        <f t="shared" si="0"/>
        <v>528</v>
      </c>
      <c r="H39" s="13">
        <v>18</v>
      </c>
      <c r="I39" s="13">
        <f t="shared" si="2"/>
        <v>396</v>
      </c>
      <c r="J39" s="8">
        <f t="shared" si="3"/>
        <v>132</v>
      </c>
      <c r="K39" s="10">
        <v>846</v>
      </c>
      <c r="L39" s="11" t="s">
        <v>35</v>
      </c>
      <c r="M39" s="30" t="s">
        <v>18</v>
      </c>
      <c r="N39" s="33">
        <f t="shared" si="4"/>
        <v>0.25</v>
      </c>
      <c r="R39" s="19"/>
      <c r="AF39" s="50"/>
      <c r="AG39" s="50"/>
      <c r="AH39" s="50"/>
    </row>
    <row r="40" spans="1:34">
      <c r="A40" t="str">
        <f t="shared" si="1"/>
        <v>2011-02</v>
      </c>
      <c r="B40" s="9">
        <v>40579.828715277778</v>
      </c>
      <c r="C40" s="10">
        <v>16</v>
      </c>
      <c r="D40" s="11" t="s">
        <v>20</v>
      </c>
      <c r="E40" s="10">
        <v>74</v>
      </c>
      <c r="F40" s="12">
        <v>15</v>
      </c>
      <c r="G40" s="12">
        <f t="shared" si="0"/>
        <v>1110</v>
      </c>
      <c r="H40" s="13">
        <v>14</v>
      </c>
      <c r="I40" s="13">
        <f t="shared" si="2"/>
        <v>1036</v>
      </c>
      <c r="J40" s="8">
        <f t="shared" si="3"/>
        <v>74</v>
      </c>
      <c r="K40" s="10">
        <v>6</v>
      </c>
      <c r="L40" s="11" t="s">
        <v>33</v>
      </c>
      <c r="M40" s="30" t="s">
        <v>25</v>
      </c>
      <c r="N40" s="33">
        <f t="shared" si="4"/>
        <v>6.6666666666666666E-2</v>
      </c>
      <c r="R40" s="19"/>
      <c r="AF40" s="50"/>
      <c r="AG40" s="50"/>
      <c r="AH40" s="50"/>
    </row>
    <row r="41" spans="1:34">
      <c r="A41" t="str">
        <f t="shared" si="1"/>
        <v>2011-02</v>
      </c>
      <c r="B41" s="9">
        <v>40579.887291666666</v>
      </c>
      <c r="C41" s="10">
        <v>4</v>
      </c>
      <c r="D41" s="11" t="s">
        <v>44</v>
      </c>
      <c r="E41" s="10">
        <v>13</v>
      </c>
      <c r="F41" s="12">
        <v>9</v>
      </c>
      <c r="G41" s="12">
        <f t="shared" si="0"/>
        <v>117</v>
      </c>
      <c r="H41" s="13">
        <v>7</v>
      </c>
      <c r="I41" s="13">
        <f t="shared" si="2"/>
        <v>91</v>
      </c>
      <c r="J41" s="8">
        <f t="shared" si="3"/>
        <v>26</v>
      </c>
      <c r="K41" s="10">
        <v>686</v>
      </c>
      <c r="L41" s="11" t="s">
        <v>56</v>
      </c>
      <c r="M41" s="30" t="s">
        <v>21</v>
      </c>
      <c r="N41" s="33">
        <f t="shared" si="4"/>
        <v>0.22222222222222221</v>
      </c>
      <c r="Q41" t="s">
        <v>69</v>
      </c>
      <c r="R41" t="s">
        <v>11</v>
      </c>
      <c r="AF41" s="50"/>
      <c r="AG41" s="50"/>
      <c r="AH41" s="50"/>
    </row>
    <row r="42" spans="1:34" ht="16.5" customHeight="1">
      <c r="A42" t="str">
        <f t="shared" si="1"/>
        <v>2011-02</v>
      </c>
      <c r="B42" s="9">
        <v>40579.941446759258</v>
      </c>
      <c r="C42" s="10">
        <v>4</v>
      </c>
      <c r="D42" s="11" t="s">
        <v>44</v>
      </c>
      <c r="E42" s="10">
        <v>64</v>
      </c>
      <c r="F42" s="12">
        <v>9</v>
      </c>
      <c r="G42" s="12">
        <f t="shared" si="0"/>
        <v>576</v>
      </c>
      <c r="H42" s="13">
        <v>7</v>
      </c>
      <c r="I42" s="13">
        <f t="shared" si="2"/>
        <v>448</v>
      </c>
      <c r="J42" s="8">
        <f t="shared" si="3"/>
        <v>128</v>
      </c>
      <c r="K42" s="10">
        <v>6</v>
      </c>
      <c r="L42" s="11" t="s">
        <v>33</v>
      </c>
      <c r="M42" s="30" t="s">
        <v>25</v>
      </c>
      <c r="N42" s="33">
        <f t="shared" si="4"/>
        <v>0.22222222222222221</v>
      </c>
      <c r="Q42" t="s">
        <v>3</v>
      </c>
      <c r="R42" s="37" t="s">
        <v>24</v>
      </c>
      <c r="S42" s="37" t="s">
        <v>36</v>
      </c>
      <c r="T42" s="37" t="s">
        <v>31</v>
      </c>
      <c r="U42" s="37" t="s">
        <v>56</v>
      </c>
      <c r="V42" s="37" t="s">
        <v>34</v>
      </c>
      <c r="W42" s="37" t="s">
        <v>33</v>
      </c>
      <c r="X42" s="37" t="s">
        <v>27</v>
      </c>
      <c r="Y42" s="37" t="s">
        <v>35</v>
      </c>
      <c r="Z42" s="37" t="s">
        <v>17</v>
      </c>
      <c r="AA42" s="37" t="s">
        <v>32</v>
      </c>
      <c r="AB42" t="s">
        <v>70</v>
      </c>
      <c r="AF42" s="50"/>
      <c r="AG42" s="50"/>
      <c r="AH42" s="50"/>
    </row>
    <row r="43" spans="1:34">
      <c r="A43" t="str">
        <f t="shared" si="1"/>
        <v>2011-02</v>
      </c>
      <c r="B43" s="9">
        <v>40580.522986111115</v>
      </c>
      <c r="C43" s="10">
        <v>31</v>
      </c>
      <c r="D43" s="11" t="s">
        <v>46</v>
      </c>
      <c r="E43" s="10">
        <v>59</v>
      </c>
      <c r="F43" s="12">
        <v>21</v>
      </c>
      <c r="G43" s="12">
        <f t="shared" si="0"/>
        <v>1239</v>
      </c>
      <c r="H43" s="13">
        <v>12</v>
      </c>
      <c r="I43" s="13">
        <f t="shared" si="2"/>
        <v>708</v>
      </c>
      <c r="J43" s="8">
        <f t="shared" si="3"/>
        <v>531</v>
      </c>
      <c r="K43" s="10">
        <v>23</v>
      </c>
      <c r="L43" s="11" t="s">
        <v>32</v>
      </c>
      <c r="M43" s="30" t="s">
        <v>21</v>
      </c>
      <c r="N43" s="33">
        <f t="shared" si="4"/>
        <v>0.42857142857142855</v>
      </c>
      <c r="Q43" t="s">
        <v>40</v>
      </c>
      <c r="R43" s="19">
        <v>0.5</v>
      </c>
      <c r="S43" s="19">
        <v>2.5</v>
      </c>
      <c r="T43" s="19">
        <v>6</v>
      </c>
      <c r="U43" s="19">
        <v>1.5</v>
      </c>
      <c r="V43" s="19">
        <v>7.5</v>
      </c>
      <c r="W43" s="19">
        <v>3</v>
      </c>
      <c r="X43" s="19">
        <v>4.5</v>
      </c>
      <c r="Y43" s="19">
        <v>4</v>
      </c>
      <c r="Z43" s="19">
        <v>0.5</v>
      </c>
      <c r="AA43" s="19">
        <v>2.5</v>
      </c>
      <c r="AB43" s="19">
        <v>32.5</v>
      </c>
    </row>
    <row r="44" spans="1:34">
      <c r="A44" t="str">
        <f t="shared" si="1"/>
        <v>2011-02</v>
      </c>
      <c r="B44" s="9">
        <v>40581.190925925926</v>
      </c>
      <c r="C44" s="10">
        <v>6</v>
      </c>
      <c r="D44" s="11" t="s">
        <v>60</v>
      </c>
      <c r="E44" s="10">
        <v>12</v>
      </c>
      <c r="F44" s="12">
        <v>55</v>
      </c>
      <c r="G44" s="12">
        <f t="shared" si="0"/>
        <v>660</v>
      </c>
      <c r="H44" s="13">
        <v>25</v>
      </c>
      <c r="I44" s="13">
        <f t="shared" si="2"/>
        <v>300</v>
      </c>
      <c r="J44" s="8">
        <f t="shared" si="3"/>
        <v>360</v>
      </c>
      <c r="K44" s="10">
        <v>6</v>
      </c>
      <c r="L44" s="11" t="s">
        <v>33</v>
      </c>
      <c r="M44" s="30" t="s">
        <v>25</v>
      </c>
      <c r="N44" s="33">
        <f t="shared" si="4"/>
        <v>0.54545454545454541</v>
      </c>
      <c r="Q44" t="s">
        <v>46</v>
      </c>
      <c r="R44" s="19">
        <v>0.8571428571428571</v>
      </c>
      <c r="S44" s="19">
        <v>2.1428571428571428</v>
      </c>
      <c r="T44" s="19">
        <v>4.2857142857142847</v>
      </c>
      <c r="U44" s="19">
        <v>2.1428571428571428</v>
      </c>
      <c r="V44" s="19">
        <v>3.4285714285714279</v>
      </c>
      <c r="W44" s="19">
        <v>3.8571428571428563</v>
      </c>
      <c r="X44" s="19">
        <v>2.1428571428571428</v>
      </c>
      <c r="Y44" s="19">
        <v>2.9999999999999996</v>
      </c>
      <c r="Z44" s="19">
        <v>1.2857142857142856</v>
      </c>
      <c r="AA44" s="19">
        <v>2.1428571428571428</v>
      </c>
      <c r="AB44" s="19">
        <v>25.285714285714281</v>
      </c>
    </row>
    <row r="45" spans="1:34">
      <c r="A45" t="str">
        <f t="shared" si="1"/>
        <v>2011-02</v>
      </c>
      <c r="B45" s="9">
        <v>40583.014432870368</v>
      </c>
      <c r="C45" s="10">
        <v>16</v>
      </c>
      <c r="D45" s="11" t="s">
        <v>20</v>
      </c>
      <c r="E45" s="10">
        <v>7</v>
      </c>
      <c r="F45" s="12">
        <v>15</v>
      </c>
      <c r="G45" s="12">
        <f t="shared" si="0"/>
        <v>105</v>
      </c>
      <c r="H45" s="13">
        <v>14</v>
      </c>
      <c r="I45" s="13">
        <f t="shared" si="2"/>
        <v>98</v>
      </c>
      <c r="J45" s="8">
        <f t="shared" si="3"/>
        <v>7</v>
      </c>
      <c r="K45" s="10">
        <v>95</v>
      </c>
      <c r="L45" s="11" t="s">
        <v>34</v>
      </c>
      <c r="M45" s="30" t="s">
        <v>18</v>
      </c>
      <c r="N45" s="33">
        <f t="shared" si="4"/>
        <v>6.6666666666666666E-2</v>
      </c>
      <c r="Q45" t="s">
        <v>23</v>
      </c>
      <c r="R45" s="19">
        <v>0.33333333333333331</v>
      </c>
      <c r="S45" s="19">
        <v>1.9999999999999998</v>
      </c>
      <c r="T45" s="19">
        <v>3.666666666666667</v>
      </c>
      <c r="U45" s="19">
        <v>1.3333333333333333</v>
      </c>
      <c r="V45" s="19">
        <v>3</v>
      </c>
      <c r="W45" s="19">
        <v>2.333333333333333</v>
      </c>
      <c r="X45" s="19">
        <v>2.333333333333333</v>
      </c>
      <c r="Y45" s="19">
        <v>1.9999999999999998</v>
      </c>
      <c r="Z45" s="19">
        <v>0.33333333333333331</v>
      </c>
      <c r="AA45" s="19">
        <v>1.6666666666666665</v>
      </c>
      <c r="AB45" s="19">
        <v>18.999999999999996</v>
      </c>
    </row>
    <row r="46" spans="1:34">
      <c r="A46" t="str">
        <f t="shared" si="1"/>
        <v>2011-02</v>
      </c>
      <c r="B46" s="9">
        <v>40583.033738425926</v>
      </c>
      <c r="C46" s="10">
        <v>100</v>
      </c>
      <c r="D46" s="11" t="s">
        <v>40</v>
      </c>
      <c r="E46" s="10">
        <v>14</v>
      </c>
      <c r="F46" s="12">
        <v>8</v>
      </c>
      <c r="G46" s="12">
        <f t="shared" si="0"/>
        <v>112</v>
      </c>
      <c r="H46" s="13">
        <v>4</v>
      </c>
      <c r="I46" s="13">
        <f t="shared" si="2"/>
        <v>56</v>
      </c>
      <c r="J46" s="8">
        <f t="shared" si="3"/>
        <v>56</v>
      </c>
      <c r="K46" s="10">
        <v>95</v>
      </c>
      <c r="L46" s="11" t="s">
        <v>34</v>
      </c>
      <c r="M46" s="30" t="s">
        <v>25</v>
      </c>
      <c r="N46" s="33">
        <f t="shared" si="4"/>
        <v>0.5</v>
      </c>
      <c r="Q46" t="s">
        <v>44</v>
      </c>
      <c r="R46" s="19">
        <v>0.66666666666666663</v>
      </c>
      <c r="S46" s="19">
        <v>1.1111111111111112</v>
      </c>
      <c r="T46" s="19">
        <v>2.0000000000000004</v>
      </c>
      <c r="U46" s="19">
        <v>1.7777777777777781</v>
      </c>
      <c r="V46" s="19">
        <v>1.5555555555555558</v>
      </c>
      <c r="W46" s="19">
        <v>3.3333333333333344</v>
      </c>
      <c r="X46" s="19">
        <v>2.8888888888888897</v>
      </c>
      <c r="Y46" s="19">
        <v>2.0000000000000004</v>
      </c>
      <c r="Z46" s="19">
        <v>0.44444444444444442</v>
      </c>
      <c r="AA46" s="19">
        <v>2.6666666666666674</v>
      </c>
      <c r="AB46" s="19">
        <v>18.444444444444446</v>
      </c>
    </row>
    <row r="47" spans="1:34">
      <c r="A47" t="str">
        <f t="shared" si="1"/>
        <v>2011-02</v>
      </c>
      <c r="B47" s="9">
        <v>40584.74119212963</v>
      </c>
      <c r="C47" s="10">
        <v>30</v>
      </c>
      <c r="D47" s="11" t="s">
        <v>23</v>
      </c>
      <c r="E47" s="10">
        <v>7</v>
      </c>
      <c r="F47" s="12">
        <v>12</v>
      </c>
      <c r="G47" s="12">
        <f t="shared" si="0"/>
        <v>84</v>
      </c>
      <c r="H47" s="13">
        <v>8</v>
      </c>
      <c r="I47" s="13">
        <f t="shared" si="2"/>
        <v>56</v>
      </c>
      <c r="J47" s="8">
        <f t="shared" si="3"/>
        <v>28</v>
      </c>
      <c r="K47" s="10">
        <v>23</v>
      </c>
      <c r="L47" s="11" t="s">
        <v>32</v>
      </c>
      <c r="M47" s="30" t="s">
        <v>25</v>
      </c>
      <c r="N47" s="33">
        <f t="shared" si="4"/>
        <v>0.33333333333333331</v>
      </c>
      <c r="Q47" t="s">
        <v>30</v>
      </c>
      <c r="R47" s="19">
        <v>0.5</v>
      </c>
      <c r="S47" s="19">
        <v>0.5</v>
      </c>
      <c r="T47" s="19">
        <v>2</v>
      </c>
      <c r="U47" s="19">
        <v>2.5</v>
      </c>
      <c r="V47" s="19">
        <v>1</v>
      </c>
      <c r="W47" s="19">
        <v>2.5</v>
      </c>
      <c r="X47" s="19">
        <v>3.5</v>
      </c>
      <c r="Y47" s="19">
        <v>0.5</v>
      </c>
      <c r="Z47" s="19"/>
      <c r="AA47" s="19">
        <v>1.5</v>
      </c>
      <c r="AB47" s="19">
        <v>14.5</v>
      </c>
    </row>
    <row r="48" spans="1:34">
      <c r="A48" t="str">
        <f t="shared" si="1"/>
        <v>2011-02</v>
      </c>
      <c r="B48" s="9">
        <v>40584.885277777779</v>
      </c>
      <c r="C48" s="10">
        <v>16</v>
      </c>
      <c r="D48" s="11" t="s">
        <v>20</v>
      </c>
      <c r="E48" s="10">
        <v>87</v>
      </c>
      <c r="F48" s="12">
        <v>15</v>
      </c>
      <c r="G48" s="12">
        <f t="shared" si="0"/>
        <v>1305</v>
      </c>
      <c r="H48" s="13">
        <v>14</v>
      </c>
      <c r="I48" s="13">
        <f t="shared" si="2"/>
        <v>1218</v>
      </c>
      <c r="J48" s="8">
        <f t="shared" si="3"/>
        <v>87</v>
      </c>
      <c r="K48" s="10">
        <v>23</v>
      </c>
      <c r="L48" s="11" t="s">
        <v>32</v>
      </c>
      <c r="M48" s="30" t="s">
        <v>21</v>
      </c>
      <c r="N48" s="33">
        <f t="shared" si="4"/>
        <v>6.6666666666666666E-2</v>
      </c>
      <c r="Q48" t="s">
        <v>58</v>
      </c>
      <c r="R48" s="19">
        <v>0.55555555555555558</v>
      </c>
      <c r="S48" s="19">
        <v>0.55555555555555558</v>
      </c>
      <c r="T48" s="19">
        <v>1.1111111111111112</v>
      </c>
      <c r="U48" s="19">
        <v>0.55555555555555558</v>
      </c>
      <c r="V48" s="19">
        <v>1.1111111111111112</v>
      </c>
      <c r="W48" s="19">
        <v>1.1111111111111112</v>
      </c>
      <c r="X48" s="19">
        <v>1.6666666666666667</v>
      </c>
      <c r="Y48" s="19">
        <v>1.1111111111111112</v>
      </c>
      <c r="Z48" s="19">
        <v>0.55555555555555558</v>
      </c>
      <c r="AA48" s="19">
        <v>1.1111111111111112</v>
      </c>
      <c r="AB48" s="19">
        <v>9.4444444444444446</v>
      </c>
    </row>
    <row r="49" spans="1:28">
      <c r="A49" t="str">
        <f t="shared" si="1"/>
        <v>2011-02</v>
      </c>
      <c r="B49" s="9">
        <v>40585.169664351852</v>
      </c>
      <c r="C49" s="10">
        <v>4</v>
      </c>
      <c r="D49" s="11" t="s">
        <v>44</v>
      </c>
      <c r="E49" s="10">
        <v>70</v>
      </c>
      <c r="F49" s="12">
        <v>9</v>
      </c>
      <c r="G49" s="12">
        <f t="shared" si="0"/>
        <v>630</v>
      </c>
      <c r="H49" s="13">
        <v>7</v>
      </c>
      <c r="I49" s="13">
        <f t="shared" si="2"/>
        <v>490</v>
      </c>
      <c r="J49" s="8">
        <f t="shared" si="3"/>
        <v>140</v>
      </c>
      <c r="K49" s="10">
        <v>557</v>
      </c>
      <c r="L49" s="11" t="s">
        <v>36</v>
      </c>
      <c r="M49" s="30" t="s">
        <v>21</v>
      </c>
      <c r="N49" s="33">
        <f t="shared" si="4"/>
        <v>0.22222222222222221</v>
      </c>
      <c r="Q49" t="s">
        <v>16</v>
      </c>
      <c r="R49" s="19"/>
      <c r="S49" s="19">
        <v>0.75</v>
      </c>
      <c r="T49" s="19">
        <v>1.5</v>
      </c>
      <c r="U49" s="19">
        <v>0.75</v>
      </c>
      <c r="V49" s="19">
        <v>1</v>
      </c>
      <c r="W49" s="19">
        <v>1.75</v>
      </c>
      <c r="X49" s="19">
        <v>1</v>
      </c>
      <c r="Y49" s="19">
        <v>0.75</v>
      </c>
      <c r="Z49" s="19">
        <v>0.25</v>
      </c>
      <c r="AA49" s="19">
        <v>0.5</v>
      </c>
      <c r="AB49" s="19">
        <v>8.25</v>
      </c>
    </row>
    <row r="50" spans="1:28">
      <c r="A50" t="str">
        <f t="shared" si="1"/>
        <v>2011-02</v>
      </c>
      <c r="B50" s="9">
        <v>40585.590208333335</v>
      </c>
      <c r="C50" s="10">
        <v>100</v>
      </c>
      <c r="D50" s="11" t="s">
        <v>40</v>
      </c>
      <c r="E50" s="10">
        <v>38</v>
      </c>
      <c r="F50" s="12">
        <v>8</v>
      </c>
      <c r="G50" s="12">
        <f t="shared" si="0"/>
        <v>304</v>
      </c>
      <c r="H50" s="13">
        <v>4</v>
      </c>
      <c r="I50" s="13">
        <f t="shared" si="2"/>
        <v>152</v>
      </c>
      <c r="J50" s="8">
        <f t="shared" si="3"/>
        <v>152</v>
      </c>
      <c r="K50" s="10">
        <v>95</v>
      </c>
      <c r="L50" s="11" t="s">
        <v>34</v>
      </c>
      <c r="M50" s="30" t="s">
        <v>18</v>
      </c>
      <c r="N50" s="33">
        <f t="shared" si="4"/>
        <v>0.5</v>
      </c>
      <c r="Q50" t="s">
        <v>47</v>
      </c>
      <c r="R50" s="19"/>
      <c r="S50" s="19">
        <v>0.30555555555555558</v>
      </c>
      <c r="T50" s="19">
        <v>0.61111111111111116</v>
      </c>
      <c r="U50" s="19">
        <v>0.91666666666666674</v>
      </c>
      <c r="V50" s="19">
        <v>0.61111111111111116</v>
      </c>
      <c r="W50" s="19">
        <v>1.8333333333333335</v>
      </c>
      <c r="X50" s="19">
        <v>1.5277777777777779</v>
      </c>
      <c r="Y50" s="19">
        <v>0.61111111111111116</v>
      </c>
      <c r="Z50" s="19">
        <v>0.30555555555555558</v>
      </c>
      <c r="AA50" s="19">
        <v>0.91666666666666674</v>
      </c>
      <c r="AB50" s="19">
        <v>7.6388888888888902</v>
      </c>
    </row>
    <row r="51" spans="1:28">
      <c r="A51" t="str">
        <f t="shared" si="1"/>
        <v>2011-02</v>
      </c>
      <c r="B51" s="9">
        <v>40586.56150462963</v>
      </c>
      <c r="C51" s="10">
        <v>2</v>
      </c>
      <c r="D51" s="11" t="s">
        <v>30</v>
      </c>
      <c r="E51" s="10">
        <v>4</v>
      </c>
      <c r="F51" s="12">
        <v>12</v>
      </c>
      <c r="G51" s="12">
        <f t="shared" si="0"/>
        <v>48</v>
      </c>
      <c r="H51" s="13">
        <v>6</v>
      </c>
      <c r="I51" s="13">
        <f t="shared" si="2"/>
        <v>24</v>
      </c>
      <c r="J51" s="8">
        <f t="shared" si="3"/>
        <v>24</v>
      </c>
      <c r="K51" s="10">
        <v>6</v>
      </c>
      <c r="L51" s="11" t="s">
        <v>33</v>
      </c>
      <c r="M51" s="30" t="s">
        <v>25</v>
      </c>
      <c r="N51" s="33">
        <f t="shared" si="4"/>
        <v>0.5</v>
      </c>
      <c r="Q51" t="s">
        <v>20</v>
      </c>
      <c r="R51" s="19">
        <v>0.2</v>
      </c>
      <c r="S51" s="19">
        <v>0.66666666666666663</v>
      </c>
      <c r="T51" s="19">
        <v>1.1333333333333333</v>
      </c>
      <c r="U51" s="19">
        <v>0.53333333333333333</v>
      </c>
      <c r="V51" s="19">
        <v>0.79999999999999993</v>
      </c>
      <c r="W51" s="19">
        <v>0.93333333333333324</v>
      </c>
      <c r="X51" s="19">
        <v>0.6</v>
      </c>
      <c r="Y51" s="19">
        <v>0.79999999999999993</v>
      </c>
      <c r="Z51" s="19">
        <v>0.2</v>
      </c>
      <c r="AA51" s="19">
        <v>0.73333333333333328</v>
      </c>
      <c r="AB51" s="19">
        <v>6.6</v>
      </c>
    </row>
    <row r="52" spans="1:28">
      <c r="A52" t="str">
        <f t="shared" si="1"/>
        <v>2011-02</v>
      </c>
      <c r="B52" s="9">
        <v>40587.796018518522</v>
      </c>
      <c r="C52" s="10">
        <v>31</v>
      </c>
      <c r="D52" s="11" t="s">
        <v>46</v>
      </c>
      <c r="E52" s="10">
        <v>44</v>
      </c>
      <c r="F52" s="12">
        <v>21</v>
      </c>
      <c r="G52" s="12">
        <f t="shared" si="0"/>
        <v>924</v>
      </c>
      <c r="H52" s="13">
        <v>12</v>
      </c>
      <c r="I52" s="13">
        <f t="shared" si="2"/>
        <v>528</v>
      </c>
      <c r="J52" s="8">
        <f t="shared" si="3"/>
        <v>396</v>
      </c>
      <c r="K52" s="10">
        <v>557</v>
      </c>
      <c r="L52" s="11" t="s">
        <v>36</v>
      </c>
      <c r="M52" s="30" t="s">
        <v>21</v>
      </c>
      <c r="N52" s="33">
        <f t="shared" si="4"/>
        <v>0.42857142857142855</v>
      </c>
      <c r="Q52" t="s">
        <v>60</v>
      </c>
      <c r="R52" s="19"/>
      <c r="S52" s="19"/>
      <c r="T52" s="19"/>
      <c r="U52" s="19">
        <v>1.0909090909090908</v>
      </c>
      <c r="V52" s="19"/>
      <c r="W52" s="19">
        <v>2.1818181818181817</v>
      </c>
      <c r="X52" s="19">
        <v>1.0909090909090908</v>
      </c>
      <c r="Y52" s="19"/>
      <c r="Z52" s="19"/>
      <c r="AA52" s="19">
        <v>0.54545454545454541</v>
      </c>
      <c r="AB52" s="19">
        <v>4.9090909090909083</v>
      </c>
    </row>
    <row r="53" spans="1:28">
      <c r="A53" t="str">
        <f t="shared" si="1"/>
        <v>2011-02</v>
      </c>
      <c r="B53" s="9">
        <v>40589.969351851854</v>
      </c>
      <c r="C53" s="10">
        <v>19</v>
      </c>
      <c r="D53" s="11" t="s">
        <v>47</v>
      </c>
      <c r="E53" s="10">
        <v>41</v>
      </c>
      <c r="F53" s="12">
        <v>36</v>
      </c>
      <c r="G53" s="12">
        <f t="shared" si="0"/>
        <v>1476</v>
      </c>
      <c r="H53" s="13">
        <v>25</v>
      </c>
      <c r="I53" s="13">
        <f t="shared" si="2"/>
        <v>1025</v>
      </c>
      <c r="J53" s="8">
        <f t="shared" si="3"/>
        <v>451</v>
      </c>
      <c r="K53" s="10">
        <v>14</v>
      </c>
      <c r="L53" s="11" t="s">
        <v>27</v>
      </c>
      <c r="M53" s="30" t="s">
        <v>21</v>
      </c>
      <c r="N53" s="33">
        <f t="shared" si="4"/>
        <v>0.30555555555555558</v>
      </c>
      <c r="Q53" t="s">
        <v>37</v>
      </c>
      <c r="R53" s="19">
        <v>0.15151515151515152</v>
      </c>
      <c r="S53" s="19">
        <v>0.45454545454545459</v>
      </c>
      <c r="T53" s="19">
        <v>0.90909090909090906</v>
      </c>
      <c r="U53" s="19">
        <v>0.15151515151515152</v>
      </c>
      <c r="V53" s="19">
        <v>0.60606060606060608</v>
      </c>
      <c r="W53" s="19">
        <v>0.30303030303030304</v>
      </c>
      <c r="X53" s="19">
        <v>0.30303030303030304</v>
      </c>
      <c r="Y53" s="19">
        <v>0.45454545454545459</v>
      </c>
      <c r="Z53" s="19">
        <v>0.15151515151515152</v>
      </c>
      <c r="AA53" s="19">
        <v>0.30303030303030304</v>
      </c>
      <c r="AB53" s="19">
        <v>3.7878787878787885</v>
      </c>
    </row>
    <row r="54" spans="1:28">
      <c r="A54" t="str">
        <f t="shared" si="1"/>
        <v>2011-02</v>
      </c>
      <c r="B54" s="9">
        <v>40590.302164351851</v>
      </c>
      <c r="C54" s="10">
        <v>16</v>
      </c>
      <c r="D54" s="11" t="s">
        <v>20</v>
      </c>
      <c r="E54" s="10">
        <v>15</v>
      </c>
      <c r="F54" s="12">
        <v>15</v>
      </c>
      <c r="G54" s="12">
        <f t="shared" si="0"/>
        <v>225</v>
      </c>
      <c r="H54" s="13">
        <v>14</v>
      </c>
      <c r="I54" s="13">
        <f t="shared" si="2"/>
        <v>210</v>
      </c>
      <c r="J54" s="8">
        <f t="shared" si="3"/>
        <v>15</v>
      </c>
      <c r="K54" s="10">
        <v>686</v>
      </c>
      <c r="L54" s="11" t="s">
        <v>56</v>
      </c>
      <c r="M54" s="30" t="s">
        <v>25</v>
      </c>
      <c r="N54" s="33">
        <f t="shared" si="4"/>
        <v>6.6666666666666666E-2</v>
      </c>
      <c r="Q54" t="s">
        <v>38</v>
      </c>
      <c r="R54" s="19">
        <v>0.33962264150943394</v>
      </c>
      <c r="S54" s="19"/>
      <c r="T54" s="19"/>
      <c r="U54" s="19">
        <v>0.33962264150943394</v>
      </c>
      <c r="V54" s="19"/>
      <c r="W54" s="19">
        <v>0.67924528301886788</v>
      </c>
      <c r="X54" s="19">
        <v>1.0188679245283019</v>
      </c>
      <c r="Y54" s="19"/>
      <c r="Z54" s="19"/>
      <c r="AA54" s="19">
        <v>0.67924528301886788</v>
      </c>
      <c r="AB54" s="19">
        <v>3.0566037735849054</v>
      </c>
    </row>
    <row r="55" spans="1:28">
      <c r="A55" t="str">
        <f t="shared" si="1"/>
        <v>2011-02</v>
      </c>
      <c r="B55" s="9">
        <v>40591.916250000002</v>
      </c>
      <c r="C55" s="10">
        <v>30</v>
      </c>
      <c r="D55" s="11" t="s">
        <v>23</v>
      </c>
      <c r="E55" s="10">
        <v>76</v>
      </c>
      <c r="F55" s="12">
        <v>12</v>
      </c>
      <c r="G55" s="12">
        <f t="shared" si="0"/>
        <v>912</v>
      </c>
      <c r="H55" s="13">
        <v>8</v>
      </c>
      <c r="I55" s="13">
        <f t="shared" si="2"/>
        <v>608</v>
      </c>
      <c r="J55" s="8">
        <f t="shared" si="3"/>
        <v>304</v>
      </c>
      <c r="K55" s="10">
        <v>14</v>
      </c>
      <c r="L55" s="11" t="s">
        <v>27</v>
      </c>
      <c r="M55" s="30" t="s">
        <v>25</v>
      </c>
      <c r="N55" s="33">
        <f t="shared" si="4"/>
        <v>0.33333333333333331</v>
      </c>
      <c r="Q55" t="s">
        <v>70</v>
      </c>
      <c r="R55" s="19">
        <v>4.1038362057229989</v>
      </c>
      <c r="S55" s="19">
        <v>10.986291486291485</v>
      </c>
      <c r="T55" s="19">
        <v>23.217027417027413</v>
      </c>
      <c r="U55" s="19">
        <v>13.591570693457488</v>
      </c>
      <c r="V55" s="19">
        <v>20.612409812409812</v>
      </c>
      <c r="W55" s="19">
        <v>23.815681069454655</v>
      </c>
      <c r="X55" s="19">
        <v>22.572331127991507</v>
      </c>
      <c r="Y55" s="19">
        <v>15.226767676767677</v>
      </c>
      <c r="Z55" s="19">
        <v>4.0261183261183264</v>
      </c>
      <c r="AA55" s="19">
        <v>15.265031718805302</v>
      </c>
      <c r="AB55" s="19">
        <v>153.41706553404666</v>
      </c>
    </row>
    <row r="56" spans="1:28">
      <c r="A56" t="str">
        <f t="shared" si="1"/>
        <v>2011-02</v>
      </c>
      <c r="B56" s="9">
        <v>40592.213356481479</v>
      </c>
      <c r="C56" s="10">
        <v>4</v>
      </c>
      <c r="D56" s="11" t="s">
        <v>44</v>
      </c>
      <c r="E56" s="10">
        <v>49</v>
      </c>
      <c r="F56" s="12">
        <v>9</v>
      </c>
      <c r="G56" s="12">
        <f t="shared" si="0"/>
        <v>441</v>
      </c>
      <c r="H56" s="13">
        <v>7</v>
      </c>
      <c r="I56" s="13">
        <f t="shared" si="2"/>
        <v>343</v>
      </c>
      <c r="J56" s="8">
        <f t="shared" si="3"/>
        <v>98</v>
      </c>
      <c r="K56" s="10">
        <v>846</v>
      </c>
      <c r="L56" s="11" t="s">
        <v>35</v>
      </c>
      <c r="M56" s="30" t="s">
        <v>25</v>
      </c>
      <c r="N56" s="33">
        <f t="shared" si="4"/>
        <v>0.22222222222222221</v>
      </c>
      <c r="R56" s="19"/>
      <c r="S56" s="19"/>
      <c r="T56" s="19"/>
      <c r="U56" s="19"/>
      <c r="V56" s="19"/>
      <c r="W56" s="19"/>
      <c r="X56" s="19"/>
      <c r="Y56" s="19"/>
      <c r="Z56" s="19"/>
      <c r="AA56" s="19"/>
      <c r="AB56" s="19"/>
    </row>
    <row r="57" spans="1:28">
      <c r="A57" t="str">
        <f t="shared" si="1"/>
        <v>2011-02</v>
      </c>
      <c r="B57" s="9">
        <v>40593.392106481479</v>
      </c>
      <c r="C57" s="10">
        <v>4</v>
      </c>
      <c r="D57" s="11" t="s">
        <v>44</v>
      </c>
      <c r="E57" s="10">
        <v>86</v>
      </c>
      <c r="F57" s="12">
        <v>9</v>
      </c>
      <c r="G57" s="12">
        <f t="shared" si="0"/>
        <v>774</v>
      </c>
      <c r="H57" s="13">
        <v>7</v>
      </c>
      <c r="I57" s="13">
        <f t="shared" si="2"/>
        <v>602</v>
      </c>
      <c r="J57" s="8">
        <f t="shared" si="3"/>
        <v>172</v>
      </c>
      <c r="K57" s="10">
        <v>14</v>
      </c>
      <c r="L57" s="11" t="s">
        <v>27</v>
      </c>
      <c r="M57" s="30" t="s">
        <v>21</v>
      </c>
      <c r="N57" s="33">
        <f t="shared" si="4"/>
        <v>0.22222222222222221</v>
      </c>
      <c r="R57" s="19"/>
    </row>
    <row r="58" spans="1:28">
      <c r="A58" t="str">
        <f t="shared" si="1"/>
        <v>2011-02</v>
      </c>
      <c r="B58" s="9">
        <v>40593.536412037036</v>
      </c>
      <c r="C58" s="10">
        <v>16</v>
      </c>
      <c r="D58" s="11" t="s">
        <v>20</v>
      </c>
      <c r="E58" s="10">
        <v>68</v>
      </c>
      <c r="F58" s="12">
        <v>15</v>
      </c>
      <c r="G58" s="12">
        <f t="shared" si="0"/>
        <v>1020</v>
      </c>
      <c r="H58" s="13">
        <v>14</v>
      </c>
      <c r="I58" s="13">
        <f t="shared" si="2"/>
        <v>952</v>
      </c>
      <c r="J58" s="8">
        <f t="shared" si="3"/>
        <v>68</v>
      </c>
      <c r="K58" s="10">
        <v>14</v>
      </c>
      <c r="L58" s="11" t="s">
        <v>27</v>
      </c>
      <c r="M58" s="30" t="s">
        <v>25</v>
      </c>
      <c r="N58" s="33">
        <f t="shared" si="4"/>
        <v>6.6666666666666666E-2</v>
      </c>
    </row>
    <row r="59" spans="1:28">
      <c r="A59" t="str">
        <f t="shared" si="1"/>
        <v>2011-02</v>
      </c>
      <c r="B59" s="9">
        <v>40593.930011574077</v>
      </c>
      <c r="C59" s="10">
        <v>19</v>
      </c>
      <c r="D59" s="11" t="s">
        <v>47</v>
      </c>
      <c r="E59" s="10">
        <v>50</v>
      </c>
      <c r="F59" s="12">
        <v>36</v>
      </c>
      <c r="G59" s="12">
        <f t="shared" si="0"/>
        <v>1800</v>
      </c>
      <c r="H59" s="13">
        <v>25</v>
      </c>
      <c r="I59" s="13">
        <f t="shared" si="2"/>
        <v>1250</v>
      </c>
      <c r="J59" s="8">
        <f t="shared" si="3"/>
        <v>550</v>
      </c>
      <c r="K59" s="10">
        <v>14</v>
      </c>
      <c r="L59" s="11" t="s">
        <v>27</v>
      </c>
      <c r="M59" s="30" t="s">
        <v>21</v>
      </c>
      <c r="N59" s="33">
        <f t="shared" si="4"/>
        <v>0.30555555555555558</v>
      </c>
      <c r="Q59" t="s">
        <v>3</v>
      </c>
      <c r="R59" t="s">
        <v>38</v>
      </c>
    </row>
    <row r="60" spans="1:28">
      <c r="A60" t="str">
        <f t="shared" si="1"/>
        <v>2011-02</v>
      </c>
      <c r="B60" s="9">
        <v>40594.048634259256</v>
      </c>
      <c r="C60" s="10">
        <v>31</v>
      </c>
      <c r="D60" s="11" t="s">
        <v>46</v>
      </c>
      <c r="E60" s="10">
        <v>31</v>
      </c>
      <c r="F60" s="12">
        <v>21</v>
      </c>
      <c r="G60" s="12">
        <f t="shared" si="0"/>
        <v>651</v>
      </c>
      <c r="H60" s="13">
        <v>12</v>
      </c>
      <c r="I60" s="13">
        <f t="shared" si="2"/>
        <v>372</v>
      </c>
      <c r="J60" s="8">
        <f t="shared" si="3"/>
        <v>279</v>
      </c>
      <c r="K60" s="10">
        <v>14</v>
      </c>
      <c r="L60" s="11" t="s">
        <v>27</v>
      </c>
      <c r="M60" s="30" t="s">
        <v>21</v>
      </c>
      <c r="N60" s="33">
        <f t="shared" si="4"/>
        <v>0.42857142857142855</v>
      </c>
    </row>
    <row r="61" spans="1:28">
      <c r="A61" t="str">
        <f t="shared" si="1"/>
        <v>2011-02</v>
      </c>
      <c r="B61" s="9">
        <v>40595.160925925928</v>
      </c>
      <c r="C61" s="10">
        <v>31</v>
      </c>
      <c r="D61" s="11" t="s">
        <v>46</v>
      </c>
      <c r="E61" s="10">
        <v>62</v>
      </c>
      <c r="F61" s="12">
        <v>21</v>
      </c>
      <c r="G61" s="12">
        <f t="shared" si="0"/>
        <v>1302</v>
      </c>
      <c r="H61" s="13">
        <v>12</v>
      </c>
      <c r="I61" s="13">
        <f t="shared" si="2"/>
        <v>744</v>
      </c>
      <c r="J61" s="8">
        <f t="shared" si="3"/>
        <v>558</v>
      </c>
      <c r="K61" s="10">
        <v>572</v>
      </c>
      <c r="L61" s="11" t="s">
        <v>31</v>
      </c>
      <c r="M61" s="30" t="s">
        <v>25</v>
      </c>
      <c r="N61" s="33">
        <f t="shared" si="4"/>
        <v>0.42857142857142855</v>
      </c>
      <c r="Q61" t="s">
        <v>71</v>
      </c>
      <c r="R61" s="37" t="s">
        <v>72</v>
      </c>
      <c r="S61" s="37" t="s">
        <v>73</v>
      </c>
    </row>
    <row r="62" spans="1:28">
      <c r="A62" t="str">
        <f t="shared" si="1"/>
        <v>2011-02</v>
      </c>
      <c r="B62" s="9">
        <v>40595.631585648145</v>
      </c>
      <c r="C62" s="10">
        <v>4</v>
      </c>
      <c r="D62" s="11" t="s">
        <v>44</v>
      </c>
      <c r="E62" s="10">
        <v>13</v>
      </c>
      <c r="F62" s="12">
        <v>9</v>
      </c>
      <c r="G62" s="12">
        <f t="shared" si="0"/>
        <v>117</v>
      </c>
      <c r="H62" s="13">
        <v>7</v>
      </c>
      <c r="I62" s="13">
        <f t="shared" si="2"/>
        <v>91</v>
      </c>
      <c r="J62" s="8">
        <f t="shared" si="3"/>
        <v>26</v>
      </c>
      <c r="K62" s="10">
        <v>572</v>
      </c>
      <c r="L62" s="11" t="s">
        <v>31</v>
      </c>
      <c r="M62" s="30" t="s">
        <v>25</v>
      </c>
      <c r="N62" s="33">
        <f t="shared" si="4"/>
        <v>0.22222222222222221</v>
      </c>
      <c r="Q62" s="21" t="s">
        <v>33</v>
      </c>
      <c r="R62" s="23">
        <v>6572</v>
      </c>
      <c r="S62">
        <v>124</v>
      </c>
    </row>
    <row r="63" spans="1:28">
      <c r="A63" t="str">
        <f t="shared" si="1"/>
        <v>2011-02</v>
      </c>
      <c r="B63" s="9">
        <v>40596.564791666664</v>
      </c>
      <c r="C63" s="10">
        <v>4</v>
      </c>
      <c r="D63" s="11" t="s">
        <v>44</v>
      </c>
      <c r="E63" s="10">
        <v>84</v>
      </c>
      <c r="F63" s="12">
        <v>9</v>
      </c>
      <c r="G63" s="12">
        <f t="shared" si="0"/>
        <v>756</v>
      </c>
      <c r="H63" s="13">
        <v>7</v>
      </c>
      <c r="I63" s="13">
        <f t="shared" si="2"/>
        <v>588</v>
      </c>
      <c r="J63" s="8">
        <f t="shared" si="3"/>
        <v>168</v>
      </c>
      <c r="K63" s="10">
        <v>846</v>
      </c>
      <c r="L63" s="11" t="s">
        <v>35</v>
      </c>
      <c r="M63" s="30" t="s">
        <v>25</v>
      </c>
      <c r="N63" s="33">
        <f t="shared" si="4"/>
        <v>0.22222222222222221</v>
      </c>
      <c r="Q63" s="21" t="s">
        <v>27</v>
      </c>
      <c r="R63" s="23">
        <v>5724</v>
      </c>
      <c r="S63">
        <v>108</v>
      </c>
    </row>
    <row r="64" spans="1:28">
      <c r="A64" t="str">
        <f t="shared" si="1"/>
        <v>2011-02</v>
      </c>
      <c r="B64" s="9">
        <v>40598.707129629627</v>
      </c>
      <c r="C64" s="10">
        <v>19</v>
      </c>
      <c r="D64" s="11" t="s">
        <v>47</v>
      </c>
      <c r="E64" s="10">
        <v>55</v>
      </c>
      <c r="F64" s="12">
        <v>36</v>
      </c>
      <c r="G64" s="12">
        <f t="shared" si="0"/>
        <v>1980</v>
      </c>
      <c r="H64" s="13">
        <v>25</v>
      </c>
      <c r="I64" s="13">
        <f t="shared" si="2"/>
        <v>1375</v>
      </c>
      <c r="J64" s="8">
        <f t="shared" si="3"/>
        <v>605</v>
      </c>
      <c r="K64" s="10">
        <v>14</v>
      </c>
      <c r="L64" s="11" t="s">
        <v>27</v>
      </c>
      <c r="M64" s="30" t="s">
        <v>25</v>
      </c>
      <c r="N64" s="33">
        <f t="shared" si="4"/>
        <v>0.30555555555555558</v>
      </c>
      <c r="Q64" s="21" t="s">
        <v>32</v>
      </c>
      <c r="R64" s="23">
        <v>4823</v>
      </c>
      <c r="S64">
        <v>91</v>
      </c>
    </row>
    <row r="65" spans="1:19">
      <c r="A65" t="str">
        <f t="shared" si="1"/>
        <v>2011-02</v>
      </c>
      <c r="B65" s="9">
        <v>40598.804895833331</v>
      </c>
      <c r="C65" s="10">
        <v>31</v>
      </c>
      <c r="D65" s="11" t="s">
        <v>46</v>
      </c>
      <c r="E65" s="10">
        <v>89</v>
      </c>
      <c r="F65" s="12">
        <v>21</v>
      </c>
      <c r="G65" s="12">
        <f t="shared" si="0"/>
        <v>1869</v>
      </c>
      <c r="H65" s="13">
        <v>12</v>
      </c>
      <c r="I65" s="13">
        <f t="shared" si="2"/>
        <v>1068</v>
      </c>
      <c r="J65" s="8">
        <f t="shared" si="3"/>
        <v>801</v>
      </c>
      <c r="K65" s="10">
        <v>95</v>
      </c>
      <c r="L65" s="11" t="s">
        <v>34</v>
      </c>
      <c r="M65" s="30" t="s">
        <v>21</v>
      </c>
      <c r="N65" s="33">
        <f t="shared" si="4"/>
        <v>0.42857142857142855</v>
      </c>
      <c r="Q65" s="21" t="s">
        <v>24</v>
      </c>
      <c r="R65" s="23">
        <v>3339</v>
      </c>
      <c r="S65">
        <v>63</v>
      </c>
    </row>
    <row r="66" spans="1:19">
      <c r="A66" t="str">
        <f t="shared" si="1"/>
        <v>2011-02</v>
      </c>
      <c r="B66" s="9">
        <v>40600.662129629629</v>
      </c>
      <c r="C66" s="10">
        <v>39</v>
      </c>
      <c r="D66" s="11" t="s">
        <v>37</v>
      </c>
      <c r="E66" s="10">
        <v>56</v>
      </c>
      <c r="F66" s="12">
        <v>33</v>
      </c>
      <c r="G66" s="12">
        <f t="shared" ref="G66:G129" si="5">E66*F66</f>
        <v>1848</v>
      </c>
      <c r="H66" s="13">
        <v>28</v>
      </c>
      <c r="I66" s="13">
        <f t="shared" si="2"/>
        <v>1568</v>
      </c>
      <c r="J66" s="8">
        <f t="shared" si="3"/>
        <v>280</v>
      </c>
      <c r="K66" s="10">
        <v>557</v>
      </c>
      <c r="L66" s="11" t="s">
        <v>36</v>
      </c>
      <c r="M66" s="30" t="s">
        <v>25</v>
      </c>
      <c r="N66" s="33">
        <f t="shared" si="4"/>
        <v>0.15151515151515152</v>
      </c>
      <c r="Q66" s="21" t="s">
        <v>56</v>
      </c>
      <c r="R66" s="23">
        <v>2173</v>
      </c>
      <c r="S66">
        <v>41</v>
      </c>
    </row>
    <row r="67" spans="1:19">
      <c r="A67" t="str">
        <f t="shared" ref="A67:A130" si="6">TEXT(B67, "YYYY-MM")</f>
        <v>2011-02</v>
      </c>
      <c r="B67" s="9">
        <v>40600.715509259258</v>
      </c>
      <c r="C67" s="10">
        <v>2</v>
      </c>
      <c r="D67" s="11" t="s">
        <v>30</v>
      </c>
      <c r="E67" s="10">
        <v>16</v>
      </c>
      <c r="F67" s="12">
        <v>12</v>
      </c>
      <c r="G67" s="12">
        <f t="shared" si="5"/>
        <v>192</v>
      </c>
      <c r="H67" s="13">
        <v>6</v>
      </c>
      <c r="I67" s="13">
        <f t="shared" ref="I67:I130" si="7">E67*H67</f>
        <v>96</v>
      </c>
      <c r="J67" s="8">
        <f t="shared" ref="J67:J130" si="8">G67-I67</f>
        <v>96</v>
      </c>
      <c r="K67" s="10">
        <v>95</v>
      </c>
      <c r="L67" s="11" t="s">
        <v>34</v>
      </c>
      <c r="M67" s="30" t="s">
        <v>25</v>
      </c>
      <c r="N67" s="33">
        <f t="shared" ref="N67:N130" si="9">J67/G67</f>
        <v>0.5</v>
      </c>
      <c r="Q67" s="21" t="s">
        <v>63</v>
      </c>
      <c r="R67" s="23">
        <v>22631</v>
      </c>
      <c r="S67">
        <v>427</v>
      </c>
    </row>
    <row r="68" spans="1:19">
      <c r="A68" t="str">
        <f t="shared" si="6"/>
        <v>2011-02</v>
      </c>
      <c r="B68" s="9">
        <v>40601.031087962961</v>
      </c>
      <c r="C68" s="10">
        <v>6</v>
      </c>
      <c r="D68" s="11" t="s">
        <v>60</v>
      </c>
      <c r="E68" s="10">
        <v>2</v>
      </c>
      <c r="F68" s="12">
        <v>55</v>
      </c>
      <c r="G68" s="12">
        <f t="shared" si="5"/>
        <v>110</v>
      </c>
      <c r="H68" s="13">
        <v>25</v>
      </c>
      <c r="I68" s="13">
        <f t="shared" si="7"/>
        <v>50</v>
      </c>
      <c r="J68" s="8">
        <f t="shared" si="8"/>
        <v>60</v>
      </c>
      <c r="K68" s="10">
        <v>6</v>
      </c>
      <c r="L68" s="11" t="s">
        <v>33</v>
      </c>
      <c r="M68" s="30" t="s">
        <v>25</v>
      </c>
      <c r="N68" s="33">
        <f t="shared" si="9"/>
        <v>0.54545454545454541</v>
      </c>
    </row>
    <row r="69" spans="1:19">
      <c r="A69" t="str">
        <f t="shared" si="6"/>
        <v>2011-02</v>
      </c>
      <c r="B69" s="9">
        <v>40602.139953703707</v>
      </c>
      <c r="C69" s="10">
        <v>39</v>
      </c>
      <c r="D69" s="11" t="s">
        <v>37</v>
      </c>
      <c r="E69" s="10">
        <v>67</v>
      </c>
      <c r="F69" s="12">
        <v>33</v>
      </c>
      <c r="G69" s="12">
        <f t="shared" si="5"/>
        <v>2211</v>
      </c>
      <c r="H69" s="13">
        <v>28</v>
      </c>
      <c r="I69" s="13">
        <f t="shared" si="7"/>
        <v>1876</v>
      </c>
      <c r="J69" s="8">
        <f t="shared" si="8"/>
        <v>335</v>
      </c>
      <c r="K69" s="10">
        <v>6</v>
      </c>
      <c r="L69" s="11" t="s">
        <v>33</v>
      </c>
      <c r="M69" s="30" t="s">
        <v>21</v>
      </c>
      <c r="N69" s="33">
        <f t="shared" si="9"/>
        <v>0.15151515151515152</v>
      </c>
    </row>
    <row r="70" spans="1:19">
      <c r="A70" t="str">
        <f t="shared" si="6"/>
        <v>2011-02</v>
      </c>
      <c r="B70" s="9">
        <v>40602.795127314814</v>
      </c>
      <c r="C70" s="10">
        <v>4</v>
      </c>
      <c r="D70" s="11" t="s">
        <v>44</v>
      </c>
      <c r="E70" s="10">
        <v>2</v>
      </c>
      <c r="F70" s="12">
        <v>9</v>
      </c>
      <c r="G70" s="12">
        <f t="shared" si="5"/>
        <v>18</v>
      </c>
      <c r="H70" s="13">
        <v>7</v>
      </c>
      <c r="I70" s="13">
        <f t="shared" si="7"/>
        <v>14</v>
      </c>
      <c r="J70" s="8">
        <f t="shared" si="8"/>
        <v>4</v>
      </c>
      <c r="K70" s="10">
        <v>95</v>
      </c>
      <c r="L70" s="11" t="s">
        <v>34</v>
      </c>
      <c r="M70" s="30" t="s">
        <v>25</v>
      </c>
      <c r="N70" s="33">
        <f t="shared" si="9"/>
        <v>0.22222222222222221</v>
      </c>
    </row>
    <row r="71" spans="1:19">
      <c r="A71" t="str">
        <f t="shared" si="6"/>
        <v>2011-02</v>
      </c>
      <c r="B71" s="9">
        <v>40602.938275462962</v>
      </c>
      <c r="C71" s="10">
        <v>4</v>
      </c>
      <c r="D71" s="11" t="s">
        <v>44</v>
      </c>
      <c r="E71" s="10">
        <v>59</v>
      </c>
      <c r="F71" s="12">
        <v>9</v>
      </c>
      <c r="G71" s="12">
        <f t="shared" si="5"/>
        <v>531</v>
      </c>
      <c r="H71" s="13">
        <v>7</v>
      </c>
      <c r="I71" s="13">
        <f t="shared" si="7"/>
        <v>413</v>
      </c>
      <c r="J71" s="8">
        <f t="shared" si="8"/>
        <v>118</v>
      </c>
      <c r="K71" s="10">
        <v>846</v>
      </c>
      <c r="L71" s="11" t="s">
        <v>35</v>
      </c>
      <c r="M71" s="30" t="s">
        <v>25</v>
      </c>
      <c r="N71" s="33">
        <f t="shared" si="9"/>
        <v>0.22222222222222221</v>
      </c>
    </row>
    <row r="72" spans="1:19">
      <c r="A72" t="str">
        <f t="shared" si="6"/>
        <v>2011-03</v>
      </c>
      <c r="B72" s="9">
        <v>40603.672233796293</v>
      </c>
      <c r="C72" s="10">
        <v>4</v>
      </c>
      <c r="D72" s="11" t="s">
        <v>44</v>
      </c>
      <c r="E72" s="10">
        <v>37</v>
      </c>
      <c r="F72" s="12">
        <v>9</v>
      </c>
      <c r="G72" s="12">
        <f t="shared" si="5"/>
        <v>333</v>
      </c>
      <c r="H72" s="13">
        <v>7</v>
      </c>
      <c r="I72" s="13">
        <f t="shared" si="7"/>
        <v>259</v>
      </c>
      <c r="J72" s="8">
        <f t="shared" si="8"/>
        <v>74</v>
      </c>
      <c r="K72" s="10">
        <v>572</v>
      </c>
      <c r="L72" s="11" t="s">
        <v>31</v>
      </c>
      <c r="M72" s="30" t="s">
        <v>21</v>
      </c>
      <c r="N72" s="33">
        <f t="shared" si="9"/>
        <v>0.22222222222222221</v>
      </c>
    </row>
    <row r="73" spans="1:19">
      <c r="A73" t="str">
        <f t="shared" si="6"/>
        <v>2011-03</v>
      </c>
      <c r="B73" s="9">
        <v>40604.961747685185</v>
      </c>
      <c r="C73" s="10">
        <v>100</v>
      </c>
      <c r="D73" s="11" t="s">
        <v>40</v>
      </c>
      <c r="E73" s="10">
        <v>19</v>
      </c>
      <c r="F73" s="12">
        <v>8</v>
      </c>
      <c r="G73" s="12">
        <f t="shared" si="5"/>
        <v>152</v>
      </c>
      <c r="H73" s="13">
        <v>4</v>
      </c>
      <c r="I73" s="13">
        <f t="shared" si="7"/>
        <v>76</v>
      </c>
      <c r="J73" s="8">
        <f t="shared" si="8"/>
        <v>76</v>
      </c>
      <c r="K73" s="10">
        <v>686</v>
      </c>
      <c r="L73" s="11" t="s">
        <v>56</v>
      </c>
      <c r="M73" s="30" t="s">
        <v>25</v>
      </c>
      <c r="N73" s="33">
        <f t="shared" si="9"/>
        <v>0.5</v>
      </c>
    </row>
    <row r="74" spans="1:19">
      <c r="A74" t="str">
        <f t="shared" si="6"/>
        <v>2011-03</v>
      </c>
      <c r="B74" s="9">
        <v>40605.454895833333</v>
      </c>
      <c r="C74" s="10">
        <v>39</v>
      </c>
      <c r="D74" s="11" t="s">
        <v>37</v>
      </c>
      <c r="E74" s="10">
        <v>48</v>
      </c>
      <c r="F74" s="12">
        <v>33</v>
      </c>
      <c r="G74" s="12">
        <f t="shared" si="5"/>
        <v>1584</v>
      </c>
      <c r="H74" s="13">
        <v>28</v>
      </c>
      <c r="I74" s="13">
        <f t="shared" si="7"/>
        <v>1344</v>
      </c>
      <c r="J74" s="8">
        <f t="shared" si="8"/>
        <v>240</v>
      </c>
      <c r="K74" s="10">
        <v>14</v>
      </c>
      <c r="L74" s="11" t="s">
        <v>27</v>
      </c>
      <c r="M74" s="30" t="s">
        <v>21</v>
      </c>
      <c r="N74" s="33">
        <f t="shared" si="9"/>
        <v>0.15151515151515152</v>
      </c>
    </row>
    <row r="75" spans="1:19">
      <c r="A75" t="str">
        <f t="shared" si="6"/>
        <v>2011-03</v>
      </c>
      <c r="B75" s="9">
        <v>40605.645740740743</v>
      </c>
      <c r="C75" s="10">
        <v>4</v>
      </c>
      <c r="D75" s="11" t="s">
        <v>44</v>
      </c>
      <c r="E75" s="10">
        <v>41</v>
      </c>
      <c r="F75" s="12">
        <v>9</v>
      </c>
      <c r="G75" s="12">
        <f t="shared" si="5"/>
        <v>369</v>
      </c>
      <c r="H75" s="13">
        <v>7</v>
      </c>
      <c r="I75" s="13">
        <f t="shared" si="7"/>
        <v>287</v>
      </c>
      <c r="J75" s="8">
        <f t="shared" si="8"/>
        <v>82</v>
      </c>
      <c r="K75" s="10">
        <v>572</v>
      </c>
      <c r="L75" s="11" t="s">
        <v>31</v>
      </c>
      <c r="M75" s="30" t="s">
        <v>25</v>
      </c>
      <c r="N75" s="33">
        <f t="shared" si="9"/>
        <v>0.22222222222222221</v>
      </c>
    </row>
    <row r="76" spans="1:19">
      <c r="A76" t="str">
        <f t="shared" si="6"/>
        <v>2011-03</v>
      </c>
      <c r="B76" s="9">
        <v>40605.797488425924</v>
      </c>
      <c r="C76" s="10">
        <v>19</v>
      </c>
      <c r="D76" s="11" t="s">
        <v>47</v>
      </c>
      <c r="E76" s="10">
        <v>64</v>
      </c>
      <c r="F76" s="12">
        <v>36</v>
      </c>
      <c r="G76" s="12">
        <f t="shared" si="5"/>
        <v>2304</v>
      </c>
      <c r="H76" s="13">
        <v>25</v>
      </c>
      <c r="I76" s="13">
        <f t="shared" si="7"/>
        <v>1600</v>
      </c>
      <c r="J76" s="8">
        <f t="shared" si="8"/>
        <v>704</v>
      </c>
      <c r="K76" s="10">
        <v>6</v>
      </c>
      <c r="L76" s="11" t="s">
        <v>33</v>
      </c>
      <c r="M76" s="30" t="s">
        <v>21</v>
      </c>
      <c r="N76" s="33">
        <f t="shared" si="9"/>
        <v>0.30555555555555558</v>
      </c>
    </row>
    <row r="77" spans="1:19" ht="15.75" customHeight="1">
      <c r="A77" t="str">
        <f t="shared" si="6"/>
        <v>2011-03</v>
      </c>
      <c r="B77" s="9">
        <v>40605.97246527778</v>
      </c>
      <c r="C77" s="10">
        <v>31</v>
      </c>
      <c r="D77" s="11" t="s">
        <v>46</v>
      </c>
      <c r="E77" s="10">
        <v>33</v>
      </c>
      <c r="F77" s="12">
        <v>21</v>
      </c>
      <c r="G77" s="12">
        <f t="shared" si="5"/>
        <v>693</v>
      </c>
      <c r="H77" s="13">
        <v>12</v>
      </c>
      <c r="I77" s="13">
        <f t="shared" si="7"/>
        <v>396</v>
      </c>
      <c r="J77" s="8">
        <f t="shared" si="8"/>
        <v>297</v>
      </c>
      <c r="K77" s="10">
        <v>6</v>
      </c>
      <c r="L77" s="11" t="s">
        <v>33</v>
      </c>
      <c r="M77" s="30" t="s">
        <v>25</v>
      </c>
      <c r="N77" s="33">
        <f t="shared" si="9"/>
        <v>0.42857142857142855</v>
      </c>
    </row>
    <row r="78" spans="1:19" ht="15.75" customHeight="1">
      <c r="A78" t="str">
        <f t="shared" si="6"/>
        <v>2011-03</v>
      </c>
      <c r="B78" s="9">
        <v>40606.005798611113</v>
      </c>
      <c r="C78" s="10">
        <v>16</v>
      </c>
      <c r="D78" s="11" t="s">
        <v>20</v>
      </c>
      <c r="E78" s="10">
        <v>66</v>
      </c>
      <c r="F78" s="12">
        <v>15</v>
      </c>
      <c r="G78" s="12">
        <f t="shared" si="5"/>
        <v>990</v>
      </c>
      <c r="H78" s="13">
        <v>14</v>
      </c>
      <c r="I78" s="13">
        <f t="shared" si="7"/>
        <v>924</v>
      </c>
      <c r="J78" s="8">
        <f t="shared" si="8"/>
        <v>66</v>
      </c>
      <c r="K78" s="10">
        <v>557</v>
      </c>
      <c r="L78" s="11" t="s">
        <v>36</v>
      </c>
      <c r="M78" s="30" t="s">
        <v>25</v>
      </c>
      <c r="N78" s="33">
        <f t="shared" si="9"/>
        <v>6.6666666666666666E-2</v>
      </c>
    </row>
    <row r="79" spans="1:19" ht="15.75" customHeight="1">
      <c r="A79" t="str">
        <f t="shared" si="6"/>
        <v>2011-03</v>
      </c>
      <c r="B79" s="9">
        <v>40606.406909722224</v>
      </c>
      <c r="C79" s="10">
        <v>22</v>
      </c>
      <c r="D79" s="11" t="s">
        <v>16</v>
      </c>
      <c r="E79" s="10">
        <v>92</v>
      </c>
      <c r="F79" s="12">
        <v>24</v>
      </c>
      <c r="G79" s="12">
        <f t="shared" si="5"/>
        <v>2208</v>
      </c>
      <c r="H79" s="13">
        <v>18</v>
      </c>
      <c r="I79" s="13">
        <f t="shared" si="7"/>
        <v>1656</v>
      </c>
      <c r="J79" s="8">
        <f t="shared" si="8"/>
        <v>552</v>
      </c>
      <c r="K79" s="10">
        <v>6</v>
      </c>
      <c r="L79" s="11" t="s">
        <v>33</v>
      </c>
      <c r="M79" s="30" t="s">
        <v>21</v>
      </c>
      <c r="N79" s="33">
        <f t="shared" si="9"/>
        <v>0.25</v>
      </c>
    </row>
    <row r="80" spans="1:19">
      <c r="A80" t="str">
        <f t="shared" si="6"/>
        <v>2011-03</v>
      </c>
      <c r="B80" s="9">
        <v>40606.565381944441</v>
      </c>
      <c r="C80" s="10">
        <v>2</v>
      </c>
      <c r="D80" s="11" t="s">
        <v>30</v>
      </c>
      <c r="E80" s="10">
        <v>32</v>
      </c>
      <c r="F80" s="12">
        <v>12</v>
      </c>
      <c r="G80" s="12">
        <f t="shared" si="5"/>
        <v>384</v>
      </c>
      <c r="H80" s="13">
        <v>6</v>
      </c>
      <c r="I80" s="13">
        <f t="shared" si="7"/>
        <v>192</v>
      </c>
      <c r="J80" s="8">
        <f t="shared" si="8"/>
        <v>192</v>
      </c>
      <c r="K80" s="10">
        <v>686</v>
      </c>
      <c r="L80" s="11" t="s">
        <v>56</v>
      </c>
      <c r="M80" s="30" t="s">
        <v>21</v>
      </c>
      <c r="N80" s="33">
        <f t="shared" si="9"/>
        <v>0.5</v>
      </c>
    </row>
    <row r="81" spans="1:23" ht="15" customHeight="1">
      <c r="A81" t="str">
        <f t="shared" si="6"/>
        <v>2011-03</v>
      </c>
      <c r="B81" s="9">
        <v>40606.968009259261</v>
      </c>
      <c r="C81" s="10">
        <v>4</v>
      </c>
      <c r="D81" s="11" t="s">
        <v>44</v>
      </c>
      <c r="E81" s="10">
        <v>17</v>
      </c>
      <c r="F81" s="12">
        <v>9</v>
      </c>
      <c r="G81" s="12">
        <f t="shared" si="5"/>
        <v>153</v>
      </c>
      <c r="H81" s="13">
        <v>7</v>
      </c>
      <c r="I81" s="13">
        <f t="shared" si="7"/>
        <v>119</v>
      </c>
      <c r="J81" s="8">
        <f t="shared" si="8"/>
        <v>34</v>
      </c>
      <c r="K81" s="10">
        <v>95</v>
      </c>
      <c r="L81" s="11" t="s">
        <v>34</v>
      </c>
      <c r="M81" s="30" t="s">
        <v>25</v>
      </c>
      <c r="N81" s="33">
        <f t="shared" si="9"/>
        <v>0.22222222222222221</v>
      </c>
      <c r="R81" s="49"/>
      <c r="S81" s="49"/>
      <c r="T81" s="49"/>
      <c r="U81" s="49"/>
      <c r="V81" s="49"/>
      <c r="W81" s="49"/>
    </row>
    <row r="82" spans="1:23">
      <c r="A82" t="str">
        <f t="shared" si="6"/>
        <v>2011-03</v>
      </c>
      <c r="B82" s="9">
        <v>40607.256620370368</v>
      </c>
      <c r="C82" s="10">
        <v>19</v>
      </c>
      <c r="D82" s="11" t="s">
        <v>47</v>
      </c>
      <c r="E82" s="10">
        <v>83</v>
      </c>
      <c r="F82" s="12">
        <v>36</v>
      </c>
      <c r="G82" s="12">
        <f t="shared" si="5"/>
        <v>2988</v>
      </c>
      <c r="H82" s="13">
        <v>25</v>
      </c>
      <c r="I82" s="13">
        <f t="shared" si="7"/>
        <v>2075</v>
      </c>
      <c r="J82" s="8">
        <f t="shared" si="8"/>
        <v>913</v>
      </c>
      <c r="K82" s="10">
        <v>23</v>
      </c>
      <c r="L82" s="11" t="s">
        <v>32</v>
      </c>
      <c r="M82" s="30" t="s">
        <v>25</v>
      </c>
      <c r="N82" s="33">
        <f t="shared" si="9"/>
        <v>0.30555555555555558</v>
      </c>
    </row>
    <row r="83" spans="1:23">
      <c r="A83" t="str">
        <f t="shared" si="6"/>
        <v>2011-03</v>
      </c>
      <c r="B83" s="9">
        <v>40608.070405092592</v>
      </c>
      <c r="C83" s="10">
        <v>30</v>
      </c>
      <c r="D83" s="11" t="s">
        <v>23</v>
      </c>
      <c r="E83" s="10">
        <v>89</v>
      </c>
      <c r="F83" s="12">
        <v>12</v>
      </c>
      <c r="G83" s="12">
        <f t="shared" si="5"/>
        <v>1068</v>
      </c>
      <c r="H83" s="13">
        <v>8</v>
      </c>
      <c r="I83" s="13">
        <f t="shared" si="7"/>
        <v>712</v>
      </c>
      <c r="J83" s="8">
        <f t="shared" si="8"/>
        <v>356</v>
      </c>
      <c r="K83" s="10">
        <v>846</v>
      </c>
      <c r="L83" s="11" t="s">
        <v>35</v>
      </c>
      <c r="M83" s="30" t="s">
        <v>25</v>
      </c>
      <c r="N83" s="33">
        <f t="shared" si="9"/>
        <v>0.33333333333333331</v>
      </c>
    </row>
    <row r="84" spans="1:23" ht="15">
      <c r="A84" t="str">
        <f t="shared" si="6"/>
        <v>2011-03</v>
      </c>
      <c r="B84" s="9">
        <v>40608.518379629626</v>
      </c>
      <c r="C84" s="10">
        <v>16</v>
      </c>
      <c r="D84" s="11" t="s">
        <v>20</v>
      </c>
      <c r="E84" s="10">
        <v>8</v>
      </c>
      <c r="F84" s="12">
        <v>15</v>
      </c>
      <c r="G84" s="12">
        <f t="shared" si="5"/>
        <v>120</v>
      </c>
      <c r="H84" s="13">
        <v>14</v>
      </c>
      <c r="I84" s="13">
        <f t="shared" si="7"/>
        <v>112</v>
      </c>
      <c r="J84" s="8">
        <f t="shared" si="8"/>
        <v>8</v>
      </c>
      <c r="K84" s="10">
        <v>6</v>
      </c>
      <c r="L84" s="11" t="s">
        <v>33</v>
      </c>
      <c r="M84" s="30" t="s">
        <v>21</v>
      </c>
      <c r="N84" s="33">
        <f t="shared" si="9"/>
        <v>6.6666666666666666E-2</v>
      </c>
      <c r="Q84" s="26" t="s">
        <v>74</v>
      </c>
    </row>
    <row r="85" spans="1:23">
      <c r="A85" t="str">
        <f t="shared" si="6"/>
        <v>2011-03</v>
      </c>
      <c r="B85" s="9">
        <v>40609.245937500003</v>
      </c>
      <c r="C85" s="10">
        <v>19</v>
      </c>
      <c r="D85" s="11" t="s">
        <v>47</v>
      </c>
      <c r="E85" s="10">
        <v>25</v>
      </c>
      <c r="F85" s="12">
        <v>36</v>
      </c>
      <c r="G85" s="12">
        <f t="shared" si="5"/>
        <v>900</v>
      </c>
      <c r="H85" s="13">
        <v>25</v>
      </c>
      <c r="I85" s="13">
        <f t="shared" si="7"/>
        <v>625</v>
      </c>
      <c r="J85" s="8">
        <f t="shared" si="8"/>
        <v>275</v>
      </c>
      <c r="K85" s="10">
        <v>572</v>
      </c>
      <c r="L85" s="11" t="s">
        <v>31</v>
      </c>
      <c r="M85" s="30" t="s">
        <v>25</v>
      </c>
      <c r="N85" s="33">
        <f t="shared" si="9"/>
        <v>0.30555555555555558</v>
      </c>
    </row>
    <row r="86" spans="1:23">
      <c r="A86" t="str">
        <f t="shared" si="6"/>
        <v>2011-03</v>
      </c>
      <c r="B86" s="9">
        <v>40609.498391203706</v>
      </c>
      <c r="C86" s="10">
        <v>16</v>
      </c>
      <c r="D86" s="11" t="s">
        <v>20</v>
      </c>
      <c r="E86" s="10">
        <v>5</v>
      </c>
      <c r="F86" s="12">
        <v>15</v>
      </c>
      <c r="G86" s="12">
        <f t="shared" si="5"/>
        <v>75</v>
      </c>
      <c r="H86" s="13">
        <v>14</v>
      </c>
      <c r="I86" s="13">
        <f t="shared" si="7"/>
        <v>70</v>
      </c>
      <c r="J86" s="8">
        <f t="shared" si="8"/>
        <v>5</v>
      </c>
      <c r="K86" s="10">
        <v>557</v>
      </c>
      <c r="L86" s="11" t="s">
        <v>36</v>
      </c>
      <c r="M86" s="30" t="s">
        <v>25</v>
      </c>
      <c r="N86" s="33">
        <f t="shared" si="9"/>
        <v>6.6666666666666666E-2</v>
      </c>
      <c r="Q86" t="s">
        <v>75</v>
      </c>
      <c r="R86" t="s">
        <v>76</v>
      </c>
    </row>
    <row r="87" spans="1:23">
      <c r="A87" t="str">
        <f t="shared" si="6"/>
        <v>2011-03</v>
      </c>
      <c r="B87" s="9">
        <v>40609.932268518518</v>
      </c>
      <c r="C87" s="10">
        <v>2</v>
      </c>
      <c r="D87" s="11" t="s">
        <v>30</v>
      </c>
      <c r="E87" s="10">
        <v>73</v>
      </c>
      <c r="F87" s="12">
        <v>12</v>
      </c>
      <c r="G87" s="12">
        <f t="shared" si="5"/>
        <v>876</v>
      </c>
      <c r="H87" s="13">
        <v>6</v>
      </c>
      <c r="I87" s="13">
        <f t="shared" si="7"/>
        <v>438</v>
      </c>
      <c r="J87" s="8">
        <f t="shared" si="8"/>
        <v>438</v>
      </c>
      <c r="K87" s="10">
        <v>14</v>
      </c>
      <c r="L87" s="11" t="s">
        <v>27</v>
      </c>
      <c r="M87" s="30" t="s">
        <v>21</v>
      </c>
      <c r="N87" s="33">
        <f t="shared" si="9"/>
        <v>0.5</v>
      </c>
      <c r="Q87" t="s">
        <v>77</v>
      </c>
      <c r="R87" t="s">
        <v>25</v>
      </c>
      <c r="S87" t="s">
        <v>18</v>
      </c>
      <c r="T87" t="s">
        <v>21</v>
      </c>
      <c r="U87" t="s">
        <v>70</v>
      </c>
    </row>
    <row r="88" spans="1:23">
      <c r="A88" t="str">
        <f t="shared" si="6"/>
        <v>2011-03</v>
      </c>
      <c r="B88" s="9">
        <v>40610.269421296296</v>
      </c>
      <c r="C88" s="10">
        <v>16</v>
      </c>
      <c r="D88" s="11" t="s">
        <v>20</v>
      </c>
      <c r="E88" s="10">
        <v>36</v>
      </c>
      <c r="F88" s="12">
        <v>15</v>
      </c>
      <c r="G88" s="12">
        <f t="shared" si="5"/>
        <v>540</v>
      </c>
      <c r="H88" s="13">
        <v>14</v>
      </c>
      <c r="I88" s="13">
        <f t="shared" si="7"/>
        <v>504</v>
      </c>
      <c r="J88" s="8">
        <f t="shared" si="8"/>
        <v>36</v>
      </c>
      <c r="K88" s="10">
        <v>557</v>
      </c>
      <c r="L88" s="11" t="s">
        <v>36</v>
      </c>
      <c r="M88" s="30" t="s">
        <v>18</v>
      </c>
      <c r="N88" s="33">
        <f t="shared" si="9"/>
        <v>6.6666666666666666E-2</v>
      </c>
      <c r="Q88" s="21" t="s">
        <v>78</v>
      </c>
      <c r="R88" s="22">
        <v>5985</v>
      </c>
      <c r="S88" s="22"/>
      <c r="T88" s="22"/>
      <c r="U88" s="22">
        <v>5985</v>
      </c>
    </row>
    <row r="89" spans="1:23">
      <c r="A89" t="str">
        <f t="shared" si="6"/>
        <v>2011-03</v>
      </c>
      <c r="B89" s="9">
        <v>40610.351481481484</v>
      </c>
      <c r="C89" s="10">
        <v>4</v>
      </c>
      <c r="D89" s="11" t="s">
        <v>44</v>
      </c>
      <c r="E89" s="10">
        <v>16</v>
      </c>
      <c r="F89" s="12">
        <v>9</v>
      </c>
      <c r="G89" s="12">
        <f t="shared" si="5"/>
        <v>144</v>
      </c>
      <c r="H89" s="13">
        <v>7</v>
      </c>
      <c r="I89" s="13">
        <f t="shared" si="7"/>
        <v>112</v>
      </c>
      <c r="J89" s="8">
        <f t="shared" si="8"/>
        <v>32</v>
      </c>
      <c r="K89" s="10">
        <v>846</v>
      </c>
      <c r="L89" s="11" t="s">
        <v>35</v>
      </c>
      <c r="M89" s="30" t="s">
        <v>21</v>
      </c>
      <c r="N89" s="33">
        <f t="shared" si="9"/>
        <v>0.22222222222222221</v>
      </c>
      <c r="Q89" s="21" t="s">
        <v>79</v>
      </c>
      <c r="R89" s="22">
        <v>14766</v>
      </c>
      <c r="S89" s="22">
        <v>2236</v>
      </c>
      <c r="T89" s="22">
        <v>8340</v>
      </c>
      <c r="U89" s="22">
        <v>25342</v>
      </c>
    </row>
    <row r="90" spans="1:23">
      <c r="A90" t="str">
        <f t="shared" si="6"/>
        <v>2011-03</v>
      </c>
      <c r="B90" s="9">
        <v>40612.173148148147</v>
      </c>
      <c r="C90" s="10">
        <v>39</v>
      </c>
      <c r="D90" s="11" t="s">
        <v>37</v>
      </c>
      <c r="E90" s="10">
        <v>33</v>
      </c>
      <c r="F90" s="12">
        <v>33</v>
      </c>
      <c r="G90" s="12">
        <f t="shared" si="5"/>
        <v>1089</v>
      </c>
      <c r="H90" s="13">
        <v>28</v>
      </c>
      <c r="I90" s="13">
        <f t="shared" si="7"/>
        <v>924</v>
      </c>
      <c r="J90" s="8">
        <f t="shared" si="8"/>
        <v>165</v>
      </c>
      <c r="K90" s="10">
        <v>572</v>
      </c>
      <c r="L90" s="11" t="s">
        <v>31</v>
      </c>
      <c r="M90" s="30" t="s">
        <v>25</v>
      </c>
      <c r="N90" s="33">
        <f t="shared" si="9"/>
        <v>0.15151515151515152</v>
      </c>
      <c r="Q90" s="21" t="s">
        <v>80</v>
      </c>
      <c r="R90" s="22">
        <v>16404</v>
      </c>
      <c r="S90" s="22">
        <v>937</v>
      </c>
      <c r="T90" s="22">
        <v>12996</v>
      </c>
      <c r="U90" s="22">
        <v>30337</v>
      </c>
    </row>
    <row r="91" spans="1:23">
      <c r="A91" t="str">
        <f t="shared" si="6"/>
        <v>2011-03</v>
      </c>
      <c r="B91" s="9">
        <v>40612.642685185187</v>
      </c>
      <c r="C91" s="10">
        <v>30</v>
      </c>
      <c r="D91" s="11" t="s">
        <v>23</v>
      </c>
      <c r="E91" s="10">
        <v>90</v>
      </c>
      <c r="F91" s="12">
        <v>12</v>
      </c>
      <c r="G91" s="12">
        <f t="shared" si="5"/>
        <v>1080</v>
      </c>
      <c r="H91" s="13">
        <v>8</v>
      </c>
      <c r="I91" s="13">
        <f t="shared" si="7"/>
        <v>720</v>
      </c>
      <c r="J91" s="8">
        <f t="shared" si="8"/>
        <v>360</v>
      </c>
      <c r="K91" s="10">
        <v>14</v>
      </c>
      <c r="L91" s="11" t="s">
        <v>27</v>
      </c>
      <c r="M91" s="30" t="s">
        <v>25</v>
      </c>
      <c r="N91" s="33">
        <f t="shared" si="9"/>
        <v>0.33333333333333331</v>
      </c>
      <c r="Q91" s="21" t="s">
        <v>81</v>
      </c>
      <c r="R91" s="22">
        <v>19424</v>
      </c>
      <c r="S91" s="22">
        <v>2472</v>
      </c>
      <c r="T91" s="22">
        <v>18746</v>
      </c>
      <c r="U91" s="22">
        <v>40642</v>
      </c>
    </row>
    <row r="92" spans="1:23">
      <c r="A92" t="str">
        <f t="shared" si="6"/>
        <v>2011-03</v>
      </c>
      <c r="B92" s="9">
        <v>40612.886967592596</v>
      </c>
      <c r="C92" s="10">
        <v>16</v>
      </c>
      <c r="D92" s="11" t="s">
        <v>20</v>
      </c>
      <c r="E92" s="10">
        <v>74</v>
      </c>
      <c r="F92" s="12">
        <v>15</v>
      </c>
      <c r="G92" s="12">
        <f t="shared" si="5"/>
        <v>1110</v>
      </c>
      <c r="H92" s="13">
        <v>14</v>
      </c>
      <c r="I92" s="13">
        <f t="shared" si="7"/>
        <v>1036</v>
      </c>
      <c r="J92" s="8">
        <f t="shared" si="8"/>
        <v>74</v>
      </c>
      <c r="K92" s="10">
        <v>95</v>
      </c>
      <c r="L92" s="11" t="s">
        <v>34</v>
      </c>
      <c r="M92" s="30" t="s">
        <v>21</v>
      </c>
      <c r="N92" s="33">
        <f t="shared" si="9"/>
        <v>6.6666666666666666E-2</v>
      </c>
      <c r="Q92" s="21" t="s">
        <v>82</v>
      </c>
      <c r="R92" s="22">
        <v>20703</v>
      </c>
      <c r="S92" s="22">
        <v>5493</v>
      </c>
      <c r="T92" s="22">
        <v>16427</v>
      </c>
      <c r="U92" s="22">
        <v>42623</v>
      </c>
    </row>
    <row r="93" spans="1:23">
      <c r="A93" t="str">
        <f t="shared" si="6"/>
        <v>2011-03</v>
      </c>
      <c r="B93" s="9">
        <v>40613.161215277774</v>
      </c>
      <c r="C93" s="10">
        <v>16</v>
      </c>
      <c r="D93" s="11" t="s">
        <v>20</v>
      </c>
      <c r="E93" s="10">
        <v>72</v>
      </c>
      <c r="F93" s="12">
        <v>15</v>
      </c>
      <c r="G93" s="12">
        <f t="shared" si="5"/>
        <v>1080</v>
      </c>
      <c r="H93" s="13">
        <v>14</v>
      </c>
      <c r="I93" s="13">
        <f t="shared" si="7"/>
        <v>1008</v>
      </c>
      <c r="J93" s="8">
        <f t="shared" si="8"/>
        <v>72</v>
      </c>
      <c r="K93" s="10">
        <v>557</v>
      </c>
      <c r="L93" s="11" t="s">
        <v>36</v>
      </c>
      <c r="M93" s="30" t="s">
        <v>21</v>
      </c>
      <c r="N93" s="33">
        <f t="shared" si="9"/>
        <v>6.6666666666666666E-2</v>
      </c>
      <c r="Q93" s="21" t="s">
        <v>83</v>
      </c>
      <c r="R93" s="22">
        <v>39185</v>
      </c>
      <c r="S93" s="22"/>
      <c r="T93" s="22">
        <v>8897</v>
      </c>
      <c r="U93" s="22">
        <v>48082</v>
      </c>
    </row>
    <row r="94" spans="1:23">
      <c r="A94" t="str">
        <f t="shared" si="6"/>
        <v>2011-03</v>
      </c>
      <c r="B94" s="9">
        <v>40613.747731481482</v>
      </c>
      <c r="C94" s="10">
        <v>4</v>
      </c>
      <c r="D94" s="11" t="s">
        <v>44</v>
      </c>
      <c r="E94" s="10">
        <v>53</v>
      </c>
      <c r="F94" s="12">
        <v>9</v>
      </c>
      <c r="G94" s="12">
        <f t="shared" si="5"/>
        <v>477</v>
      </c>
      <c r="H94" s="13">
        <v>7</v>
      </c>
      <c r="I94" s="13">
        <f t="shared" si="7"/>
        <v>371</v>
      </c>
      <c r="J94" s="8">
        <f t="shared" si="8"/>
        <v>106</v>
      </c>
      <c r="K94" s="10">
        <v>23</v>
      </c>
      <c r="L94" s="11" t="s">
        <v>32</v>
      </c>
      <c r="M94" s="30" t="s">
        <v>25</v>
      </c>
      <c r="N94" s="33">
        <f t="shared" si="9"/>
        <v>0.22222222222222221</v>
      </c>
      <c r="Q94" s="21" t="s">
        <v>84</v>
      </c>
      <c r="R94" s="22">
        <v>14381</v>
      </c>
      <c r="S94" s="22">
        <v>2536</v>
      </c>
      <c r="T94" s="22">
        <v>19728</v>
      </c>
      <c r="U94" s="22">
        <v>36645</v>
      </c>
    </row>
    <row r="95" spans="1:23">
      <c r="A95" t="str">
        <f t="shared" si="6"/>
        <v>2011-03</v>
      </c>
      <c r="B95" s="9">
        <v>40614.796851851854</v>
      </c>
      <c r="C95" s="10">
        <v>30</v>
      </c>
      <c r="D95" s="11" t="s">
        <v>23</v>
      </c>
      <c r="E95" s="10">
        <v>59</v>
      </c>
      <c r="F95" s="12">
        <v>12</v>
      </c>
      <c r="G95" s="12">
        <f t="shared" si="5"/>
        <v>708</v>
      </c>
      <c r="H95" s="13">
        <v>8</v>
      </c>
      <c r="I95" s="13">
        <f t="shared" si="7"/>
        <v>472</v>
      </c>
      <c r="J95" s="8">
        <f t="shared" si="8"/>
        <v>236</v>
      </c>
      <c r="K95" s="10">
        <v>6</v>
      </c>
      <c r="L95" s="11" t="s">
        <v>33</v>
      </c>
      <c r="M95" s="30" t="s">
        <v>25</v>
      </c>
      <c r="N95" s="33">
        <f t="shared" si="9"/>
        <v>0.33333333333333331</v>
      </c>
      <c r="Q95" s="21" t="s">
        <v>85</v>
      </c>
      <c r="R95" s="22">
        <v>20089</v>
      </c>
      <c r="S95" s="22">
        <v>1557</v>
      </c>
      <c r="T95" s="22">
        <v>17471</v>
      </c>
      <c r="U95" s="22">
        <v>39117</v>
      </c>
    </row>
    <row r="96" spans="1:23">
      <c r="A96" t="str">
        <f t="shared" si="6"/>
        <v>2011-03</v>
      </c>
      <c r="B96" s="9">
        <v>40615.313564814816</v>
      </c>
      <c r="C96" s="10">
        <v>31</v>
      </c>
      <c r="D96" s="11" t="s">
        <v>46</v>
      </c>
      <c r="E96" s="10">
        <v>71</v>
      </c>
      <c r="F96" s="12">
        <v>21</v>
      </c>
      <c r="G96" s="12">
        <f t="shared" si="5"/>
        <v>1491</v>
      </c>
      <c r="H96" s="13">
        <v>12</v>
      </c>
      <c r="I96" s="13">
        <f t="shared" si="7"/>
        <v>852</v>
      </c>
      <c r="J96" s="8">
        <f t="shared" si="8"/>
        <v>639</v>
      </c>
      <c r="K96" s="10">
        <v>557</v>
      </c>
      <c r="L96" s="11" t="s">
        <v>36</v>
      </c>
      <c r="M96" s="30" t="s">
        <v>21</v>
      </c>
      <c r="N96" s="33">
        <f t="shared" si="9"/>
        <v>0.42857142857142855</v>
      </c>
      <c r="Q96" s="21" t="s">
        <v>86</v>
      </c>
      <c r="R96" s="22">
        <v>14193</v>
      </c>
      <c r="S96" s="22">
        <v>1140</v>
      </c>
      <c r="T96" s="22">
        <v>9387</v>
      </c>
      <c r="U96" s="22">
        <v>24720</v>
      </c>
    </row>
    <row r="97" spans="1:27">
      <c r="A97" t="str">
        <f t="shared" si="6"/>
        <v>2011-03</v>
      </c>
      <c r="B97" s="9">
        <v>40615.735925925925</v>
      </c>
      <c r="C97" s="10">
        <v>16</v>
      </c>
      <c r="D97" s="11" t="s">
        <v>20</v>
      </c>
      <c r="E97" s="10">
        <v>9</v>
      </c>
      <c r="F97" s="12">
        <v>15</v>
      </c>
      <c r="G97" s="12">
        <f t="shared" si="5"/>
        <v>135</v>
      </c>
      <c r="H97" s="13">
        <v>14</v>
      </c>
      <c r="I97" s="13">
        <f t="shared" si="7"/>
        <v>126</v>
      </c>
      <c r="J97" s="8">
        <f t="shared" si="8"/>
        <v>9</v>
      </c>
      <c r="K97" s="10">
        <v>572</v>
      </c>
      <c r="L97" s="11" t="s">
        <v>31</v>
      </c>
      <c r="M97" s="30" t="s">
        <v>25</v>
      </c>
      <c r="N97" s="33">
        <f t="shared" si="9"/>
        <v>6.6666666666666666E-2</v>
      </c>
      <c r="Q97" s="21" t="s">
        <v>87</v>
      </c>
      <c r="R97" s="22">
        <v>24221</v>
      </c>
      <c r="S97" s="22">
        <v>2660</v>
      </c>
      <c r="T97" s="22">
        <v>8437</v>
      </c>
      <c r="U97" s="22">
        <v>35318</v>
      </c>
    </row>
    <row r="98" spans="1:27">
      <c r="A98" t="str">
        <f t="shared" si="6"/>
        <v>2011-03</v>
      </c>
      <c r="B98" s="9">
        <v>40616.308761574073</v>
      </c>
      <c r="C98" s="10">
        <v>39</v>
      </c>
      <c r="D98" s="11" t="s">
        <v>37</v>
      </c>
      <c r="E98" s="10">
        <v>95</v>
      </c>
      <c r="F98" s="12">
        <v>33</v>
      </c>
      <c r="G98" s="12">
        <f t="shared" si="5"/>
        <v>3135</v>
      </c>
      <c r="H98" s="13">
        <v>28</v>
      </c>
      <c r="I98" s="13">
        <f t="shared" si="7"/>
        <v>2660</v>
      </c>
      <c r="J98" s="8">
        <f t="shared" si="8"/>
        <v>475</v>
      </c>
      <c r="K98" s="10">
        <v>95</v>
      </c>
      <c r="L98" s="11" t="s">
        <v>34</v>
      </c>
      <c r="M98" s="30" t="s">
        <v>25</v>
      </c>
      <c r="N98" s="33">
        <f t="shared" si="9"/>
        <v>0.15151515151515152</v>
      </c>
      <c r="Q98" s="21" t="s">
        <v>88</v>
      </c>
      <c r="R98" s="22">
        <v>23534</v>
      </c>
      <c r="S98" s="22">
        <v>5046</v>
      </c>
      <c r="T98" s="22">
        <v>16985</v>
      </c>
      <c r="U98" s="22">
        <v>45565</v>
      </c>
    </row>
    <row r="99" spans="1:27">
      <c r="A99" t="str">
        <f t="shared" si="6"/>
        <v>2011-03</v>
      </c>
      <c r="B99" s="9">
        <v>40617.256319444445</v>
      </c>
      <c r="C99" s="10">
        <v>16</v>
      </c>
      <c r="D99" s="11" t="s">
        <v>20</v>
      </c>
      <c r="E99" s="10">
        <v>72</v>
      </c>
      <c r="F99" s="12">
        <v>15</v>
      </c>
      <c r="G99" s="12">
        <f t="shared" si="5"/>
        <v>1080</v>
      </c>
      <c r="H99" s="13">
        <v>14</v>
      </c>
      <c r="I99" s="13">
        <f t="shared" si="7"/>
        <v>1008</v>
      </c>
      <c r="J99" s="8">
        <f t="shared" si="8"/>
        <v>72</v>
      </c>
      <c r="K99" s="10">
        <v>23</v>
      </c>
      <c r="L99" s="11" t="s">
        <v>32</v>
      </c>
      <c r="M99" s="30" t="s">
        <v>21</v>
      </c>
      <c r="N99" s="33">
        <f t="shared" si="9"/>
        <v>6.6666666666666666E-2</v>
      </c>
      <c r="Q99" s="21" t="s">
        <v>89</v>
      </c>
      <c r="R99" s="22">
        <v>7980</v>
      </c>
      <c r="S99" s="22">
        <v>2232</v>
      </c>
      <c r="T99" s="22">
        <v>12798</v>
      </c>
      <c r="U99" s="22">
        <v>23010</v>
      </c>
    </row>
    <row r="100" spans="1:27">
      <c r="A100" t="str">
        <f t="shared" si="6"/>
        <v>2011-03</v>
      </c>
      <c r="B100" s="9">
        <v>40617.35738425926</v>
      </c>
      <c r="C100" s="10">
        <v>100</v>
      </c>
      <c r="D100" s="11" t="s">
        <v>40</v>
      </c>
      <c r="E100" s="10">
        <v>39</v>
      </c>
      <c r="F100" s="12">
        <v>8</v>
      </c>
      <c r="G100" s="12">
        <f t="shared" si="5"/>
        <v>312</v>
      </c>
      <c r="H100" s="13">
        <v>4</v>
      </c>
      <c r="I100" s="13">
        <f t="shared" si="7"/>
        <v>156</v>
      </c>
      <c r="J100" s="8">
        <f t="shared" si="8"/>
        <v>156</v>
      </c>
      <c r="K100" s="10">
        <v>95</v>
      </c>
      <c r="L100" s="11" t="s">
        <v>34</v>
      </c>
      <c r="M100" s="30" t="s">
        <v>25</v>
      </c>
      <c r="N100" s="33">
        <f t="shared" si="9"/>
        <v>0.5</v>
      </c>
      <c r="Q100" s="21" t="s">
        <v>90</v>
      </c>
      <c r="R100" s="22">
        <v>20820</v>
      </c>
      <c r="S100" s="22">
        <v>5725</v>
      </c>
      <c r="T100" s="22">
        <v>8838</v>
      </c>
      <c r="U100" s="22">
        <v>35383</v>
      </c>
    </row>
    <row r="101" spans="1:27">
      <c r="A101" t="str">
        <f t="shared" si="6"/>
        <v>2011-03</v>
      </c>
      <c r="B101" s="9">
        <v>40618.464421296296</v>
      </c>
      <c r="C101" s="10">
        <v>16</v>
      </c>
      <c r="D101" s="11" t="s">
        <v>20</v>
      </c>
      <c r="E101" s="10">
        <v>68</v>
      </c>
      <c r="F101" s="12">
        <v>15</v>
      </c>
      <c r="G101" s="12">
        <f t="shared" si="5"/>
        <v>1020</v>
      </c>
      <c r="H101" s="13">
        <v>14</v>
      </c>
      <c r="I101" s="13">
        <f t="shared" si="7"/>
        <v>952</v>
      </c>
      <c r="J101" s="8">
        <f t="shared" si="8"/>
        <v>68</v>
      </c>
      <c r="K101" s="10">
        <v>6</v>
      </c>
      <c r="L101" s="11" t="s">
        <v>33</v>
      </c>
      <c r="M101" s="30" t="s">
        <v>21</v>
      </c>
      <c r="N101" s="33">
        <f t="shared" si="9"/>
        <v>6.6666666666666666E-2</v>
      </c>
      <c r="Q101" s="21" t="s">
        <v>70</v>
      </c>
      <c r="R101" s="22">
        <v>241685</v>
      </c>
      <c r="S101" s="22">
        <v>32034</v>
      </c>
      <c r="T101" s="22">
        <v>159050</v>
      </c>
      <c r="U101" s="22">
        <v>432769</v>
      </c>
    </row>
    <row r="102" spans="1:27">
      <c r="A102" t="str">
        <f t="shared" si="6"/>
        <v>2011-03</v>
      </c>
      <c r="B102" s="9">
        <v>40618.887129629627</v>
      </c>
      <c r="C102" s="10">
        <v>16</v>
      </c>
      <c r="D102" s="11" t="s">
        <v>20</v>
      </c>
      <c r="E102" s="10">
        <v>38</v>
      </c>
      <c r="F102" s="12">
        <v>15</v>
      </c>
      <c r="G102" s="12">
        <f t="shared" si="5"/>
        <v>570</v>
      </c>
      <c r="H102" s="13">
        <v>14</v>
      </c>
      <c r="I102" s="13">
        <f t="shared" si="7"/>
        <v>532</v>
      </c>
      <c r="J102" s="8">
        <f t="shared" si="8"/>
        <v>38</v>
      </c>
      <c r="K102" s="10">
        <v>6</v>
      </c>
      <c r="L102" s="11" t="s">
        <v>33</v>
      </c>
      <c r="M102" s="30" t="s">
        <v>25</v>
      </c>
      <c r="N102" s="33">
        <f t="shared" si="9"/>
        <v>6.6666666666666666E-2</v>
      </c>
    </row>
    <row r="103" spans="1:27">
      <c r="A103" t="str">
        <f t="shared" si="6"/>
        <v>2011-03</v>
      </c>
      <c r="B103" s="9">
        <v>40619.92732638889</v>
      </c>
      <c r="C103" s="10">
        <v>4</v>
      </c>
      <c r="D103" s="11" t="s">
        <v>44</v>
      </c>
      <c r="E103" s="10">
        <v>87</v>
      </c>
      <c r="F103" s="12">
        <v>9</v>
      </c>
      <c r="G103" s="12">
        <f t="shared" si="5"/>
        <v>783</v>
      </c>
      <c r="H103" s="13">
        <v>7</v>
      </c>
      <c r="I103" s="13">
        <f t="shared" si="7"/>
        <v>609</v>
      </c>
      <c r="J103" s="8">
        <f t="shared" si="8"/>
        <v>174</v>
      </c>
      <c r="K103" s="10">
        <v>846</v>
      </c>
      <c r="L103" s="11" t="s">
        <v>35</v>
      </c>
      <c r="M103" s="30" t="s">
        <v>25</v>
      </c>
      <c r="N103" s="33">
        <f t="shared" si="9"/>
        <v>0.22222222222222221</v>
      </c>
    </row>
    <row r="104" spans="1:27">
      <c r="A104" t="str">
        <f t="shared" si="6"/>
        <v>2011-03</v>
      </c>
      <c r="B104" s="9">
        <v>40621.997743055559</v>
      </c>
      <c r="C104" s="10">
        <v>30</v>
      </c>
      <c r="D104" s="11" t="s">
        <v>23</v>
      </c>
      <c r="E104" s="10">
        <v>54</v>
      </c>
      <c r="F104" s="12">
        <v>12</v>
      </c>
      <c r="G104" s="12">
        <f t="shared" si="5"/>
        <v>648</v>
      </c>
      <c r="H104" s="13">
        <v>8</v>
      </c>
      <c r="I104" s="13">
        <f t="shared" si="7"/>
        <v>432</v>
      </c>
      <c r="J104" s="8">
        <f t="shared" si="8"/>
        <v>216</v>
      </c>
      <c r="K104" s="10">
        <v>95</v>
      </c>
      <c r="L104" s="11" t="s">
        <v>34</v>
      </c>
      <c r="M104" s="30" t="s">
        <v>25</v>
      </c>
      <c r="N104" s="33">
        <f t="shared" si="9"/>
        <v>0.33333333333333331</v>
      </c>
    </row>
    <row r="105" spans="1:27">
      <c r="A105" t="str">
        <f t="shared" si="6"/>
        <v>2011-03</v>
      </c>
      <c r="B105" s="9">
        <v>40622.334374999999</v>
      </c>
      <c r="C105" s="10">
        <v>31</v>
      </c>
      <c r="D105" s="11" t="s">
        <v>46</v>
      </c>
      <c r="E105" s="10">
        <v>85</v>
      </c>
      <c r="F105" s="12">
        <v>21</v>
      </c>
      <c r="G105" s="12">
        <f t="shared" si="5"/>
        <v>1785</v>
      </c>
      <c r="H105" s="13">
        <v>12</v>
      </c>
      <c r="I105" s="13">
        <f t="shared" si="7"/>
        <v>1020</v>
      </c>
      <c r="J105" s="8">
        <f t="shared" si="8"/>
        <v>765</v>
      </c>
      <c r="K105" s="10">
        <v>95</v>
      </c>
      <c r="L105" s="11" t="s">
        <v>34</v>
      </c>
      <c r="M105" s="30" t="s">
        <v>25</v>
      </c>
      <c r="N105" s="33">
        <f t="shared" si="9"/>
        <v>0.42857142857142855</v>
      </c>
      <c r="Q105" s="20" t="s">
        <v>12</v>
      </c>
      <c r="R105" s="36" t="s">
        <v>72</v>
      </c>
      <c r="S105" s="36" t="s">
        <v>42</v>
      </c>
    </row>
    <row r="106" spans="1:27" ht="15.75" customHeight="1">
      <c r="A106" t="str">
        <f t="shared" si="6"/>
        <v>2011-03</v>
      </c>
      <c r="B106" s="9">
        <v>40624.028495370374</v>
      </c>
      <c r="C106" s="10">
        <v>19</v>
      </c>
      <c r="D106" s="11" t="s">
        <v>47</v>
      </c>
      <c r="E106" s="10">
        <v>1</v>
      </c>
      <c r="F106" s="12">
        <v>36</v>
      </c>
      <c r="G106" s="12">
        <f t="shared" si="5"/>
        <v>36</v>
      </c>
      <c r="H106" s="13">
        <v>25</v>
      </c>
      <c r="I106" s="13">
        <f t="shared" si="7"/>
        <v>25</v>
      </c>
      <c r="J106" s="8">
        <f t="shared" si="8"/>
        <v>11</v>
      </c>
      <c r="K106" s="10">
        <v>14</v>
      </c>
      <c r="L106" s="11" t="s">
        <v>27</v>
      </c>
      <c r="M106" s="30" t="s">
        <v>25</v>
      </c>
      <c r="N106" s="33">
        <f t="shared" si="9"/>
        <v>0.30555555555555558</v>
      </c>
      <c r="Q106" s="21" t="s">
        <v>25</v>
      </c>
      <c r="R106" s="22">
        <v>241685</v>
      </c>
      <c r="S106" s="19">
        <v>0.29460822510822554</v>
      </c>
      <c r="V106" s="46" t="s">
        <v>91</v>
      </c>
      <c r="W106" s="47"/>
      <c r="X106" s="47"/>
      <c r="Y106" s="47"/>
      <c r="Z106" s="47"/>
      <c r="AA106" s="47"/>
    </row>
    <row r="107" spans="1:27">
      <c r="A107" t="str">
        <f t="shared" si="6"/>
        <v>2011-03</v>
      </c>
      <c r="B107" s="9">
        <v>40625.13385416667</v>
      </c>
      <c r="C107" s="10">
        <v>4</v>
      </c>
      <c r="D107" s="11" t="s">
        <v>44</v>
      </c>
      <c r="E107" s="10">
        <v>93</v>
      </c>
      <c r="F107" s="12">
        <v>9</v>
      </c>
      <c r="G107" s="12">
        <f t="shared" si="5"/>
        <v>837</v>
      </c>
      <c r="H107" s="13">
        <v>7</v>
      </c>
      <c r="I107" s="13">
        <f t="shared" si="7"/>
        <v>651</v>
      </c>
      <c r="J107" s="8">
        <f t="shared" si="8"/>
        <v>186</v>
      </c>
      <c r="K107" s="10">
        <v>557</v>
      </c>
      <c r="L107" s="11" t="s">
        <v>36</v>
      </c>
      <c r="M107" s="30" t="s">
        <v>25</v>
      </c>
      <c r="N107" s="33">
        <f t="shared" si="9"/>
        <v>0.22222222222222221</v>
      </c>
      <c r="Q107" s="21" t="s">
        <v>21</v>
      </c>
      <c r="R107" s="22">
        <v>159050</v>
      </c>
      <c r="S107" s="19">
        <v>0.31005571372822066</v>
      </c>
      <c r="V107" s="42" t="s">
        <v>92</v>
      </c>
    </row>
    <row r="108" spans="1:27">
      <c r="A108" t="str">
        <f t="shared" si="6"/>
        <v>2011-03</v>
      </c>
      <c r="B108" s="9">
        <v>40626.598298611112</v>
      </c>
      <c r="C108" s="10">
        <v>85</v>
      </c>
      <c r="D108" s="11" t="s">
        <v>38</v>
      </c>
      <c r="E108" s="10">
        <v>41</v>
      </c>
      <c r="F108" s="12">
        <v>53</v>
      </c>
      <c r="G108" s="12">
        <f t="shared" si="5"/>
        <v>2173</v>
      </c>
      <c r="H108" s="13">
        <v>35</v>
      </c>
      <c r="I108" s="13">
        <f t="shared" si="7"/>
        <v>1435</v>
      </c>
      <c r="J108" s="8">
        <f t="shared" si="8"/>
        <v>738</v>
      </c>
      <c r="K108" s="10">
        <v>686</v>
      </c>
      <c r="L108" s="11" t="s">
        <v>56</v>
      </c>
      <c r="M108" s="30" t="s">
        <v>21</v>
      </c>
      <c r="N108" s="33">
        <f t="shared" si="9"/>
        <v>0.33962264150943394</v>
      </c>
      <c r="Q108" s="21" t="s">
        <v>18</v>
      </c>
      <c r="R108" s="22">
        <v>32034</v>
      </c>
      <c r="S108" s="19">
        <v>0.30821995464852608</v>
      </c>
      <c r="V108" s="42" t="s">
        <v>93</v>
      </c>
    </row>
    <row r="109" spans="1:27">
      <c r="A109" t="str">
        <f t="shared" si="6"/>
        <v>2011-03</v>
      </c>
      <c r="B109" s="9">
        <v>40629.102986111109</v>
      </c>
      <c r="C109" s="10">
        <v>100</v>
      </c>
      <c r="D109" s="11" t="s">
        <v>40</v>
      </c>
      <c r="E109" s="10">
        <v>95</v>
      </c>
      <c r="F109" s="12">
        <v>8</v>
      </c>
      <c r="G109" s="12">
        <f t="shared" si="5"/>
        <v>760</v>
      </c>
      <c r="H109" s="13">
        <v>4</v>
      </c>
      <c r="I109" s="13">
        <f t="shared" si="7"/>
        <v>380</v>
      </c>
      <c r="J109" s="8">
        <f t="shared" si="8"/>
        <v>380</v>
      </c>
      <c r="K109" s="10">
        <v>557</v>
      </c>
      <c r="L109" s="11" t="s">
        <v>36</v>
      </c>
      <c r="M109" s="30" t="s">
        <v>21</v>
      </c>
      <c r="N109" s="33">
        <f t="shared" si="9"/>
        <v>0.5</v>
      </c>
      <c r="Q109" s="21" t="s">
        <v>63</v>
      </c>
      <c r="R109" s="22">
        <v>432769</v>
      </c>
      <c r="S109" s="19">
        <v>0.30081777555695405</v>
      </c>
      <c r="V109" s="24" t="s">
        <v>94</v>
      </c>
    </row>
    <row r="110" spans="1:27">
      <c r="A110" t="str">
        <f t="shared" si="6"/>
        <v>2011-03</v>
      </c>
      <c r="B110" s="9">
        <v>40630.334224537037</v>
      </c>
      <c r="C110" s="10">
        <v>31</v>
      </c>
      <c r="D110" s="11" t="s">
        <v>46</v>
      </c>
      <c r="E110" s="10">
        <v>7</v>
      </c>
      <c r="F110" s="12">
        <v>21</v>
      </c>
      <c r="G110" s="12">
        <f t="shared" si="5"/>
        <v>147</v>
      </c>
      <c r="H110" s="13">
        <v>12</v>
      </c>
      <c r="I110" s="13">
        <f t="shared" si="7"/>
        <v>84</v>
      </c>
      <c r="J110" s="8">
        <f t="shared" si="8"/>
        <v>63</v>
      </c>
      <c r="K110" s="10">
        <v>23</v>
      </c>
      <c r="L110" s="11" t="s">
        <v>32</v>
      </c>
      <c r="M110" s="30" t="s">
        <v>21</v>
      </c>
      <c r="N110" s="33">
        <f t="shared" si="9"/>
        <v>0.42857142857142855</v>
      </c>
    </row>
    <row r="111" spans="1:27">
      <c r="A111" t="str">
        <f t="shared" si="6"/>
        <v>2011-03</v>
      </c>
      <c r="B111" s="9">
        <v>40630.858576388891</v>
      </c>
      <c r="C111" s="10">
        <v>31</v>
      </c>
      <c r="D111" s="11" t="s">
        <v>46</v>
      </c>
      <c r="E111" s="10">
        <v>92</v>
      </c>
      <c r="F111" s="12">
        <v>21</v>
      </c>
      <c r="G111" s="12">
        <f t="shared" si="5"/>
        <v>1932</v>
      </c>
      <c r="H111" s="13">
        <v>12</v>
      </c>
      <c r="I111" s="13">
        <f t="shared" si="7"/>
        <v>1104</v>
      </c>
      <c r="J111" s="8">
        <f t="shared" si="8"/>
        <v>828</v>
      </c>
      <c r="K111" s="10">
        <v>572</v>
      </c>
      <c r="L111" s="11" t="s">
        <v>31</v>
      </c>
      <c r="M111" s="30" t="s">
        <v>18</v>
      </c>
      <c r="N111" s="33">
        <f t="shared" si="9"/>
        <v>0.42857142857142855</v>
      </c>
      <c r="V111" s="46" t="s">
        <v>95</v>
      </c>
      <c r="W111" s="47"/>
      <c r="X111" s="47"/>
      <c r="Y111" s="47"/>
      <c r="Z111" s="47"/>
      <c r="AA111" s="47"/>
    </row>
    <row r="112" spans="1:27">
      <c r="A112" t="str">
        <f t="shared" si="6"/>
        <v>2011-03</v>
      </c>
      <c r="B112" s="9">
        <v>40631.394791666666</v>
      </c>
      <c r="C112" s="10">
        <v>85</v>
      </c>
      <c r="D112" s="11" t="s">
        <v>38</v>
      </c>
      <c r="E112" s="10">
        <v>30</v>
      </c>
      <c r="F112" s="12">
        <v>53</v>
      </c>
      <c r="G112" s="12">
        <f t="shared" si="5"/>
        <v>1590</v>
      </c>
      <c r="H112" s="13">
        <v>35</v>
      </c>
      <c r="I112" s="13">
        <f t="shared" si="7"/>
        <v>1050</v>
      </c>
      <c r="J112" s="8">
        <f t="shared" si="8"/>
        <v>540</v>
      </c>
      <c r="K112" s="10">
        <v>14</v>
      </c>
      <c r="L112" s="11" t="s">
        <v>27</v>
      </c>
      <c r="M112" s="30" t="s">
        <v>21</v>
      </c>
      <c r="N112" s="33">
        <f t="shared" si="9"/>
        <v>0.33962264150943394</v>
      </c>
      <c r="V112" s="24" t="s">
        <v>96</v>
      </c>
    </row>
    <row r="113" spans="1:27">
      <c r="A113" t="str">
        <f t="shared" si="6"/>
        <v>2011-03</v>
      </c>
      <c r="B113" s="9">
        <v>40632.408900462964</v>
      </c>
      <c r="C113" s="10">
        <v>4</v>
      </c>
      <c r="D113" s="11" t="s">
        <v>44</v>
      </c>
      <c r="E113" s="10">
        <v>38</v>
      </c>
      <c r="F113" s="12">
        <v>9</v>
      </c>
      <c r="G113" s="12">
        <f t="shared" si="5"/>
        <v>342</v>
      </c>
      <c r="H113" s="13">
        <v>7</v>
      </c>
      <c r="I113" s="13">
        <f t="shared" si="7"/>
        <v>266</v>
      </c>
      <c r="J113" s="8">
        <f t="shared" si="8"/>
        <v>76</v>
      </c>
      <c r="K113" s="10">
        <v>686</v>
      </c>
      <c r="L113" s="11" t="s">
        <v>56</v>
      </c>
      <c r="M113" s="30" t="s">
        <v>21</v>
      </c>
      <c r="N113" s="33">
        <f t="shared" si="9"/>
        <v>0.22222222222222221</v>
      </c>
      <c r="V113" s="24" t="s">
        <v>97</v>
      </c>
    </row>
    <row r="114" spans="1:27">
      <c r="A114" t="str">
        <f t="shared" si="6"/>
        <v>2011-03</v>
      </c>
      <c r="B114" s="9">
        <v>40633.005601851852</v>
      </c>
      <c r="C114" s="10">
        <v>31</v>
      </c>
      <c r="D114" s="11" t="s">
        <v>46</v>
      </c>
      <c r="E114" s="10">
        <v>21</v>
      </c>
      <c r="F114" s="12">
        <v>21</v>
      </c>
      <c r="G114" s="12">
        <f t="shared" si="5"/>
        <v>441</v>
      </c>
      <c r="H114" s="13">
        <v>12</v>
      </c>
      <c r="I114" s="13">
        <f t="shared" si="7"/>
        <v>252</v>
      </c>
      <c r="J114" s="8">
        <f t="shared" si="8"/>
        <v>189</v>
      </c>
      <c r="K114" s="10">
        <v>23</v>
      </c>
      <c r="L114" s="11" t="s">
        <v>32</v>
      </c>
      <c r="M114" s="30" t="s">
        <v>25</v>
      </c>
      <c r="N114" s="33">
        <f t="shared" si="9"/>
        <v>0.42857142857142855</v>
      </c>
      <c r="V114" s="24" t="s">
        <v>98</v>
      </c>
    </row>
    <row r="115" spans="1:27">
      <c r="A115" t="str">
        <f t="shared" si="6"/>
        <v>2011-04</v>
      </c>
      <c r="B115" s="9">
        <v>40634.657881944448</v>
      </c>
      <c r="C115" s="10">
        <v>100</v>
      </c>
      <c r="D115" s="11" t="s">
        <v>40</v>
      </c>
      <c r="E115" s="10">
        <v>95</v>
      </c>
      <c r="F115" s="12">
        <v>8</v>
      </c>
      <c r="G115" s="12">
        <f t="shared" si="5"/>
        <v>760</v>
      </c>
      <c r="H115" s="13">
        <v>4</v>
      </c>
      <c r="I115" s="13">
        <f t="shared" si="7"/>
        <v>380</v>
      </c>
      <c r="J115" s="8">
        <f t="shared" si="8"/>
        <v>380</v>
      </c>
      <c r="K115" s="10">
        <v>95</v>
      </c>
      <c r="L115" s="11" t="s">
        <v>34</v>
      </c>
      <c r="M115" s="30" t="s">
        <v>18</v>
      </c>
      <c r="N115" s="33">
        <f t="shared" si="9"/>
        <v>0.5</v>
      </c>
      <c r="V115" s="24" t="s">
        <v>99</v>
      </c>
    </row>
    <row r="116" spans="1:27">
      <c r="A116" t="str">
        <f t="shared" si="6"/>
        <v>2011-04</v>
      </c>
      <c r="B116" s="9">
        <v>40635.050381944442</v>
      </c>
      <c r="C116" s="10">
        <v>4</v>
      </c>
      <c r="D116" s="11" t="s">
        <v>44</v>
      </c>
      <c r="E116" s="10">
        <v>69</v>
      </c>
      <c r="F116" s="12">
        <v>9</v>
      </c>
      <c r="G116" s="12">
        <f t="shared" si="5"/>
        <v>621</v>
      </c>
      <c r="H116" s="13">
        <v>7</v>
      </c>
      <c r="I116" s="13">
        <f t="shared" si="7"/>
        <v>483</v>
      </c>
      <c r="J116" s="8">
        <f t="shared" si="8"/>
        <v>138</v>
      </c>
      <c r="K116" s="10">
        <v>95</v>
      </c>
      <c r="L116" s="11" t="s">
        <v>34</v>
      </c>
      <c r="M116" s="30" t="s">
        <v>25</v>
      </c>
      <c r="N116" s="33">
        <f t="shared" si="9"/>
        <v>0.22222222222222221</v>
      </c>
    </row>
    <row r="117" spans="1:27">
      <c r="A117" t="str">
        <f t="shared" si="6"/>
        <v>2011-04</v>
      </c>
      <c r="B117" s="9">
        <v>40635.902002314811</v>
      </c>
      <c r="C117" s="10">
        <v>16</v>
      </c>
      <c r="D117" s="11" t="s">
        <v>20</v>
      </c>
      <c r="E117" s="10">
        <v>96</v>
      </c>
      <c r="F117" s="12">
        <v>15</v>
      </c>
      <c r="G117" s="12">
        <f t="shared" si="5"/>
        <v>1440</v>
      </c>
      <c r="H117" s="13">
        <v>14</v>
      </c>
      <c r="I117" s="13">
        <f t="shared" si="7"/>
        <v>1344</v>
      </c>
      <c r="J117" s="8">
        <f t="shared" si="8"/>
        <v>96</v>
      </c>
      <c r="K117" s="10">
        <v>14</v>
      </c>
      <c r="L117" s="11" t="s">
        <v>27</v>
      </c>
      <c r="M117" s="30" t="s">
        <v>21</v>
      </c>
      <c r="N117" s="33">
        <f t="shared" si="9"/>
        <v>6.6666666666666666E-2</v>
      </c>
      <c r="V117" s="46" t="s">
        <v>100</v>
      </c>
      <c r="W117" s="47"/>
      <c r="X117" s="47"/>
      <c r="Y117" s="47"/>
      <c r="Z117" s="47"/>
      <c r="AA117" s="47"/>
    </row>
    <row r="118" spans="1:27">
      <c r="A118" t="str">
        <f t="shared" si="6"/>
        <v>2011-04</v>
      </c>
      <c r="B118" s="9">
        <v>40636.501319444447</v>
      </c>
      <c r="C118" s="10">
        <v>4</v>
      </c>
      <c r="D118" s="11" t="s">
        <v>44</v>
      </c>
      <c r="E118" s="10">
        <v>36</v>
      </c>
      <c r="F118" s="12">
        <v>9</v>
      </c>
      <c r="G118" s="12">
        <f t="shared" si="5"/>
        <v>324</v>
      </c>
      <c r="H118" s="13">
        <v>7</v>
      </c>
      <c r="I118" s="13">
        <f t="shared" si="7"/>
        <v>252</v>
      </c>
      <c r="J118" s="8">
        <f t="shared" si="8"/>
        <v>72</v>
      </c>
      <c r="K118" s="10">
        <v>315</v>
      </c>
      <c r="L118" s="11" t="s">
        <v>17</v>
      </c>
      <c r="M118" s="30" t="s">
        <v>25</v>
      </c>
      <c r="N118" s="33">
        <f t="shared" si="9"/>
        <v>0.22222222222222221</v>
      </c>
      <c r="V118" s="25" t="s">
        <v>101</v>
      </c>
    </row>
    <row r="119" spans="1:27" ht="27.75" customHeight="1">
      <c r="A119" t="str">
        <f t="shared" si="6"/>
        <v>2011-04</v>
      </c>
      <c r="B119" s="9">
        <v>40637.617256944446</v>
      </c>
      <c r="C119" s="10">
        <v>22</v>
      </c>
      <c r="D119" s="11" t="s">
        <v>16</v>
      </c>
      <c r="E119" s="10">
        <v>86</v>
      </c>
      <c r="F119" s="12">
        <v>24</v>
      </c>
      <c r="G119" s="12">
        <f t="shared" si="5"/>
        <v>2064</v>
      </c>
      <c r="H119" s="13">
        <v>18</v>
      </c>
      <c r="I119" s="13">
        <f t="shared" si="7"/>
        <v>1548</v>
      </c>
      <c r="J119" s="8">
        <f t="shared" si="8"/>
        <v>516</v>
      </c>
      <c r="K119" s="10">
        <v>686</v>
      </c>
      <c r="L119" s="11" t="s">
        <v>56</v>
      </c>
      <c r="M119" s="30" t="s">
        <v>21</v>
      </c>
      <c r="N119" s="33">
        <f t="shared" si="9"/>
        <v>0.25</v>
      </c>
      <c r="V119" s="48" t="s">
        <v>102</v>
      </c>
      <c r="W119" s="48"/>
      <c r="X119" s="48"/>
      <c r="Y119" s="48"/>
      <c r="Z119" s="48"/>
      <c r="AA119" s="48"/>
    </row>
    <row r="120" spans="1:27">
      <c r="A120" t="str">
        <f t="shared" si="6"/>
        <v>2011-04</v>
      </c>
      <c r="B120" s="9">
        <v>40637.763842592591</v>
      </c>
      <c r="C120" s="10">
        <v>30</v>
      </c>
      <c r="D120" s="11" t="s">
        <v>23</v>
      </c>
      <c r="E120" s="10">
        <v>58</v>
      </c>
      <c r="F120" s="12">
        <v>12</v>
      </c>
      <c r="G120" s="12">
        <f t="shared" si="5"/>
        <v>696</v>
      </c>
      <c r="H120" s="13">
        <v>8</v>
      </c>
      <c r="I120" s="13">
        <f t="shared" si="7"/>
        <v>464</v>
      </c>
      <c r="J120" s="8">
        <f t="shared" si="8"/>
        <v>232</v>
      </c>
      <c r="K120" s="10">
        <v>557</v>
      </c>
      <c r="L120" s="11" t="s">
        <v>36</v>
      </c>
      <c r="M120" s="30" t="s">
        <v>25</v>
      </c>
      <c r="N120" s="33">
        <f t="shared" si="9"/>
        <v>0.33333333333333331</v>
      </c>
      <c r="V120" s="27" t="s">
        <v>103</v>
      </c>
    </row>
    <row r="121" spans="1:27">
      <c r="A121" t="str">
        <f t="shared" si="6"/>
        <v>2011-04</v>
      </c>
      <c r="B121" s="9">
        <v>40638.489236111112</v>
      </c>
      <c r="C121" s="10">
        <v>100</v>
      </c>
      <c r="D121" s="11" t="s">
        <v>40</v>
      </c>
      <c r="E121" s="10">
        <v>99</v>
      </c>
      <c r="F121" s="12">
        <v>8</v>
      </c>
      <c r="G121" s="12">
        <f t="shared" si="5"/>
        <v>792</v>
      </c>
      <c r="H121" s="13">
        <v>4</v>
      </c>
      <c r="I121" s="13">
        <f t="shared" si="7"/>
        <v>396</v>
      </c>
      <c r="J121" s="8">
        <f t="shared" si="8"/>
        <v>396</v>
      </c>
      <c r="K121" s="10">
        <v>233</v>
      </c>
      <c r="L121" s="11" t="s">
        <v>24</v>
      </c>
      <c r="M121" s="30" t="s">
        <v>21</v>
      </c>
      <c r="N121" s="33">
        <f t="shared" si="9"/>
        <v>0.5</v>
      </c>
      <c r="V121" s="27" t="s">
        <v>104</v>
      </c>
    </row>
    <row r="122" spans="1:27">
      <c r="A122" t="str">
        <f t="shared" si="6"/>
        <v>2011-04</v>
      </c>
      <c r="B122" s="9">
        <v>40640.048437500001</v>
      </c>
      <c r="C122" s="10">
        <v>16</v>
      </c>
      <c r="D122" s="11" t="s">
        <v>20</v>
      </c>
      <c r="E122" s="10">
        <v>63</v>
      </c>
      <c r="F122" s="12">
        <v>15</v>
      </c>
      <c r="G122" s="12">
        <f t="shared" si="5"/>
        <v>945</v>
      </c>
      <c r="H122" s="13">
        <v>14</v>
      </c>
      <c r="I122" s="13">
        <f t="shared" si="7"/>
        <v>882</v>
      </c>
      <c r="J122" s="8">
        <f t="shared" si="8"/>
        <v>63</v>
      </c>
      <c r="K122" s="10">
        <v>557</v>
      </c>
      <c r="L122" s="11" t="s">
        <v>36</v>
      </c>
      <c r="M122" s="30" t="s">
        <v>18</v>
      </c>
      <c r="N122" s="33">
        <f t="shared" si="9"/>
        <v>6.6666666666666666E-2</v>
      </c>
      <c r="V122" s="25" t="s">
        <v>105</v>
      </c>
    </row>
    <row r="123" spans="1:27">
      <c r="A123" t="str">
        <f t="shared" si="6"/>
        <v>2011-04</v>
      </c>
      <c r="B123" s="9">
        <v>40640.172326388885</v>
      </c>
      <c r="C123" s="10">
        <v>31</v>
      </c>
      <c r="D123" s="11" t="s">
        <v>46</v>
      </c>
      <c r="E123" s="10">
        <v>15</v>
      </c>
      <c r="F123" s="12">
        <v>21</v>
      </c>
      <c r="G123" s="12">
        <f t="shared" si="5"/>
        <v>315</v>
      </c>
      <c r="H123" s="13">
        <v>12</v>
      </c>
      <c r="I123" s="13">
        <f t="shared" si="7"/>
        <v>180</v>
      </c>
      <c r="J123" s="8">
        <f t="shared" si="8"/>
        <v>135</v>
      </c>
      <c r="K123" s="10">
        <v>846</v>
      </c>
      <c r="L123" s="11" t="s">
        <v>35</v>
      </c>
      <c r="M123" s="30" t="s">
        <v>18</v>
      </c>
      <c r="N123" s="33">
        <f t="shared" si="9"/>
        <v>0.42857142857142855</v>
      </c>
      <c r="V123" s="27" t="s">
        <v>106</v>
      </c>
    </row>
    <row r="124" spans="1:27">
      <c r="A124" t="str">
        <f t="shared" si="6"/>
        <v>2011-04</v>
      </c>
      <c r="B124" s="9">
        <v>40640.324837962966</v>
      </c>
      <c r="C124" s="10">
        <v>85</v>
      </c>
      <c r="D124" s="11" t="s">
        <v>38</v>
      </c>
      <c r="E124" s="10">
        <v>11</v>
      </c>
      <c r="F124" s="12">
        <v>53</v>
      </c>
      <c r="G124" s="12">
        <f t="shared" si="5"/>
        <v>583</v>
      </c>
      <c r="H124" s="13">
        <v>35</v>
      </c>
      <c r="I124" s="13">
        <f t="shared" si="7"/>
        <v>385</v>
      </c>
      <c r="J124" s="8">
        <f t="shared" si="8"/>
        <v>198</v>
      </c>
      <c r="K124" s="10">
        <v>23</v>
      </c>
      <c r="L124" s="11" t="s">
        <v>32</v>
      </c>
      <c r="M124" s="30" t="s">
        <v>21</v>
      </c>
      <c r="N124" s="33">
        <f t="shared" si="9"/>
        <v>0.33962264150943394</v>
      </c>
      <c r="V124" s="27" t="s">
        <v>107</v>
      </c>
    </row>
    <row r="125" spans="1:27" ht="25.5" customHeight="1">
      <c r="A125" t="str">
        <f t="shared" si="6"/>
        <v>2011-04</v>
      </c>
      <c r="B125" s="9">
        <v>40642.621724537035</v>
      </c>
      <c r="C125" s="10">
        <v>2</v>
      </c>
      <c r="D125" s="11" t="s">
        <v>30</v>
      </c>
      <c r="E125" s="10">
        <v>89</v>
      </c>
      <c r="F125" s="12">
        <v>12</v>
      </c>
      <c r="G125" s="12">
        <f t="shared" si="5"/>
        <v>1068</v>
      </c>
      <c r="H125" s="13">
        <v>6</v>
      </c>
      <c r="I125" s="13">
        <f t="shared" si="7"/>
        <v>534</v>
      </c>
      <c r="J125" s="8">
        <f t="shared" si="8"/>
        <v>534</v>
      </c>
      <c r="K125" s="10">
        <v>557</v>
      </c>
      <c r="L125" s="11" t="s">
        <v>36</v>
      </c>
      <c r="M125" s="30" t="s">
        <v>25</v>
      </c>
      <c r="N125" s="33">
        <f t="shared" si="9"/>
        <v>0.5</v>
      </c>
      <c r="V125" s="48" t="s">
        <v>108</v>
      </c>
      <c r="W125" s="48"/>
      <c r="X125" s="48"/>
      <c r="Y125" s="48"/>
      <c r="Z125" s="48"/>
      <c r="AA125" s="48"/>
    </row>
    <row r="126" spans="1:27" ht="17.25" customHeight="1">
      <c r="A126" t="str">
        <f t="shared" si="6"/>
        <v>2011-04</v>
      </c>
      <c r="B126" s="9">
        <v>40642.705011574071</v>
      </c>
      <c r="C126" s="10">
        <v>2</v>
      </c>
      <c r="D126" s="11" t="s">
        <v>30</v>
      </c>
      <c r="E126" s="10">
        <v>77</v>
      </c>
      <c r="F126" s="12">
        <v>12</v>
      </c>
      <c r="G126" s="12">
        <f t="shared" si="5"/>
        <v>924</v>
      </c>
      <c r="H126" s="13">
        <v>6</v>
      </c>
      <c r="I126" s="13">
        <f t="shared" si="7"/>
        <v>462</v>
      </c>
      <c r="J126" s="8">
        <f t="shared" si="8"/>
        <v>462</v>
      </c>
      <c r="K126" s="10">
        <v>846</v>
      </c>
      <c r="L126" s="11" t="s">
        <v>35</v>
      </c>
      <c r="M126" s="30" t="s">
        <v>25</v>
      </c>
      <c r="N126" s="33">
        <f t="shared" si="9"/>
        <v>0.5</v>
      </c>
      <c r="V126" s="25" t="s">
        <v>109</v>
      </c>
    </row>
    <row r="127" spans="1:27" ht="16.5" customHeight="1">
      <c r="A127" t="str">
        <f t="shared" si="6"/>
        <v>2011-04</v>
      </c>
      <c r="B127" s="9">
        <v>40642.848738425928</v>
      </c>
      <c r="C127" s="10">
        <v>100</v>
      </c>
      <c r="D127" s="11" t="s">
        <v>40</v>
      </c>
      <c r="E127" s="10">
        <v>16</v>
      </c>
      <c r="F127" s="12">
        <v>8</v>
      </c>
      <c r="G127" s="12">
        <f t="shared" si="5"/>
        <v>128</v>
      </c>
      <c r="H127" s="13">
        <v>4</v>
      </c>
      <c r="I127" s="13">
        <f t="shared" si="7"/>
        <v>64</v>
      </c>
      <c r="J127" s="8">
        <f t="shared" si="8"/>
        <v>64</v>
      </c>
      <c r="K127" s="10">
        <v>14</v>
      </c>
      <c r="L127" s="11" t="s">
        <v>27</v>
      </c>
      <c r="M127" s="30" t="s">
        <v>25</v>
      </c>
      <c r="N127" s="33">
        <f t="shared" si="9"/>
        <v>0.5</v>
      </c>
      <c r="V127" s="27" t="s">
        <v>110</v>
      </c>
    </row>
    <row r="128" spans="1:27" ht="17.25" customHeight="1">
      <c r="A128" t="str">
        <f t="shared" si="6"/>
        <v>2011-04</v>
      </c>
      <c r="B128" s="9">
        <v>40643.004826388889</v>
      </c>
      <c r="C128" s="10">
        <v>100</v>
      </c>
      <c r="D128" s="11" t="s">
        <v>40</v>
      </c>
      <c r="E128" s="10">
        <v>58</v>
      </c>
      <c r="F128" s="12">
        <v>8</v>
      </c>
      <c r="G128" s="12">
        <f t="shared" si="5"/>
        <v>464</v>
      </c>
      <c r="H128" s="13">
        <v>4</v>
      </c>
      <c r="I128" s="13">
        <f t="shared" si="7"/>
        <v>232</v>
      </c>
      <c r="J128" s="8">
        <f t="shared" si="8"/>
        <v>232</v>
      </c>
      <c r="K128" s="10">
        <v>846</v>
      </c>
      <c r="L128" s="11" t="s">
        <v>35</v>
      </c>
      <c r="M128" s="30" t="s">
        <v>25</v>
      </c>
      <c r="N128" s="33">
        <f t="shared" si="9"/>
        <v>0.5</v>
      </c>
      <c r="V128" s="27" t="s">
        <v>111</v>
      </c>
    </row>
    <row r="129" spans="1:22">
      <c r="A129" t="str">
        <f t="shared" si="6"/>
        <v>2011-04</v>
      </c>
      <c r="B129" s="9">
        <v>40643.009826388887</v>
      </c>
      <c r="C129" s="10">
        <v>4</v>
      </c>
      <c r="D129" s="11" t="s">
        <v>44</v>
      </c>
      <c r="E129" s="10">
        <v>55</v>
      </c>
      <c r="F129" s="12">
        <v>9</v>
      </c>
      <c r="G129" s="12">
        <f t="shared" si="5"/>
        <v>495</v>
      </c>
      <c r="H129" s="13">
        <v>7</v>
      </c>
      <c r="I129" s="13">
        <f t="shared" si="7"/>
        <v>385</v>
      </c>
      <c r="J129" s="8">
        <f t="shared" si="8"/>
        <v>110</v>
      </c>
      <c r="K129" s="10">
        <v>6</v>
      </c>
      <c r="L129" s="11" t="s">
        <v>33</v>
      </c>
      <c r="M129" s="30" t="s">
        <v>25</v>
      </c>
      <c r="N129" s="33">
        <f t="shared" si="9"/>
        <v>0.22222222222222221</v>
      </c>
      <c r="V129" s="40" t="s">
        <v>112</v>
      </c>
    </row>
    <row r="130" spans="1:22">
      <c r="A130" t="str">
        <f t="shared" si="6"/>
        <v>2011-04</v>
      </c>
      <c r="B130" s="9">
        <v>40644.297233796293</v>
      </c>
      <c r="C130" s="10">
        <v>19</v>
      </c>
      <c r="D130" s="11" t="s">
        <v>47</v>
      </c>
      <c r="E130" s="10">
        <v>59</v>
      </c>
      <c r="F130" s="12">
        <v>36</v>
      </c>
      <c r="G130" s="12">
        <f t="shared" ref="G130:G193" si="10">E130*F130</f>
        <v>2124</v>
      </c>
      <c r="H130" s="13">
        <v>25</v>
      </c>
      <c r="I130" s="13">
        <f t="shared" si="7"/>
        <v>1475</v>
      </c>
      <c r="J130" s="8">
        <f t="shared" si="8"/>
        <v>649</v>
      </c>
      <c r="K130" s="10">
        <v>6</v>
      </c>
      <c r="L130" s="11" t="s">
        <v>33</v>
      </c>
      <c r="M130" s="30" t="s">
        <v>25</v>
      </c>
      <c r="N130" s="33">
        <f t="shared" si="9"/>
        <v>0.30555555555555558</v>
      </c>
    </row>
    <row r="131" spans="1:22">
      <c r="A131" t="str">
        <f t="shared" ref="A131:A194" si="11">TEXT(B131, "YYYY-MM")</f>
        <v>2011-04</v>
      </c>
      <c r="B131" s="9">
        <v>40645.063414351855</v>
      </c>
      <c r="C131" s="10">
        <v>19</v>
      </c>
      <c r="D131" s="11" t="s">
        <v>47</v>
      </c>
      <c r="E131" s="10">
        <v>2</v>
      </c>
      <c r="F131" s="12">
        <v>36</v>
      </c>
      <c r="G131" s="12">
        <f t="shared" si="10"/>
        <v>72</v>
      </c>
      <c r="H131" s="13">
        <v>25</v>
      </c>
      <c r="I131" s="13">
        <f t="shared" ref="I131:I194" si="12">E131*H131</f>
        <v>50</v>
      </c>
      <c r="J131" s="8">
        <f t="shared" ref="J131:J194" si="13">G131-I131</f>
        <v>22</v>
      </c>
      <c r="K131" s="10">
        <v>686</v>
      </c>
      <c r="L131" s="11" t="s">
        <v>56</v>
      </c>
      <c r="M131" s="30" t="s">
        <v>21</v>
      </c>
      <c r="N131" s="33">
        <f t="shared" ref="N131:N194" si="14">J131/G131</f>
        <v>0.30555555555555558</v>
      </c>
    </row>
    <row r="132" spans="1:22">
      <c r="A132" t="str">
        <f t="shared" si="11"/>
        <v>2011-04</v>
      </c>
      <c r="B132" s="9">
        <v>40645.39329861111</v>
      </c>
      <c r="C132" s="10">
        <v>31</v>
      </c>
      <c r="D132" s="11" t="s">
        <v>46</v>
      </c>
      <c r="E132" s="10">
        <v>85</v>
      </c>
      <c r="F132" s="12">
        <v>21</v>
      </c>
      <c r="G132" s="12">
        <f t="shared" si="10"/>
        <v>1785</v>
      </c>
      <c r="H132" s="13">
        <v>12</v>
      </c>
      <c r="I132" s="13">
        <f t="shared" si="12"/>
        <v>1020</v>
      </c>
      <c r="J132" s="8">
        <f t="shared" si="13"/>
        <v>765</v>
      </c>
      <c r="K132" s="10">
        <v>6</v>
      </c>
      <c r="L132" s="11" t="s">
        <v>33</v>
      </c>
      <c r="M132" s="30" t="s">
        <v>21</v>
      </c>
      <c r="N132" s="33">
        <f t="shared" si="14"/>
        <v>0.42857142857142855</v>
      </c>
    </row>
    <row r="133" spans="1:22">
      <c r="A133" t="str">
        <f t="shared" si="11"/>
        <v>2011-04</v>
      </c>
      <c r="B133" s="9">
        <v>40646.31790509259</v>
      </c>
      <c r="C133" s="10">
        <v>22</v>
      </c>
      <c r="D133" s="11" t="s">
        <v>16</v>
      </c>
      <c r="E133" s="10">
        <v>11</v>
      </c>
      <c r="F133" s="12">
        <v>24</v>
      </c>
      <c r="G133" s="12">
        <f t="shared" si="10"/>
        <v>264</v>
      </c>
      <c r="H133" s="13">
        <v>18</v>
      </c>
      <c r="I133" s="13">
        <f t="shared" si="12"/>
        <v>198</v>
      </c>
      <c r="J133" s="8">
        <f t="shared" si="13"/>
        <v>66</v>
      </c>
      <c r="K133" s="10">
        <v>23</v>
      </c>
      <c r="L133" s="11" t="s">
        <v>32</v>
      </c>
      <c r="M133" s="30" t="s">
        <v>25</v>
      </c>
      <c r="N133" s="33">
        <f t="shared" si="14"/>
        <v>0.25</v>
      </c>
    </row>
    <row r="134" spans="1:22">
      <c r="A134" t="str">
        <f t="shared" si="11"/>
        <v>2011-04</v>
      </c>
      <c r="B134" s="9">
        <v>40646.879467592589</v>
      </c>
      <c r="C134" s="10">
        <v>4</v>
      </c>
      <c r="D134" s="11" t="s">
        <v>44</v>
      </c>
      <c r="E134" s="10">
        <v>84</v>
      </c>
      <c r="F134" s="12">
        <v>9</v>
      </c>
      <c r="G134" s="12">
        <f t="shared" si="10"/>
        <v>756</v>
      </c>
      <c r="H134" s="13">
        <v>7</v>
      </c>
      <c r="I134" s="13">
        <f t="shared" si="12"/>
        <v>588</v>
      </c>
      <c r="J134" s="8">
        <f t="shared" si="13"/>
        <v>168</v>
      </c>
      <c r="K134" s="10">
        <v>14</v>
      </c>
      <c r="L134" s="11" t="s">
        <v>27</v>
      </c>
      <c r="M134" s="30" t="s">
        <v>25</v>
      </c>
      <c r="N134" s="33">
        <f t="shared" si="14"/>
        <v>0.22222222222222221</v>
      </c>
    </row>
    <row r="135" spans="1:22">
      <c r="A135" t="str">
        <f t="shared" si="11"/>
        <v>2011-04</v>
      </c>
      <c r="B135" s="9">
        <v>40647.176840277774</v>
      </c>
      <c r="C135" s="10">
        <v>16</v>
      </c>
      <c r="D135" s="11" t="s">
        <v>20</v>
      </c>
      <c r="E135" s="10">
        <v>82</v>
      </c>
      <c r="F135" s="12">
        <v>15</v>
      </c>
      <c r="G135" s="12">
        <f t="shared" si="10"/>
        <v>1230</v>
      </c>
      <c r="H135" s="13">
        <v>14</v>
      </c>
      <c r="I135" s="13">
        <f t="shared" si="12"/>
        <v>1148</v>
      </c>
      <c r="J135" s="8">
        <f t="shared" si="13"/>
        <v>82</v>
      </c>
      <c r="K135" s="10">
        <v>6</v>
      </c>
      <c r="L135" s="11" t="s">
        <v>33</v>
      </c>
      <c r="M135" s="30" t="s">
        <v>25</v>
      </c>
      <c r="N135" s="33">
        <f t="shared" si="14"/>
        <v>6.6666666666666666E-2</v>
      </c>
    </row>
    <row r="136" spans="1:22">
      <c r="A136" t="str">
        <f t="shared" si="11"/>
        <v>2011-04</v>
      </c>
      <c r="B136" s="9">
        <v>40647.7341087963</v>
      </c>
      <c r="C136" s="10">
        <v>100</v>
      </c>
      <c r="D136" s="11" t="s">
        <v>40</v>
      </c>
      <c r="E136" s="10">
        <v>18</v>
      </c>
      <c r="F136" s="12">
        <v>8</v>
      </c>
      <c r="G136" s="12">
        <f t="shared" si="10"/>
        <v>144</v>
      </c>
      <c r="H136" s="13">
        <v>4</v>
      </c>
      <c r="I136" s="13">
        <f t="shared" si="12"/>
        <v>72</v>
      </c>
      <c r="J136" s="8">
        <f t="shared" si="13"/>
        <v>72</v>
      </c>
      <c r="K136" s="10">
        <v>557</v>
      </c>
      <c r="L136" s="11" t="s">
        <v>36</v>
      </c>
      <c r="M136" s="30" t="s">
        <v>25</v>
      </c>
      <c r="N136" s="33">
        <f t="shared" si="14"/>
        <v>0.5</v>
      </c>
    </row>
    <row r="137" spans="1:22">
      <c r="A137" t="str">
        <f t="shared" si="11"/>
        <v>2011-04</v>
      </c>
      <c r="B137" s="9">
        <v>40647.973749999997</v>
      </c>
      <c r="C137" s="10">
        <v>19</v>
      </c>
      <c r="D137" s="11" t="s">
        <v>47</v>
      </c>
      <c r="E137" s="10">
        <v>43</v>
      </c>
      <c r="F137" s="12">
        <v>36</v>
      </c>
      <c r="G137" s="12">
        <f t="shared" si="10"/>
        <v>1548</v>
      </c>
      <c r="H137" s="13">
        <v>25</v>
      </c>
      <c r="I137" s="13">
        <f t="shared" si="12"/>
        <v>1075</v>
      </c>
      <c r="J137" s="8">
        <f t="shared" si="13"/>
        <v>473</v>
      </c>
      <c r="K137" s="10">
        <v>315</v>
      </c>
      <c r="L137" s="11" t="s">
        <v>17</v>
      </c>
      <c r="M137" s="30" t="s">
        <v>25</v>
      </c>
      <c r="N137" s="33">
        <f t="shared" si="14"/>
        <v>0.30555555555555558</v>
      </c>
    </row>
    <row r="138" spans="1:22">
      <c r="A138" t="str">
        <f t="shared" si="11"/>
        <v>2011-04</v>
      </c>
      <c r="B138" s="9">
        <v>40648.422939814816</v>
      </c>
      <c r="C138" s="10">
        <v>16</v>
      </c>
      <c r="D138" s="11" t="s">
        <v>20</v>
      </c>
      <c r="E138" s="10">
        <v>29</v>
      </c>
      <c r="F138" s="12">
        <v>15</v>
      </c>
      <c r="G138" s="12">
        <f t="shared" si="10"/>
        <v>435</v>
      </c>
      <c r="H138" s="13">
        <v>14</v>
      </c>
      <c r="I138" s="13">
        <f t="shared" si="12"/>
        <v>406</v>
      </c>
      <c r="J138" s="8">
        <f t="shared" si="13"/>
        <v>29</v>
      </c>
      <c r="K138" s="10">
        <v>572</v>
      </c>
      <c r="L138" s="11" t="s">
        <v>31</v>
      </c>
      <c r="M138" s="30" t="s">
        <v>25</v>
      </c>
      <c r="N138" s="33">
        <f t="shared" si="14"/>
        <v>6.6666666666666666E-2</v>
      </c>
    </row>
    <row r="139" spans="1:22">
      <c r="A139" t="str">
        <f t="shared" si="11"/>
        <v>2011-04</v>
      </c>
      <c r="B139" s="9">
        <v>40649.441921296297</v>
      </c>
      <c r="C139" s="10">
        <v>22</v>
      </c>
      <c r="D139" s="11" t="s">
        <v>16</v>
      </c>
      <c r="E139" s="10">
        <v>78</v>
      </c>
      <c r="F139" s="12">
        <v>24</v>
      </c>
      <c r="G139" s="12">
        <f t="shared" si="10"/>
        <v>1872</v>
      </c>
      <c r="H139" s="13">
        <v>18</v>
      </c>
      <c r="I139" s="13">
        <f t="shared" si="12"/>
        <v>1404</v>
      </c>
      <c r="J139" s="8">
        <f t="shared" si="13"/>
        <v>468</v>
      </c>
      <c r="K139" s="10">
        <v>572</v>
      </c>
      <c r="L139" s="11" t="s">
        <v>31</v>
      </c>
      <c r="M139" s="30" t="s">
        <v>18</v>
      </c>
      <c r="N139" s="33">
        <f t="shared" si="14"/>
        <v>0.25</v>
      </c>
    </row>
    <row r="140" spans="1:22">
      <c r="A140" t="str">
        <f t="shared" si="11"/>
        <v>2011-04</v>
      </c>
      <c r="B140" s="9">
        <v>40650.823657407411</v>
      </c>
      <c r="C140" s="10">
        <v>30</v>
      </c>
      <c r="D140" s="11" t="s">
        <v>23</v>
      </c>
      <c r="E140" s="10">
        <v>61</v>
      </c>
      <c r="F140" s="12">
        <v>12</v>
      </c>
      <c r="G140" s="12">
        <f t="shared" si="10"/>
        <v>732</v>
      </c>
      <c r="H140" s="13">
        <v>8</v>
      </c>
      <c r="I140" s="13">
        <f t="shared" si="12"/>
        <v>488</v>
      </c>
      <c r="J140" s="8">
        <f t="shared" si="13"/>
        <v>244</v>
      </c>
      <c r="K140" s="10">
        <v>686</v>
      </c>
      <c r="L140" s="11" t="s">
        <v>56</v>
      </c>
      <c r="M140" s="30" t="s">
        <v>25</v>
      </c>
      <c r="N140" s="33">
        <f t="shared" si="14"/>
        <v>0.33333333333333331</v>
      </c>
    </row>
    <row r="141" spans="1:22">
      <c r="A141" t="str">
        <f t="shared" si="11"/>
        <v>2011-04</v>
      </c>
      <c r="B141" s="9">
        <v>40651.088726851849</v>
      </c>
      <c r="C141" s="10">
        <v>16</v>
      </c>
      <c r="D141" s="11" t="s">
        <v>20</v>
      </c>
      <c r="E141" s="10">
        <v>17</v>
      </c>
      <c r="F141" s="12">
        <v>15</v>
      </c>
      <c r="G141" s="12">
        <f t="shared" si="10"/>
        <v>255</v>
      </c>
      <c r="H141" s="13">
        <v>14</v>
      </c>
      <c r="I141" s="13">
        <f t="shared" si="12"/>
        <v>238</v>
      </c>
      <c r="J141" s="8">
        <f t="shared" si="13"/>
        <v>17</v>
      </c>
      <c r="K141" s="10">
        <v>14</v>
      </c>
      <c r="L141" s="11" t="s">
        <v>27</v>
      </c>
      <c r="M141" s="30" t="s">
        <v>21</v>
      </c>
      <c r="N141" s="33">
        <f t="shared" si="14"/>
        <v>6.6666666666666666E-2</v>
      </c>
    </row>
    <row r="142" spans="1:22">
      <c r="A142" t="str">
        <f t="shared" si="11"/>
        <v>2011-04</v>
      </c>
      <c r="B142" s="9">
        <v>40651.254374999997</v>
      </c>
      <c r="C142" s="10">
        <v>22</v>
      </c>
      <c r="D142" s="11" t="s">
        <v>16</v>
      </c>
      <c r="E142" s="10">
        <v>60</v>
      </c>
      <c r="F142" s="12">
        <v>24</v>
      </c>
      <c r="G142" s="12">
        <f t="shared" si="10"/>
        <v>1440</v>
      </c>
      <c r="H142" s="13">
        <v>18</v>
      </c>
      <c r="I142" s="13">
        <f t="shared" si="12"/>
        <v>1080</v>
      </c>
      <c r="J142" s="8">
        <f t="shared" si="13"/>
        <v>360</v>
      </c>
      <c r="K142" s="10">
        <v>846</v>
      </c>
      <c r="L142" s="11" t="s">
        <v>35</v>
      </c>
      <c r="M142" s="30" t="s">
        <v>25</v>
      </c>
      <c r="N142" s="33">
        <f t="shared" si="14"/>
        <v>0.25</v>
      </c>
    </row>
    <row r="143" spans="1:22">
      <c r="A143" t="str">
        <f t="shared" si="11"/>
        <v>2011-04</v>
      </c>
      <c r="B143" s="9">
        <v>40652.779907407406</v>
      </c>
      <c r="C143" s="10">
        <v>100</v>
      </c>
      <c r="D143" s="11" t="s">
        <v>40</v>
      </c>
      <c r="E143" s="10">
        <v>27</v>
      </c>
      <c r="F143" s="12">
        <v>8</v>
      </c>
      <c r="G143" s="12">
        <f t="shared" si="10"/>
        <v>216</v>
      </c>
      <c r="H143" s="13">
        <v>4</v>
      </c>
      <c r="I143" s="13">
        <f t="shared" si="12"/>
        <v>108</v>
      </c>
      <c r="J143" s="8">
        <f t="shared" si="13"/>
        <v>108</v>
      </c>
      <c r="K143" s="10">
        <v>6</v>
      </c>
      <c r="L143" s="11" t="s">
        <v>33</v>
      </c>
      <c r="M143" s="30" t="s">
        <v>25</v>
      </c>
      <c r="N143" s="33">
        <f t="shared" si="14"/>
        <v>0.5</v>
      </c>
    </row>
    <row r="144" spans="1:22">
      <c r="A144" t="str">
        <f t="shared" si="11"/>
        <v>2011-04</v>
      </c>
      <c r="B144" s="9">
        <v>40652.827708333331</v>
      </c>
      <c r="C144" s="10">
        <v>98</v>
      </c>
      <c r="D144" s="11" t="s">
        <v>58</v>
      </c>
      <c r="E144" s="10">
        <v>74</v>
      </c>
      <c r="F144" s="12">
        <v>18</v>
      </c>
      <c r="G144" s="12">
        <f t="shared" si="10"/>
        <v>1332</v>
      </c>
      <c r="H144" s="13">
        <v>8</v>
      </c>
      <c r="I144" s="13">
        <f t="shared" si="12"/>
        <v>592</v>
      </c>
      <c r="J144" s="8">
        <f t="shared" si="13"/>
        <v>740</v>
      </c>
      <c r="K144" s="10">
        <v>315</v>
      </c>
      <c r="L144" s="11" t="s">
        <v>17</v>
      </c>
      <c r="M144" s="30" t="s">
        <v>25</v>
      </c>
      <c r="N144" s="33">
        <f t="shared" si="14"/>
        <v>0.55555555555555558</v>
      </c>
    </row>
    <row r="145" spans="1:14">
      <c r="A145" t="str">
        <f t="shared" si="11"/>
        <v>2011-04</v>
      </c>
      <c r="B145" s="9">
        <v>40653.065104166664</v>
      </c>
      <c r="C145" s="10">
        <v>98</v>
      </c>
      <c r="D145" s="11" t="s">
        <v>58</v>
      </c>
      <c r="E145" s="10">
        <v>36</v>
      </c>
      <c r="F145" s="12">
        <v>18</v>
      </c>
      <c r="G145" s="12">
        <f t="shared" si="10"/>
        <v>648</v>
      </c>
      <c r="H145" s="13">
        <v>8</v>
      </c>
      <c r="I145" s="13">
        <f t="shared" si="12"/>
        <v>288</v>
      </c>
      <c r="J145" s="8">
        <f t="shared" si="13"/>
        <v>360</v>
      </c>
      <c r="K145" s="10">
        <v>557</v>
      </c>
      <c r="L145" s="11" t="s">
        <v>36</v>
      </c>
      <c r="M145" s="30" t="s">
        <v>25</v>
      </c>
      <c r="N145" s="33">
        <f t="shared" si="14"/>
        <v>0.55555555555555558</v>
      </c>
    </row>
    <row r="146" spans="1:14">
      <c r="A146" t="str">
        <f t="shared" si="11"/>
        <v>2011-04</v>
      </c>
      <c r="B146" s="9">
        <v>40653.079085648147</v>
      </c>
      <c r="C146" s="10">
        <v>6</v>
      </c>
      <c r="D146" s="11" t="s">
        <v>60</v>
      </c>
      <c r="E146" s="10">
        <v>9</v>
      </c>
      <c r="F146" s="12">
        <v>55</v>
      </c>
      <c r="G146" s="12">
        <f t="shared" si="10"/>
        <v>495</v>
      </c>
      <c r="H146" s="13">
        <v>25</v>
      </c>
      <c r="I146" s="13">
        <f t="shared" si="12"/>
        <v>225</v>
      </c>
      <c r="J146" s="8">
        <f t="shared" si="13"/>
        <v>270</v>
      </c>
      <c r="K146" s="10">
        <v>686</v>
      </c>
      <c r="L146" s="11" t="s">
        <v>56</v>
      </c>
      <c r="M146" s="30" t="s">
        <v>25</v>
      </c>
      <c r="N146" s="33">
        <f t="shared" si="14"/>
        <v>0.54545454545454541</v>
      </c>
    </row>
    <row r="147" spans="1:14">
      <c r="A147" t="str">
        <f t="shared" si="11"/>
        <v>2011-04</v>
      </c>
      <c r="B147" s="9">
        <v>40653.413460648146</v>
      </c>
      <c r="C147" s="10">
        <v>100</v>
      </c>
      <c r="D147" s="11" t="s">
        <v>40</v>
      </c>
      <c r="E147" s="10">
        <v>16</v>
      </c>
      <c r="F147" s="12">
        <v>8</v>
      </c>
      <c r="G147" s="12">
        <f t="shared" si="10"/>
        <v>128</v>
      </c>
      <c r="H147" s="13">
        <v>4</v>
      </c>
      <c r="I147" s="13">
        <f t="shared" si="12"/>
        <v>64</v>
      </c>
      <c r="J147" s="8">
        <f t="shared" si="13"/>
        <v>64</v>
      </c>
      <c r="K147" s="10">
        <v>846</v>
      </c>
      <c r="L147" s="11" t="s">
        <v>35</v>
      </c>
      <c r="M147" s="30" t="s">
        <v>25</v>
      </c>
      <c r="N147" s="33">
        <f t="shared" si="14"/>
        <v>0.5</v>
      </c>
    </row>
    <row r="148" spans="1:14">
      <c r="A148" t="str">
        <f t="shared" si="11"/>
        <v>2011-04</v>
      </c>
      <c r="B148" s="9">
        <v>40653.646562499998</v>
      </c>
      <c r="C148" s="10">
        <v>85</v>
      </c>
      <c r="D148" s="11" t="s">
        <v>38</v>
      </c>
      <c r="E148" s="10">
        <v>80</v>
      </c>
      <c r="F148" s="12">
        <v>53</v>
      </c>
      <c r="G148" s="12">
        <f t="shared" si="10"/>
        <v>4240</v>
      </c>
      <c r="H148" s="13">
        <v>35</v>
      </c>
      <c r="I148" s="13">
        <f t="shared" si="12"/>
        <v>2800</v>
      </c>
      <c r="J148" s="8">
        <f t="shared" si="13"/>
        <v>1440</v>
      </c>
      <c r="K148" s="10">
        <v>23</v>
      </c>
      <c r="L148" s="11" t="s">
        <v>32</v>
      </c>
      <c r="M148" s="30" t="s">
        <v>21</v>
      </c>
      <c r="N148" s="33">
        <f t="shared" si="14"/>
        <v>0.33962264150943394</v>
      </c>
    </row>
    <row r="149" spans="1:14">
      <c r="A149" t="str">
        <f t="shared" si="11"/>
        <v>2011-04</v>
      </c>
      <c r="B149" s="9">
        <v>40653.861909722225</v>
      </c>
      <c r="C149" s="10">
        <v>100</v>
      </c>
      <c r="D149" s="11" t="s">
        <v>40</v>
      </c>
      <c r="E149" s="10">
        <v>34</v>
      </c>
      <c r="F149" s="12">
        <v>8</v>
      </c>
      <c r="G149" s="12">
        <f t="shared" si="10"/>
        <v>272</v>
      </c>
      <c r="H149" s="13">
        <v>4</v>
      </c>
      <c r="I149" s="13">
        <f t="shared" si="12"/>
        <v>136</v>
      </c>
      <c r="J149" s="8">
        <f t="shared" si="13"/>
        <v>136</v>
      </c>
      <c r="K149" s="10">
        <v>14</v>
      </c>
      <c r="L149" s="11" t="s">
        <v>27</v>
      </c>
      <c r="M149" s="30" t="s">
        <v>21</v>
      </c>
      <c r="N149" s="33">
        <f t="shared" si="14"/>
        <v>0.5</v>
      </c>
    </row>
    <row r="150" spans="1:14">
      <c r="A150" t="str">
        <f t="shared" si="11"/>
        <v>2011-04</v>
      </c>
      <c r="B150" s="9">
        <v>40655.328657407408</v>
      </c>
      <c r="C150" s="10">
        <v>22</v>
      </c>
      <c r="D150" s="11" t="s">
        <v>16</v>
      </c>
      <c r="E150" s="10">
        <v>14</v>
      </c>
      <c r="F150" s="12">
        <v>24</v>
      </c>
      <c r="G150" s="12">
        <f t="shared" si="10"/>
        <v>336</v>
      </c>
      <c r="H150" s="13">
        <v>18</v>
      </c>
      <c r="I150" s="13">
        <f t="shared" si="12"/>
        <v>252</v>
      </c>
      <c r="J150" s="8">
        <f t="shared" si="13"/>
        <v>84</v>
      </c>
      <c r="K150" s="10">
        <v>6</v>
      </c>
      <c r="L150" s="11" t="s">
        <v>33</v>
      </c>
      <c r="M150" s="30" t="s">
        <v>25</v>
      </c>
      <c r="N150" s="33">
        <f t="shared" si="14"/>
        <v>0.25</v>
      </c>
    </row>
    <row r="151" spans="1:14">
      <c r="A151" t="str">
        <f t="shared" si="11"/>
        <v>2011-04</v>
      </c>
      <c r="B151" s="9">
        <v>40655.466805555552</v>
      </c>
      <c r="C151" s="10">
        <v>16</v>
      </c>
      <c r="D151" s="11" t="s">
        <v>20</v>
      </c>
      <c r="E151" s="10">
        <v>30</v>
      </c>
      <c r="F151" s="12">
        <v>15</v>
      </c>
      <c r="G151" s="12">
        <f t="shared" si="10"/>
        <v>450</v>
      </c>
      <c r="H151" s="13">
        <v>14</v>
      </c>
      <c r="I151" s="13">
        <f t="shared" si="12"/>
        <v>420</v>
      </c>
      <c r="J151" s="8">
        <f t="shared" si="13"/>
        <v>30</v>
      </c>
      <c r="K151" s="10">
        <v>846</v>
      </c>
      <c r="L151" s="11" t="s">
        <v>35</v>
      </c>
      <c r="M151" s="30" t="s">
        <v>21</v>
      </c>
      <c r="N151" s="33">
        <f t="shared" si="14"/>
        <v>6.6666666666666666E-2</v>
      </c>
    </row>
    <row r="152" spans="1:14">
      <c r="A152" t="str">
        <f t="shared" si="11"/>
        <v>2011-04</v>
      </c>
      <c r="B152" s="9">
        <v>40656.027916666666</v>
      </c>
      <c r="C152" s="10">
        <v>16</v>
      </c>
      <c r="D152" s="11" t="s">
        <v>20</v>
      </c>
      <c r="E152" s="10">
        <v>34</v>
      </c>
      <c r="F152" s="12">
        <v>15</v>
      </c>
      <c r="G152" s="12">
        <f t="shared" si="10"/>
        <v>510</v>
      </c>
      <c r="H152" s="13">
        <v>14</v>
      </c>
      <c r="I152" s="13">
        <f t="shared" si="12"/>
        <v>476</v>
      </c>
      <c r="J152" s="8">
        <f t="shared" si="13"/>
        <v>34</v>
      </c>
      <c r="K152" s="10">
        <v>6</v>
      </c>
      <c r="L152" s="11" t="s">
        <v>33</v>
      </c>
      <c r="M152" s="30" t="s">
        <v>21</v>
      </c>
      <c r="N152" s="33">
        <f t="shared" si="14"/>
        <v>6.6666666666666666E-2</v>
      </c>
    </row>
    <row r="153" spans="1:14">
      <c r="A153" t="str">
        <f t="shared" si="11"/>
        <v>2011-04</v>
      </c>
      <c r="B153" s="9">
        <v>40656.149629629632</v>
      </c>
      <c r="C153" s="10">
        <v>16</v>
      </c>
      <c r="D153" s="11" t="s">
        <v>20</v>
      </c>
      <c r="E153" s="10">
        <v>17</v>
      </c>
      <c r="F153" s="12">
        <v>15</v>
      </c>
      <c r="G153" s="12">
        <f t="shared" si="10"/>
        <v>255</v>
      </c>
      <c r="H153" s="13">
        <v>14</v>
      </c>
      <c r="I153" s="13">
        <f t="shared" si="12"/>
        <v>238</v>
      </c>
      <c r="J153" s="8">
        <f t="shared" si="13"/>
        <v>17</v>
      </c>
      <c r="K153" s="10">
        <v>572</v>
      </c>
      <c r="L153" s="11" t="s">
        <v>31</v>
      </c>
      <c r="M153" s="30" t="s">
        <v>21</v>
      </c>
      <c r="N153" s="33">
        <f t="shared" si="14"/>
        <v>6.6666666666666666E-2</v>
      </c>
    </row>
    <row r="154" spans="1:14">
      <c r="A154" t="str">
        <f t="shared" si="11"/>
        <v>2011-04</v>
      </c>
      <c r="B154" s="9">
        <v>40656.382569444446</v>
      </c>
      <c r="C154" s="10">
        <v>31</v>
      </c>
      <c r="D154" s="11" t="s">
        <v>46</v>
      </c>
      <c r="E154" s="10">
        <v>28</v>
      </c>
      <c r="F154" s="12">
        <v>21</v>
      </c>
      <c r="G154" s="12">
        <f t="shared" si="10"/>
        <v>588</v>
      </c>
      <c r="H154" s="13">
        <v>12</v>
      </c>
      <c r="I154" s="13">
        <f t="shared" si="12"/>
        <v>336</v>
      </c>
      <c r="J154" s="8">
        <f t="shared" si="13"/>
        <v>252</v>
      </c>
      <c r="K154" s="10">
        <v>846</v>
      </c>
      <c r="L154" s="11" t="s">
        <v>35</v>
      </c>
      <c r="M154" s="30" t="s">
        <v>21</v>
      </c>
      <c r="N154" s="33">
        <f t="shared" si="14"/>
        <v>0.42857142857142855</v>
      </c>
    </row>
    <row r="155" spans="1:14">
      <c r="A155" t="str">
        <f t="shared" si="11"/>
        <v>2011-04</v>
      </c>
      <c r="B155" s="9">
        <v>40657.033252314817</v>
      </c>
      <c r="C155" s="10">
        <v>31</v>
      </c>
      <c r="D155" s="11" t="s">
        <v>46</v>
      </c>
      <c r="E155" s="10">
        <v>45</v>
      </c>
      <c r="F155" s="12">
        <v>21</v>
      </c>
      <c r="G155" s="12">
        <f t="shared" si="10"/>
        <v>945</v>
      </c>
      <c r="H155" s="13">
        <v>12</v>
      </c>
      <c r="I155" s="13">
        <f t="shared" si="12"/>
        <v>540</v>
      </c>
      <c r="J155" s="8">
        <f t="shared" si="13"/>
        <v>405</v>
      </c>
      <c r="K155" s="10">
        <v>557</v>
      </c>
      <c r="L155" s="11" t="s">
        <v>36</v>
      </c>
      <c r="M155" s="30" t="s">
        <v>18</v>
      </c>
      <c r="N155" s="33">
        <f t="shared" si="14"/>
        <v>0.42857142857142855</v>
      </c>
    </row>
    <row r="156" spans="1:14">
      <c r="A156" t="str">
        <f t="shared" si="11"/>
        <v>2011-04</v>
      </c>
      <c r="B156" s="9">
        <v>40657.044374999998</v>
      </c>
      <c r="C156" s="10">
        <v>16</v>
      </c>
      <c r="D156" s="11" t="s">
        <v>20</v>
      </c>
      <c r="E156" s="10">
        <v>54</v>
      </c>
      <c r="F156" s="12">
        <v>15</v>
      </c>
      <c r="G156" s="12">
        <f t="shared" si="10"/>
        <v>810</v>
      </c>
      <c r="H156" s="13">
        <v>14</v>
      </c>
      <c r="I156" s="13">
        <f t="shared" si="12"/>
        <v>756</v>
      </c>
      <c r="J156" s="8">
        <f t="shared" si="13"/>
        <v>54</v>
      </c>
      <c r="K156" s="10">
        <v>233</v>
      </c>
      <c r="L156" s="11" t="s">
        <v>24</v>
      </c>
      <c r="M156" s="30" t="s">
        <v>25</v>
      </c>
      <c r="N156" s="33">
        <f t="shared" si="14"/>
        <v>6.6666666666666666E-2</v>
      </c>
    </row>
    <row r="157" spans="1:14">
      <c r="A157" t="str">
        <f t="shared" si="11"/>
        <v>2011-04</v>
      </c>
      <c r="B157" s="9">
        <v>40657.242118055554</v>
      </c>
      <c r="C157" s="10">
        <v>30</v>
      </c>
      <c r="D157" s="11" t="s">
        <v>23</v>
      </c>
      <c r="E157" s="10">
        <v>23</v>
      </c>
      <c r="F157" s="12">
        <v>12</v>
      </c>
      <c r="G157" s="12">
        <f t="shared" si="10"/>
        <v>276</v>
      </c>
      <c r="H157" s="13">
        <v>8</v>
      </c>
      <c r="I157" s="13">
        <f t="shared" si="12"/>
        <v>184</v>
      </c>
      <c r="J157" s="8">
        <f t="shared" si="13"/>
        <v>92</v>
      </c>
      <c r="K157" s="10">
        <v>6</v>
      </c>
      <c r="L157" s="11" t="s">
        <v>33</v>
      </c>
      <c r="M157" s="30" t="s">
        <v>25</v>
      </c>
      <c r="N157" s="33">
        <f t="shared" si="14"/>
        <v>0.33333333333333331</v>
      </c>
    </row>
    <row r="158" spans="1:14">
      <c r="A158" t="str">
        <f t="shared" si="11"/>
        <v>2011-04</v>
      </c>
      <c r="B158" s="9">
        <v>40657.472071759257</v>
      </c>
      <c r="C158" s="10">
        <v>16</v>
      </c>
      <c r="D158" s="11" t="s">
        <v>20</v>
      </c>
      <c r="E158" s="10">
        <v>85</v>
      </c>
      <c r="F158" s="12">
        <v>15</v>
      </c>
      <c r="G158" s="12">
        <f t="shared" si="10"/>
        <v>1275</v>
      </c>
      <c r="H158" s="13">
        <v>14</v>
      </c>
      <c r="I158" s="13">
        <f t="shared" si="12"/>
        <v>1190</v>
      </c>
      <c r="J158" s="8">
        <f t="shared" si="13"/>
        <v>85</v>
      </c>
      <c r="K158" s="10">
        <v>686</v>
      </c>
      <c r="L158" s="11" t="s">
        <v>56</v>
      </c>
      <c r="M158" s="30" t="s">
        <v>21</v>
      </c>
      <c r="N158" s="33">
        <f t="shared" si="14"/>
        <v>6.6666666666666666E-2</v>
      </c>
    </row>
    <row r="159" spans="1:14">
      <c r="A159" t="str">
        <f t="shared" si="11"/>
        <v>2011-04</v>
      </c>
      <c r="B159" s="9">
        <v>40657.544583333336</v>
      </c>
      <c r="C159" s="10">
        <v>100</v>
      </c>
      <c r="D159" s="11" t="s">
        <v>40</v>
      </c>
      <c r="E159" s="10">
        <v>89</v>
      </c>
      <c r="F159" s="12">
        <v>8</v>
      </c>
      <c r="G159" s="12">
        <f t="shared" si="10"/>
        <v>712</v>
      </c>
      <c r="H159" s="13">
        <v>4</v>
      </c>
      <c r="I159" s="13">
        <f t="shared" si="12"/>
        <v>356</v>
      </c>
      <c r="J159" s="8">
        <f t="shared" si="13"/>
        <v>356</v>
      </c>
      <c r="K159" s="10">
        <v>23</v>
      </c>
      <c r="L159" s="11" t="s">
        <v>32</v>
      </c>
      <c r="M159" s="30" t="s">
        <v>21</v>
      </c>
      <c r="N159" s="33">
        <f t="shared" si="14"/>
        <v>0.5</v>
      </c>
    </row>
    <row r="160" spans="1:14">
      <c r="A160" t="str">
        <f t="shared" si="11"/>
        <v>2011-04</v>
      </c>
      <c r="B160" s="9">
        <v>40657.934930555559</v>
      </c>
      <c r="C160" s="10">
        <v>16</v>
      </c>
      <c r="D160" s="11" t="s">
        <v>20</v>
      </c>
      <c r="E160" s="10">
        <v>24</v>
      </c>
      <c r="F160" s="12">
        <v>15</v>
      </c>
      <c r="G160" s="12">
        <f t="shared" si="10"/>
        <v>360</v>
      </c>
      <c r="H160" s="13">
        <v>14</v>
      </c>
      <c r="I160" s="13">
        <f t="shared" si="12"/>
        <v>336</v>
      </c>
      <c r="J160" s="8">
        <f t="shared" si="13"/>
        <v>24</v>
      </c>
      <c r="K160" s="10">
        <v>686</v>
      </c>
      <c r="L160" s="11" t="s">
        <v>56</v>
      </c>
      <c r="M160" s="30" t="s">
        <v>21</v>
      </c>
      <c r="N160" s="33">
        <f t="shared" si="14"/>
        <v>6.6666666666666666E-2</v>
      </c>
    </row>
    <row r="161" spans="1:14">
      <c r="A161" t="str">
        <f t="shared" si="11"/>
        <v>2011-04</v>
      </c>
      <c r="B161" s="9">
        <v>40659.559513888889</v>
      </c>
      <c r="C161" s="10">
        <v>30</v>
      </c>
      <c r="D161" s="11" t="s">
        <v>23</v>
      </c>
      <c r="E161" s="10">
        <v>85</v>
      </c>
      <c r="F161" s="12">
        <v>12</v>
      </c>
      <c r="G161" s="12">
        <f t="shared" si="10"/>
        <v>1020</v>
      </c>
      <c r="H161" s="13">
        <v>8</v>
      </c>
      <c r="I161" s="13">
        <f t="shared" si="12"/>
        <v>680</v>
      </c>
      <c r="J161" s="8">
        <f t="shared" si="13"/>
        <v>340</v>
      </c>
      <c r="K161" s="10">
        <v>14</v>
      </c>
      <c r="L161" s="11" t="s">
        <v>27</v>
      </c>
      <c r="M161" s="30" t="s">
        <v>25</v>
      </c>
      <c r="N161" s="33">
        <f t="shared" si="14"/>
        <v>0.33333333333333331</v>
      </c>
    </row>
    <row r="162" spans="1:14">
      <c r="A162" t="str">
        <f t="shared" si="11"/>
        <v>2011-04</v>
      </c>
      <c r="B162" s="9">
        <v>40659.856238425928</v>
      </c>
      <c r="C162" s="10">
        <v>4</v>
      </c>
      <c r="D162" s="11" t="s">
        <v>44</v>
      </c>
      <c r="E162" s="10">
        <v>86</v>
      </c>
      <c r="F162" s="12">
        <v>9</v>
      </c>
      <c r="G162" s="12">
        <f t="shared" si="10"/>
        <v>774</v>
      </c>
      <c r="H162" s="13">
        <v>7</v>
      </c>
      <c r="I162" s="13">
        <f t="shared" si="12"/>
        <v>602</v>
      </c>
      <c r="J162" s="8">
        <f t="shared" si="13"/>
        <v>172</v>
      </c>
      <c r="K162" s="10">
        <v>6</v>
      </c>
      <c r="L162" s="11" t="s">
        <v>33</v>
      </c>
      <c r="M162" s="30" t="s">
        <v>21</v>
      </c>
      <c r="N162" s="33">
        <f t="shared" si="14"/>
        <v>0.22222222222222221</v>
      </c>
    </row>
    <row r="163" spans="1:14">
      <c r="A163" t="str">
        <f t="shared" si="11"/>
        <v>2011-04</v>
      </c>
      <c r="B163" s="9">
        <v>40660.504629629628</v>
      </c>
      <c r="C163" s="10">
        <v>30</v>
      </c>
      <c r="D163" s="11" t="s">
        <v>23</v>
      </c>
      <c r="E163" s="10">
        <v>95</v>
      </c>
      <c r="F163" s="12">
        <v>12</v>
      </c>
      <c r="G163" s="12">
        <f t="shared" si="10"/>
        <v>1140</v>
      </c>
      <c r="H163" s="13">
        <v>8</v>
      </c>
      <c r="I163" s="13">
        <f t="shared" si="12"/>
        <v>760</v>
      </c>
      <c r="J163" s="8">
        <f t="shared" si="13"/>
        <v>380</v>
      </c>
      <c r="K163" s="10">
        <v>686</v>
      </c>
      <c r="L163" s="11" t="s">
        <v>56</v>
      </c>
      <c r="M163" s="30" t="s">
        <v>25</v>
      </c>
      <c r="N163" s="33">
        <f t="shared" si="14"/>
        <v>0.33333333333333331</v>
      </c>
    </row>
    <row r="164" spans="1:14">
      <c r="A164" t="str">
        <f t="shared" si="11"/>
        <v>2011-04</v>
      </c>
      <c r="B164" s="9">
        <v>40660.533807870372</v>
      </c>
      <c r="C164" s="10">
        <v>4</v>
      </c>
      <c r="D164" s="11" t="s">
        <v>44</v>
      </c>
      <c r="E164" s="10">
        <v>19</v>
      </c>
      <c r="F164" s="12">
        <v>9</v>
      </c>
      <c r="G164" s="12">
        <f t="shared" si="10"/>
        <v>171</v>
      </c>
      <c r="H164" s="13">
        <v>7</v>
      </c>
      <c r="I164" s="13">
        <f t="shared" si="12"/>
        <v>133</v>
      </c>
      <c r="J164" s="8">
        <f t="shared" si="13"/>
        <v>38</v>
      </c>
      <c r="K164" s="10">
        <v>14</v>
      </c>
      <c r="L164" s="11" t="s">
        <v>27</v>
      </c>
      <c r="M164" s="30" t="s">
        <v>25</v>
      </c>
      <c r="N164" s="33">
        <f t="shared" si="14"/>
        <v>0.22222222222222221</v>
      </c>
    </row>
    <row r="165" spans="1:14">
      <c r="A165" t="str">
        <f t="shared" si="11"/>
        <v>2011-04</v>
      </c>
      <c r="B165" s="9">
        <v>40661.619340277779</v>
      </c>
      <c r="C165" s="10">
        <v>4</v>
      </c>
      <c r="D165" s="11" t="s">
        <v>44</v>
      </c>
      <c r="E165" s="10">
        <v>82</v>
      </c>
      <c r="F165" s="12">
        <v>9</v>
      </c>
      <c r="G165" s="12">
        <f t="shared" si="10"/>
        <v>738</v>
      </c>
      <c r="H165" s="13">
        <v>7</v>
      </c>
      <c r="I165" s="13">
        <f t="shared" si="12"/>
        <v>574</v>
      </c>
      <c r="J165" s="8">
        <f t="shared" si="13"/>
        <v>164</v>
      </c>
      <c r="K165" s="10">
        <v>233</v>
      </c>
      <c r="L165" s="11" t="s">
        <v>24</v>
      </c>
      <c r="M165" s="30" t="s">
        <v>25</v>
      </c>
      <c r="N165" s="33">
        <f t="shared" si="14"/>
        <v>0.22222222222222221</v>
      </c>
    </row>
    <row r="166" spans="1:14">
      <c r="A166" t="str">
        <f t="shared" si="11"/>
        <v>2011-04</v>
      </c>
      <c r="B166" s="9">
        <v>40662.000868055555</v>
      </c>
      <c r="C166" s="10">
        <v>30</v>
      </c>
      <c r="D166" s="11" t="s">
        <v>23</v>
      </c>
      <c r="E166" s="10">
        <v>48</v>
      </c>
      <c r="F166" s="12">
        <v>12</v>
      </c>
      <c r="G166" s="12">
        <f t="shared" si="10"/>
        <v>576</v>
      </c>
      <c r="H166" s="13">
        <v>8</v>
      </c>
      <c r="I166" s="13">
        <f t="shared" si="12"/>
        <v>384</v>
      </c>
      <c r="J166" s="8">
        <f t="shared" si="13"/>
        <v>192</v>
      </c>
      <c r="K166" s="10">
        <v>557</v>
      </c>
      <c r="L166" s="11" t="s">
        <v>36</v>
      </c>
      <c r="M166" s="30" t="s">
        <v>18</v>
      </c>
      <c r="N166" s="33">
        <f t="shared" si="14"/>
        <v>0.33333333333333331</v>
      </c>
    </row>
    <row r="167" spans="1:14">
      <c r="A167" t="str">
        <f t="shared" si="11"/>
        <v>2011-04</v>
      </c>
      <c r="B167" s="9">
        <v>40663.60396990741</v>
      </c>
      <c r="C167" s="10">
        <v>100</v>
      </c>
      <c r="D167" s="11" t="s">
        <v>40</v>
      </c>
      <c r="E167" s="10">
        <v>10</v>
      </c>
      <c r="F167" s="12">
        <v>8</v>
      </c>
      <c r="G167" s="12">
        <f t="shared" si="10"/>
        <v>80</v>
      </c>
      <c r="H167" s="13">
        <v>4</v>
      </c>
      <c r="I167" s="13">
        <f t="shared" si="12"/>
        <v>40</v>
      </c>
      <c r="J167" s="8">
        <f t="shared" si="13"/>
        <v>40</v>
      </c>
      <c r="K167" s="10">
        <v>572</v>
      </c>
      <c r="L167" s="11" t="s">
        <v>31</v>
      </c>
      <c r="M167" s="30" t="s">
        <v>18</v>
      </c>
      <c r="N167" s="33">
        <f t="shared" si="14"/>
        <v>0.5</v>
      </c>
    </row>
    <row r="168" spans="1:14">
      <c r="A168" t="str">
        <f t="shared" si="11"/>
        <v>2011-05</v>
      </c>
      <c r="B168" s="9">
        <v>40664.424409722225</v>
      </c>
      <c r="C168" s="10">
        <v>4</v>
      </c>
      <c r="D168" s="11" t="s">
        <v>44</v>
      </c>
      <c r="E168" s="10">
        <v>62</v>
      </c>
      <c r="F168" s="12">
        <v>9</v>
      </c>
      <c r="G168" s="12">
        <f t="shared" si="10"/>
        <v>558</v>
      </c>
      <c r="H168" s="13">
        <v>7</v>
      </c>
      <c r="I168" s="13">
        <f t="shared" si="12"/>
        <v>434</v>
      </c>
      <c r="J168" s="8">
        <f t="shared" si="13"/>
        <v>124</v>
      </c>
      <c r="K168" s="10">
        <v>846</v>
      </c>
      <c r="L168" s="11" t="s">
        <v>35</v>
      </c>
      <c r="M168" s="30" t="s">
        <v>25</v>
      </c>
      <c r="N168" s="33">
        <f t="shared" si="14"/>
        <v>0.22222222222222221</v>
      </c>
    </row>
    <row r="169" spans="1:14">
      <c r="A169" t="str">
        <f t="shared" si="11"/>
        <v>2011-05</v>
      </c>
      <c r="B169" s="9">
        <v>40666.321296296293</v>
      </c>
      <c r="C169" s="10">
        <v>39</v>
      </c>
      <c r="D169" s="11" t="s">
        <v>37</v>
      </c>
      <c r="E169" s="10">
        <v>3</v>
      </c>
      <c r="F169" s="12">
        <v>33</v>
      </c>
      <c r="G169" s="12">
        <f t="shared" si="10"/>
        <v>99</v>
      </c>
      <c r="H169" s="13">
        <v>28</v>
      </c>
      <c r="I169" s="13">
        <f t="shared" si="12"/>
        <v>84</v>
      </c>
      <c r="J169" s="8">
        <f t="shared" si="13"/>
        <v>15</v>
      </c>
      <c r="K169" s="10">
        <v>572</v>
      </c>
      <c r="L169" s="11" t="s">
        <v>31</v>
      </c>
      <c r="M169" s="30" t="s">
        <v>25</v>
      </c>
      <c r="N169" s="33">
        <f t="shared" si="14"/>
        <v>0.15151515151515152</v>
      </c>
    </row>
    <row r="170" spans="1:14">
      <c r="A170" t="str">
        <f t="shared" si="11"/>
        <v>2011-05</v>
      </c>
      <c r="B170" s="9">
        <v>40666.556712962964</v>
      </c>
      <c r="C170" s="10">
        <v>30</v>
      </c>
      <c r="D170" s="11" t="s">
        <v>23</v>
      </c>
      <c r="E170" s="10">
        <v>25</v>
      </c>
      <c r="F170" s="12">
        <v>12</v>
      </c>
      <c r="G170" s="12">
        <f t="shared" si="10"/>
        <v>300</v>
      </c>
      <c r="H170" s="13">
        <v>8</v>
      </c>
      <c r="I170" s="13">
        <f t="shared" si="12"/>
        <v>200</v>
      </c>
      <c r="J170" s="8">
        <f t="shared" si="13"/>
        <v>100</v>
      </c>
      <c r="K170" s="10">
        <v>23</v>
      </c>
      <c r="L170" s="11" t="s">
        <v>32</v>
      </c>
      <c r="M170" s="30" t="s">
        <v>25</v>
      </c>
      <c r="N170" s="33">
        <f t="shared" si="14"/>
        <v>0.33333333333333331</v>
      </c>
    </row>
    <row r="171" spans="1:14">
      <c r="A171" t="str">
        <f t="shared" si="11"/>
        <v>2011-05</v>
      </c>
      <c r="B171" s="9">
        <v>40667.888113425928</v>
      </c>
      <c r="C171" s="10">
        <v>4</v>
      </c>
      <c r="D171" s="11" t="s">
        <v>44</v>
      </c>
      <c r="E171" s="10">
        <v>25</v>
      </c>
      <c r="F171" s="12">
        <v>9</v>
      </c>
      <c r="G171" s="12">
        <f t="shared" si="10"/>
        <v>225</v>
      </c>
      <c r="H171" s="13">
        <v>7</v>
      </c>
      <c r="I171" s="13">
        <f t="shared" si="12"/>
        <v>175</v>
      </c>
      <c r="J171" s="8">
        <f t="shared" si="13"/>
        <v>50</v>
      </c>
      <c r="K171" s="10">
        <v>23</v>
      </c>
      <c r="L171" s="11" t="s">
        <v>32</v>
      </c>
      <c r="M171" s="30" t="s">
        <v>25</v>
      </c>
      <c r="N171" s="33">
        <f t="shared" si="14"/>
        <v>0.22222222222222221</v>
      </c>
    </row>
    <row r="172" spans="1:14">
      <c r="A172" t="str">
        <f t="shared" si="11"/>
        <v>2011-05</v>
      </c>
      <c r="B172" s="9">
        <v>40668.714953703704</v>
      </c>
      <c r="C172" s="10">
        <v>16</v>
      </c>
      <c r="D172" s="11" t="s">
        <v>20</v>
      </c>
      <c r="E172" s="10">
        <v>84</v>
      </c>
      <c r="F172" s="12">
        <v>15</v>
      </c>
      <c r="G172" s="12">
        <f t="shared" si="10"/>
        <v>1260</v>
      </c>
      <c r="H172" s="13">
        <v>14</v>
      </c>
      <c r="I172" s="13">
        <f t="shared" si="12"/>
        <v>1176</v>
      </c>
      <c r="J172" s="8">
        <f t="shared" si="13"/>
        <v>84</v>
      </c>
      <c r="K172" s="10">
        <v>846</v>
      </c>
      <c r="L172" s="11" t="s">
        <v>35</v>
      </c>
      <c r="M172" s="30" t="s">
        <v>25</v>
      </c>
      <c r="N172" s="33">
        <f t="shared" si="14"/>
        <v>6.6666666666666666E-2</v>
      </c>
    </row>
    <row r="173" spans="1:14">
      <c r="A173" t="str">
        <f t="shared" si="11"/>
        <v>2011-05</v>
      </c>
      <c r="B173" s="9">
        <v>40668.912546296298</v>
      </c>
      <c r="C173" s="10">
        <v>39</v>
      </c>
      <c r="D173" s="11" t="s">
        <v>37</v>
      </c>
      <c r="E173" s="10">
        <v>51</v>
      </c>
      <c r="F173" s="12">
        <v>33</v>
      </c>
      <c r="G173" s="12">
        <f t="shared" si="10"/>
        <v>1683</v>
      </c>
      <c r="H173" s="13">
        <v>28</v>
      </c>
      <c r="I173" s="13">
        <f t="shared" si="12"/>
        <v>1428</v>
      </c>
      <c r="J173" s="8">
        <f t="shared" si="13"/>
        <v>255</v>
      </c>
      <c r="K173" s="10">
        <v>95</v>
      </c>
      <c r="L173" s="11" t="s">
        <v>34</v>
      </c>
      <c r="M173" s="30" t="s">
        <v>25</v>
      </c>
      <c r="N173" s="33">
        <f t="shared" si="14"/>
        <v>0.15151515151515152</v>
      </c>
    </row>
    <row r="174" spans="1:14">
      <c r="A174" t="str">
        <f t="shared" si="11"/>
        <v>2011-05</v>
      </c>
      <c r="B174" s="9">
        <v>40669.102824074071</v>
      </c>
      <c r="C174" s="10">
        <v>2</v>
      </c>
      <c r="D174" s="11" t="s">
        <v>30</v>
      </c>
      <c r="E174" s="10">
        <v>63</v>
      </c>
      <c r="F174" s="12">
        <v>12</v>
      </c>
      <c r="G174" s="12">
        <f t="shared" si="10"/>
        <v>756</v>
      </c>
      <c r="H174" s="13">
        <v>6</v>
      </c>
      <c r="I174" s="13">
        <f t="shared" si="12"/>
        <v>378</v>
      </c>
      <c r="J174" s="8">
        <f t="shared" si="13"/>
        <v>378</v>
      </c>
      <c r="K174" s="10">
        <v>23</v>
      </c>
      <c r="L174" s="11" t="s">
        <v>32</v>
      </c>
      <c r="M174" s="30" t="s">
        <v>25</v>
      </c>
      <c r="N174" s="33">
        <f t="shared" si="14"/>
        <v>0.5</v>
      </c>
    </row>
    <row r="175" spans="1:14">
      <c r="A175" t="str">
        <f t="shared" si="11"/>
        <v>2011-05</v>
      </c>
      <c r="B175" s="9">
        <v>40669.255960648145</v>
      </c>
      <c r="C175" s="10">
        <v>16</v>
      </c>
      <c r="D175" s="11" t="s">
        <v>20</v>
      </c>
      <c r="E175" s="10">
        <v>18</v>
      </c>
      <c r="F175" s="12">
        <v>15</v>
      </c>
      <c r="G175" s="12">
        <f t="shared" si="10"/>
        <v>270</v>
      </c>
      <c r="H175" s="13">
        <v>14</v>
      </c>
      <c r="I175" s="13">
        <f t="shared" si="12"/>
        <v>252</v>
      </c>
      <c r="J175" s="8">
        <f t="shared" si="13"/>
        <v>18</v>
      </c>
      <c r="K175" s="10">
        <v>315</v>
      </c>
      <c r="L175" s="11" t="s">
        <v>17</v>
      </c>
      <c r="M175" s="30" t="s">
        <v>25</v>
      </c>
      <c r="N175" s="33">
        <f t="shared" si="14"/>
        <v>6.6666666666666666E-2</v>
      </c>
    </row>
    <row r="176" spans="1:14">
      <c r="A176" t="str">
        <f t="shared" si="11"/>
        <v>2011-05</v>
      </c>
      <c r="B176" s="9">
        <v>40669.817650462966</v>
      </c>
      <c r="C176" s="10">
        <v>4</v>
      </c>
      <c r="D176" s="11" t="s">
        <v>44</v>
      </c>
      <c r="E176" s="10">
        <v>10</v>
      </c>
      <c r="F176" s="12">
        <v>9</v>
      </c>
      <c r="G176" s="12">
        <f t="shared" si="10"/>
        <v>90</v>
      </c>
      <c r="H176" s="13">
        <v>7</v>
      </c>
      <c r="I176" s="13">
        <f t="shared" si="12"/>
        <v>70</v>
      </c>
      <c r="J176" s="8">
        <f t="shared" si="13"/>
        <v>20</v>
      </c>
      <c r="K176" s="10">
        <v>14</v>
      </c>
      <c r="L176" s="11" t="s">
        <v>27</v>
      </c>
      <c r="M176" s="30" t="s">
        <v>25</v>
      </c>
      <c r="N176" s="33">
        <f t="shared" si="14"/>
        <v>0.22222222222222221</v>
      </c>
    </row>
    <row r="177" spans="1:14">
      <c r="A177" t="str">
        <f t="shared" si="11"/>
        <v>2011-05</v>
      </c>
      <c r="B177" s="9">
        <v>40670.558020833334</v>
      </c>
      <c r="C177" s="10">
        <v>19</v>
      </c>
      <c r="D177" s="11" t="s">
        <v>47</v>
      </c>
      <c r="E177" s="10">
        <v>84</v>
      </c>
      <c r="F177" s="12">
        <v>36</v>
      </c>
      <c r="G177" s="12">
        <f t="shared" si="10"/>
        <v>3024</v>
      </c>
      <c r="H177" s="13">
        <v>25</v>
      </c>
      <c r="I177" s="13">
        <f t="shared" si="12"/>
        <v>2100</v>
      </c>
      <c r="J177" s="8">
        <f t="shared" si="13"/>
        <v>924</v>
      </c>
      <c r="K177" s="10">
        <v>23</v>
      </c>
      <c r="L177" s="11" t="s">
        <v>32</v>
      </c>
      <c r="M177" s="30" t="s">
        <v>25</v>
      </c>
      <c r="N177" s="33">
        <f t="shared" si="14"/>
        <v>0.30555555555555558</v>
      </c>
    </row>
    <row r="178" spans="1:14">
      <c r="A178" t="str">
        <f t="shared" si="11"/>
        <v>2011-05</v>
      </c>
      <c r="B178" s="9">
        <v>40671.161631944444</v>
      </c>
      <c r="C178" s="10">
        <v>22</v>
      </c>
      <c r="D178" s="11" t="s">
        <v>16</v>
      </c>
      <c r="E178" s="10">
        <v>69</v>
      </c>
      <c r="F178" s="12">
        <v>24</v>
      </c>
      <c r="G178" s="12">
        <f t="shared" si="10"/>
        <v>1656</v>
      </c>
      <c r="H178" s="13">
        <v>18</v>
      </c>
      <c r="I178" s="13">
        <f t="shared" si="12"/>
        <v>1242</v>
      </c>
      <c r="J178" s="8">
        <f t="shared" si="13"/>
        <v>414</v>
      </c>
      <c r="K178" s="10">
        <v>557</v>
      </c>
      <c r="L178" s="11" t="s">
        <v>36</v>
      </c>
      <c r="M178" s="30" t="s">
        <v>25</v>
      </c>
      <c r="N178" s="33">
        <f t="shared" si="14"/>
        <v>0.25</v>
      </c>
    </row>
    <row r="179" spans="1:14">
      <c r="A179" t="str">
        <f t="shared" si="11"/>
        <v>2011-05</v>
      </c>
      <c r="B179" s="9">
        <v>40671.865925925929</v>
      </c>
      <c r="C179" s="10">
        <v>16</v>
      </c>
      <c r="D179" s="11" t="s">
        <v>20</v>
      </c>
      <c r="E179" s="10">
        <v>88</v>
      </c>
      <c r="F179" s="12">
        <v>15</v>
      </c>
      <c r="G179" s="12">
        <f t="shared" si="10"/>
        <v>1320</v>
      </c>
      <c r="H179" s="13">
        <v>14</v>
      </c>
      <c r="I179" s="13">
        <f t="shared" si="12"/>
        <v>1232</v>
      </c>
      <c r="J179" s="8">
        <f t="shared" si="13"/>
        <v>88</v>
      </c>
      <c r="K179" s="10">
        <v>572</v>
      </c>
      <c r="L179" s="11" t="s">
        <v>31</v>
      </c>
      <c r="M179" s="30" t="s">
        <v>25</v>
      </c>
      <c r="N179" s="33">
        <f t="shared" si="14"/>
        <v>6.6666666666666666E-2</v>
      </c>
    </row>
    <row r="180" spans="1:14">
      <c r="A180" t="str">
        <f t="shared" si="11"/>
        <v>2011-05</v>
      </c>
      <c r="B180" s="9">
        <v>40673.593645833331</v>
      </c>
      <c r="C180" s="10">
        <v>16</v>
      </c>
      <c r="D180" s="11" t="s">
        <v>20</v>
      </c>
      <c r="E180" s="10">
        <v>98</v>
      </c>
      <c r="F180" s="12">
        <v>15</v>
      </c>
      <c r="G180" s="12">
        <f t="shared" si="10"/>
        <v>1470</v>
      </c>
      <c r="H180" s="13">
        <v>14</v>
      </c>
      <c r="I180" s="13">
        <f t="shared" si="12"/>
        <v>1372</v>
      </c>
      <c r="J180" s="8">
        <f t="shared" si="13"/>
        <v>98</v>
      </c>
      <c r="K180" s="10">
        <v>686</v>
      </c>
      <c r="L180" s="11" t="s">
        <v>56</v>
      </c>
      <c r="M180" s="30" t="s">
        <v>25</v>
      </c>
      <c r="N180" s="33">
        <f t="shared" si="14"/>
        <v>6.6666666666666666E-2</v>
      </c>
    </row>
    <row r="181" spans="1:14">
      <c r="A181" t="str">
        <f t="shared" si="11"/>
        <v>2011-05</v>
      </c>
      <c r="B181" s="9">
        <v>40674.161215277774</v>
      </c>
      <c r="C181" s="10">
        <v>98</v>
      </c>
      <c r="D181" s="11" t="s">
        <v>58</v>
      </c>
      <c r="E181" s="10">
        <v>52</v>
      </c>
      <c r="F181" s="12">
        <v>18</v>
      </c>
      <c r="G181" s="12">
        <f t="shared" si="10"/>
        <v>936</v>
      </c>
      <c r="H181" s="13">
        <v>8</v>
      </c>
      <c r="I181" s="13">
        <f t="shared" si="12"/>
        <v>416</v>
      </c>
      <c r="J181" s="8">
        <f t="shared" si="13"/>
        <v>520</v>
      </c>
      <c r="K181" s="10">
        <v>572</v>
      </c>
      <c r="L181" s="11" t="s">
        <v>31</v>
      </c>
      <c r="M181" s="30" t="s">
        <v>25</v>
      </c>
      <c r="N181" s="33">
        <f t="shared" si="14"/>
        <v>0.55555555555555558</v>
      </c>
    </row>
    <row r="182" spans="1:14">
      <c r="A182" t="str">
        <f t="shared" si="11"/>
        <v>2011-05</v>
      </c>
      <c r="B182" s="9">
        <v>40675.382488425923</v>
      </c>
      <c r="C182" s="10">
        <v>100</v>
      </c>
      <c r="D182" s="11" t="s">
        <v>40</v>
      </c>
      <c r="E182" s="10">
        <v>28</v>
      </c>
      <c r="F182" s="12">
        <v>8</v>
      </c>
      <c r="G182" s="12">
        <f t="shared" si="10"/>
        <v>224</v>
      </c>
      <c r="H182" s="13">
        <v>4</v>
      </c>
      <c r="I182" s="13">
        <f t="shared" si="12"/>
        <v>112</v>
      </c>
      <c r="J182" s="8">
        <f t="shared" si="13"/>
        <v>112</v>
      </c>
      <c r="K182" s="10">
        <v>846</v>
      </c>
      <c r="L182" s="11" t="s">
        <v>35</v>
      </c>
      <c r="M182" s="30" t="s">
        <v>25</v>
      </c>
      <c r="N182" s="33">
        <f t="shared" si="14"/>
        <v>0.5</v>
      </c>
    </row>
    <row r="183" spans="1:14">
      <c r="A183" t="str">
        <f t="shared" si="11"/>
        <v>2011-05</v>
      </c>
      <c r="B183" s="9">
        <v>40675.891770833332</v>
      </c>
      <c r="C183" s="10">
        <v>30</v>
      </c>
      <c r="D183" s="11" t="s">
        <v>23</v>
      </c>
      <c r="E183" s="10">
        <v>79</v>
      </c>
      <c r="F183" s="12">
        <v>12</v>
      </c>
      <c r="G183" s="12">
        <f t="shared" si="10"/>
        <v>948</v>
      </c>
      <c r="H183" s="13">
        <v>8</v>
      </c>
      <c r="I183" s="13">
        <f t="shared" si="12"/>
        <v>632</v>
      </c>
      <c r="J183" s="8">
        <f t="shared" si="13"/>
        <v>316</v>
      </c>
      <c r="K183" s="10">
        <v>572</v>
      </c>
      <c r="L183" s="11" t="s">
        <v>31</v>
      </c>
      <c r="M183" s="30" t="s">
        <v>25</v>
      </c>
      <c r="N183" s="33">
        <f t="shared" si="14"/>
        <v>0.33333333333333331</v>
      </c>
    </row>
    <row r="184" spans="1:14">
      <c r="A184" t="str">
        <f t="shared" si="11"/>
        <v>2011-05</v>
      </c>
      <c r="B184" s="9">
        <v>40677.147476851853</v>
      </c>
      <c r="C184" s="10">
        <v>30</v>
      </c>
      <c r="D184" s="11" t="s">
        <v>23</v>
      </c>
      <c r="E184" s="10">
        <v>53</v>
      </c>
      <c r="F184" s="12">
        <v>12</v>
      </c>
      <c r="G184" s="12">
        <f t="shared" si="10"/>
        <v>636</v>
      </c>
      <c r="H184" s="13">
        <v>8</v>
      </c>
      <c r="I184" s="13">
        <f t="shared" si="12"/>
        <v>424</v>
      </c>
      <c r="J184" s="8">
        <f t="shared" si="13"/>
        <v>212</v>
      </c>
      <c r="K184" s="10">
        <v>846</v>
      </c>
      <c r="L184" s="11" t="s">
        <v>35</v>
      </c>
      <c r="M184" s="30" t="s">
        <v>25</v>
      </c>
      <c r="N184" s="33">
        <f t="shared" si="14"/>
        <v>0.33333333333333331</v>
      </c>
    </row>
    <row r="185" spans="1:14">
      <c r="A185" t="str">
        <f t="shared" si="11"/>
        <v>2011-05</v>
      </c>
      <c r="B185" s="9">
        <v>40677.232534722221</v>
      </c>
      <c r="C185" s="10">
        <v>100</v>
      </c>
      <c r="D185" s="11" t="s">
        <v>40</v>
      </c>
      <c r="E185" s="10">
        <v>78</v>
      </c>
      <c r="F185" s="12">
        <v>8</v>
      </c>
      <c r="G185" s="12">
        <f t="shared" si="10"/>
        <v>624</v>
      </c>
      <c r="H185" s="13">
        <v>4</v>
      </c>
      <c r="I185" s="13">
        <f t="shared" si="12"/>
        <v>312</v>
      </c>
      <c r="J185" s="8">
        <f t="shared" si="13"/>
        <v>312</v>
      </c>
      <c r="K185" s="10">
        <v>95</v>
      </c>
      <c r="L185" s="11" t="s">
        <v>34</v>
      </c>
      <c r="M185" s="30" t="s">
        <v>25</v>
      </c>
      <c r="N185" s="33">
        <f t="shared" si="14"/>
        <v>0.5</v>
      </c>
    </row>
    <row r="186" spans="1:14">
      <c r="A186" t="str">
        <f t="shared" si="11"/>
        <v>2011-05</v>
      </c>
      <c r="B186" s="9">
        <v>40677.530925925923</v>
      </c>
      <c r="C186" s="10">
        <v>100</v>
      </c>
      <c r="D186" s="11" t="s">
        <v>40</v>
      </c>
      <c r="E186" s="10">
        <v>69</v>
      </c>
      <c r="F186" s="12">
        <v>8</v>
      </c>
      <c r="G186" s="12">
        <f t="shared" si="10"/>
        <v>552</v>
      </c>
      <c r="H186" s="13">
        <v>4</v>
      </c>
      <c r="I186" s="13">
        <f t="shared" si="12"/>
        <v>276</v>
      </c>
      <c r="J186" s="8">
        <f t="shared" si="13"/>
        <v>276</v>
      </c>
      <c r="K186" s="10">
        <v>686</v>
      </c>
      <c r="L186" s="11" t="s">
        <v>56</v>
      </c>
      <c r="M186" s="30" t="s">
        <v>21</v>
      </c>
      <c r="N186" s="33">
        <f t="shared" si="14"/>
        <v>0.5</v>
      </c>
    </row>
    <row r="187" spans="1:14">
      <c r="A187" t="str">
        <f t="shared" si="11"/>
        <v>2011-05</v>
      </c>
      <c r="B187" s="9">
        <v>40677.687615740739</v>
      </c>
      <c r="C187" s="10">
        <v>31</v>
      </c>
      <c r="D187" s="11" t="s">
        <v>46</v>
      </c>
      <c r="E187" s="10">
        <v>60</v>
      </c>
      <c r="F187" s="12">
        <v>21</v>
      </c>
      <c r="G187" s="12">
        <f t="shared" si="10"/>
        <v>1260</v>
      </c>
      <c r="H187" s="13">
        <v>12</v>
      </c>
      <c r="I187" s="13">
        <f t="shared" si="12"/>
        <v>720</v>
      </c>
      <c r="J187" s="8">
        <f t="shared" si="13"/>
        <v>540</v>
      </c>
      <c r="K187" s="10">
        <v>572</v>
      </c>
      <c r="L187" s="11" t="s">
        <v>31</v>
      </c>
      <c r="M187" s="30" t="s">
        <v>21</v>
      </c>
      <c r="N187" s="33">
        <f t="shared" si="14"/>
        <v>0.42857142857142855</v>
      </c>
    </row>
    <row r="188" spans="1:14">
      <c r="A188" t="str">
        <f t="shared" si="11"/>
        <v>2011-05</v>
      </c>
      <c r="B188" s="9">
        <v>40677.95039351852</v>
      </c>
      <c r="C188" s="10">
        <v>19</v>
      </c>
      <c r="D188" s="11" t="s">
        <v>47</v>
      </c>
      <c r="E188" s="10">
        <v>34</v>
      </c>
      <c r="F188" s="12">
        <v>36</v>
      </c>
      <c r="G188" s="12">
        <f t="shared" si="10"/>
        <v>1224</v>
      </c>
      <c r="H188" s="13">
        <v>25</v>
      </c>
      <c r="I188" s="13">
        <f t="shared" si="12"/>
        <v>850</v>
      </c>
      <c r="J188" s="8">
        <f t="shared" si="13"/>
        <v>374</v>
      </c>
      <c r="K188" s="10">
        <v>95</v>
      </c>
      <c r="L188" s="11" t="s">
        <v>34</v>
      </c>
      <c r="M188" s="30" t="s">
        <v>25</v>
      </c>
      <c r="N188" s="33">
        <f t="shared" si="14"/>
        <v>0.30555555555555558</v>
      </c>
    </row>
    <row r="189" spans="1:14">
      <c r="A189" t="str">
        <f t="shared" si="11"/>
        <v>2011-05</v>
      </c>
      <c r="B189" s="9">
        <v>40678.408912037034</v>
      </c>
      <c r="C189" s="10">
        <v>4</v>
      </c>
      <c r="D189" s="11" t="s">
        <v>44</v>
      </c>
      <c r="E189" s="10">
        <v>30</v>
      </c>
      <c r="F189" s="12">
        <v>9</v>
      </c>
      <c r="G189" s="12">
        <f t="shared" si="10"/>
        <v>270</v>
      </c>
      <c r="H189" s="13">
        <v>7</v>
      </c>
      <c r="I189" s="13">
        <f t="shared" si="12"/>
        <v>210</v>
      </c>
      <c r="J189" s="8">
        <f t="shared" si="13"/>
        <v>60</v>
      </c>
      <c r="K189" s="10">
        <v>23</v>
      </c>
      <c r="L189" s="11" t="s">
        <v>32</v>
      </c>
      <c r="M189" s="30" t="s">
        <v>25</v>
      </c>
      <c r="N189" s="33">
        <f t="shared" si="14"/>
        <v>0.22222222222222221</v>
      </c>
    </row>
    <row r="190" spans="1:14">
      <c r="A190" t="str">
        <f t="shared" si="11"/>
        <v>2011-05</v>
      </c>
      <c r="B190" s="9">
        <v>40679.694363425922</v>
      </c>
      <c r="C190" s="10">
        <v>16</v>
      </c>
      <c r="D190" s="11" t="s">
        <v>20</v>
      </c>
      <c r="E190" s="10">
        <v>60</v>
      </c>
      <c r="F190" s="12">
        <v>15</v>
      </c>
      <c r="G190" s="12">
        <f t="shared" si="10"/>
        <v>900</v>
      </c>
      <c r="H190" s="13">
        <v>14</v>
      </c>
      <c r="I190" s="13">
        <f t="shared" si="12"/>
        <v>840</v>
      </c>
      <c r="J190" s="8">
        <f t="shared" si="13"/>
        <v>60</v>
      </c>
      <c r="K190" s="10">
        <v>95</v>
      </c>
      <c r="L190" s="11" t="s">
        <v>34</v>
      </c>
      <c r="M190" s="30" t="s">
        <v>25</v>
      </c>
      <c r="N190" s="33">
        <f t="shared" si="14"/>
        <v>6.6666666666666666E-2</v>
      </c>
    </row>
    <row r="191" spans="1:14">
      <c r="A191" t="str">
        <f t="shared" si="11"/>
        <v>2011-05</v>
      </c>
      <c r="B191" s="9">
        <v>40679.945150462961</v>
      </c>
      <c r="C191" s="10">
        <v>100</v>
      </c>
      <c r="D191" s="11" t="s">
        <v>40</v>
      </c>
      <c r="E191" s="10">
        <v>78</v>
      </c>
      <c r="F191" s="12">
        <v>8</v>
      </c>
      <c r="G191" s="12">
        <f t="shared" si="10"/>
        <v>624</v>
      </c>
      <c r="H191" s="13">
        <v>4</v>
      </c>
      <c r="I191" s="13">
        <f t="shared" si="12"/>
        <v>312</v>
      </c>
      <c r="J191" s="8">
        <f t="shared" si="13"/>
        <v>312</v>
      </c>
      <c r="K191" s="10">
        <v>315</v>
      </c>
      <c r="L191" s="11" t="s">
        <v>17</v>
      </c>
      <c r="M191" s="30" t="s">
        <v>25</v>
      </c>
      <c r="N191" s="33">
        <f t="shared" si="14"/>
        <v>0.5</v>
      </c>
    </row>
    <row r="192" spans="1:14">
      <c r="A192" t="str">
        <f t="shared" si="11"/>
        <v>2011-05</v>
      </c>
      <c r="B192" s="9">
        <v>40680.751006944447</v>
      </c>
      <c r="C192" s="10">
        <v>100</v>
      </c>
      <c r="D192" s="11" t="s">
        <v>40</v>
      </c>
      <c r="E192" s="10">
        <v>46</v>
      </c>
      <c r="F192" s="12">
        <v>8</v>
      </c>
      <c r="G192" s="12">
        <f t="shared" si="10"/>
        <v>368</v>
      </c>
      <c r="H192" s="13">
        <v>4</v>
      </c>
      <c r="I192" s="13">
        <f t="shared" si="12"/>
        <v>184</v>
      </c>
      <c r="J192" s="8">
        <f t="shared" si="13"/>
        <v>184</v>
      </c>
      <c r="K192" s="10">
        <v>23</v>
      </c>
      <c r="L192" s="11" t="s">
        <v>32</v>
      </c>
      <c r="M192" s="30" t="s">
        <v>21</v>
      </c>
      <c r="N192" s="33">
        <f t="shared" si="14"/>
        <v>0.5</v>
      </c>
    </row>
    <row r="193" spans="1:14">
      <c r="A193" t="str">
        <f t="shared" si="11"/>
        <v>2011-05</v>
      </c>
      <c r="B193" s="9">
        <v>40681.851481481484</v>
      </c>
      <c r="C193" s="10">
        <v>39</v>
      </c>
      <c r="D193" s="11" t="s">
        <v>37</v>
      </c>
      <c r="E193" s="10">
        <v>65</v>
      </c>
      <c r="F193" s="12">
        <v>33</v>
      </c>
      <c r="G193" s="12">
        <f t="shared" si="10"/>
        <v>2145</v>
      </c>
      <c r="H193" s="13">
        <v>28</v>
      </c>
      <c r="I193" s="13">
        <f t="shared" si="12"/>
        <v>1820</v>
      </c>
      <c r="J193" s="8">
        <f t="shared" si="13"/>
        <v>325</v>
      </c>
      <c r="K193" s="10">
        <v>846</v>
      </c>
      <c r="L193" s="11" t="s">
        <v>35</v>
      </c>
      <c r="M193" s="30" t="s">
        <v>25</v>
      </c>
      <c r="N193" s="33">
        <f t="shared" si="14"/>
        <v>0.15151515151515152</v>
      </c>
    </row>
    <row r="194" spans="1:14">
      <c r="A194" t="str">
        <f t="shared" si="11"/>
        <v>2011-05</v>
      </c>
      <c r="B194" s="9">
        <v>40682.310532407406</v>
      </c>
      <c r="C194" s="10">
        <v>31</v>
      </c>
      <c r="D194" s="11" t="s">
        <v>46</v>
      </c>
      <c r="E194" s="10">
        <v>88</v>
      </c>
      <c r="F194" s="12">
        <v>21</v>
      </c>
      <c r="G194" s="12">
        <f t="shared" ref="G194:G257" si="15">E194*F194</f>
        <v>1848</v>
      </c>
      <c r="H194" s="13">
        <v>12</v>
      </c>
      <c r="I194" s="13">
        <f t="shared" si="12"/>
        <v>1056</v>
      </c>
      <c r="J194" s="8">
        <f t="shared" si="13"/>
        <v>792</v>
      </c>
      <c r="K194" s="10">
        <v>95</v>
      </c>
      <c r="L194" s="11" t="s">
        <v>34</v>
      </c>
      <c r="M194" s="30" t="s">
        <v>25</v>
      </c>
      <c r="N194" s="33">
        <f t="shared" si="14"/>
        <v>0.42857142857142855</v>
      </c>
    </row>
    <row r="195" spans="1:14">
      <c r="A195" t="str">
        <f t="shared" ref="A195:A258" si="16">TEXT(B195, "YYYY-MM")</f>
        <v>2011-05</v>
      </c>
      <c r="B195" s="9">
        <v>40682.460520833331</v>
      </c>
      <c r="C195" s="10">
        <v>30</v>
      </c>
      <c r="D195" s="11" t="s">
        <v>23</v>
      </c>
      <c r="E195" s="10">
        <v>76</v>
      </c>
      <c r="F195" s="12">
        <v>12</v>
      </c>
      <c r="G195" s="12">
        <f t="shared" si="15"/>
        <v>912</v>
      </c>
      <c r="H195" s="13">
        <v>8</v>
      </c>
      <c r="I195" s="13">
        <f t="shared" ref="I195:I258" si="17">E195*H195</f>
        <v>608</v>
      </c>
      <c r="J195" s="8">
        <f t="shared" ref="J195:J258" si="18">G195-I195</f>
        <v>304</v>
      </c>
      <c r="K195" s="10">
        <v>557</v>
      </c>
      <c r="L195" s="11" t="s">
        <v>36</v>
      </c>
      <c r="M195" s="30" t="s">
        <v>25</v>
      </c>
      <c r="N195" s="33">
        <f t="shared" ref="N195:N258" si="19">J195/G195</f>
        <v>0.33333333333333331</v>
      </c>
    </row>
    <row r="196" spans="1:14">
      <c r="A196" t="str">
        <f t="shared" si="16"/>
        <v>2011-05</v>
      </c>
      <c r="B196" s="9">
        <v>40682.659675925926</v>
      </c>
      <c r="C196" s="10">
        <v>100</v>
      </c>
      <c r="D196" s="11" t="s">
        <v>40</v>
      </c>
      <c r="E196" s="10">
        <v>11</v>
      </c>
      <c r="F196" s="12">
        <v>8</v>
      </c>
      <c r="G196" s="12">
        <f t="shared" si="15"/>
        <v>88</v>
      </c>
      <c r="H196" s="13">
        <v>4</v>
      </c>
      <c r="I196" s="13">
        <f t="shared" si="17"/>
        <v>44</v>
      </c>
      <c r="J196" s="8">
        <f t="shared" si="18"/>
        <v>44</v>
      </c>
      <c r="K196" s="10">
        <v>572</v>
      </c>
      <c r="L196" s="11" t="s">
        <v>31</v>
      </c>
      <c r="M196" s="30" t="s">
        <v>25</v>
      </c>
      <c r="N196" s="33">
        <f t="shared" si="19"/>
        <v>0.5</v>
      </c>
    </row>
    <row r="197" spans="1:14">
      <c r="A197" t="str">
        <f t="shared" si="16"/>
        <v>2011-05</v>
      </c>
      <c r="B197" s="9">
        <v>40682.799583333333</v>
      </c>
      <c r="C197" s="10">
        <v>22</v>
      </c>
      <c r="D197" s="11" t="s">
        <v>16</v>
      </c>
      <c r="E197" s="10">
        <v>35</v>
      </c>
      <c r="F197" s="12">
        <v>24</v>
      </c>
      <c r="G197" s="12">
        <f t="shared" si="15"/>
        <v>840</v>
      </c>
      <c r="H197" s="13">
        <v>18</v>
      </c>
      <c r="I197" s="13">
        <f t="shared" si="17"/>
        <v>630</v>
      </c>
      <c r="J197" s="8">
        <f t="shared" si="18"/>
        <v>210</v>
      </c>
      <c r="K197" s="10">
        <v>6</v>
      </c>
      <c r="L197" s="11" t="s">
        <v>33</v>
      </c>
      <c r="M197" s="30" t="s">
        <v>21</v>
      </c>
      <c r="N197" s="33">
        <f t="shared" si="19"/>
        <v>0.25</v>
      </c>
    </row>
    <row r="198" spans="1:14">
      <c r="A198" t="str">
        <f t="shared" si="16"/>
        <v>2011-05</v>
      </c>
      <c r="B198" s="9">
        <v>40682.888611111113</v>
      </c>
      <c r="C198" s="10">
        <v>16</v>
      </c>
      <c r="D198" s="11" t="s">
        <v>20</v>
      </c>
      <c r="E198" s="10">
        <v>98</v>
      </c>
      <c r="F198" s="12">
        <v>15</v>
      </c>
      <c r="G198" s="12">
        <f t="shared" si="15"/>
        <v>1470</v>
      </c>
      <c r="H198" s="13">
        <v>14</v>
      </c>
      <c r="I198" s="13">
        <f t="shared" si="17"/>
        <v>1372</v>
      </c>
      <c r="J198" s="8">
        <f t="shared" si="18"/>
        <v>98</v>
      </c>
      <c r="K198" s="10">
        <v>233</v>
      </c>
      <c r="L198" s="11" t="s">
        <v>24</v>
      </c>
      <c r="M198" s="30" t="s">
        <v>21</v>
      </c>
      <c r="N198" s="33">
        <f t="shared" si="19"/>
        <v>6.6666666666666666E-2</v>
      </c>
    </row>
    <row r="199" spans="1:14">
      <c r="A199" t="str">
        <f t="shared" si="16"/>
        <v>2011-05</v>
      </c>
      <c r="B199" s="9">
        <v>40683.054155092592</v>
      </c>
      <c r="C199" s="10">
        <v>31</v>
      </c>
      <c r="D199" s="11" t="s">
        <v>46</v>
      </c>
      <c r="E199" s="10">
        <v>57</v>
      </c>
      <c r="F199" s="12">
        <v>21</v>
      </c>
      <c r="G199" s="12">
        <f t="shared" si="15"/>
        <v>1197</v>
      </c>
      <c r="H199" s="13">
        <v>12</v>
      </c>
      <c r="I199" s="13">
        <f t="shared" si="17"/>
        <v>684</v>
      </c>
      <c r="J199" s="8">
        <f t="shared" si="18"/>
        <v>513</v>
      </c>
      <c r="K199" s="10">
        <v>846</v>
      </c>
      <c r="L199" s="11" t="s">
        <v>35</v>
      </c>
      <c r="M199" s="30" t="s">
        <v>25</v>
      </c>
      <c r="N199" s="33">
        <f t="shared" si="19"/>
        <v>0.42857142857142855</v>
      </c>
    </row>
    <row r="200" spans="1:14">
      <c r="A200" t="str">
        <f t="shared" si="16"/>
        <v>2011-05</v>
      </c>
      <c r="B200" s="9">
        <v>40684.549004629633</v>
      </c>
      <c r="C200" s="10">
        <v>31</v>
      </c>
      <c r="D200" s="11" t="s">
        <v>46</v>
      </c>
      <c r="E200" s="10">
        <v>11</v>
      </c>
      <c r="F200" s="12">
        <v>21</v>
      </c>
      <c r="G200" s="12">
        <f t="shared" si="15"/>
        <v>231</v>
      </c>
      <c r="H200" s="13">
        <v>12</v>
      </c>
      <c r="I200" s="13">
        <f t="shared" si="17"/>
        <v>132</v>
      </c>
      <c r="J200" s="8">
        <f t="shared" si="18"/>
        <v>99</v>
      </c>
      <c r="K200" s="10">
        <v>95</v>
      </c>
      <c r="L200" s="11" t="s">
        <v>34</v>
      </c>
      <c r="M200" s="30" t="s">
        <v>21</v>
      </c>
      <c r="N200" s="33">
        <f t="shared" si="19"/>
        <v>0.42857142857142855</v>
      </c>
    </row>
    <row r="201" spans="1:14">
      <c r="A201" t="str">
        <f t="shared" si="16"/>
        <v>2011-05</v>
      </c>
      <c r="B201" s="9">
        <v>40684.650833333333</v>
      </c>
      <c r="C201" s="10">
        <v>31</v>
      </c>
      <c r="D201" s="11" t="s">
        <v>46</v>
      </c>
      <c r="E201" s="10">
        <v>81</v>
      </c>
      <c r="F201" s="12">
        <v>21</v>
      </c>
      <c r="G201" s="12">
        <f t="shared" si="15"/>
        <v>1701</v>
      </c>
      <c r="H201" s="13">
        <v>12</v>
      </c>
      <c r="I201" s="13">
        <f t="shared" si="17"/>
        <v>972</v>
      </c>
      <c r="J201" s="8">
        <f t="shared" si="18"/>
        <v>729</v>
      </c>
      <c r="K201" s="10">
        <v>6</v>
      </c>
      <c r="L201" s="11" t="s">
        <v>33</v>
      </c>
      <c r="M201" s="30" t="s">
        <v>25</v>
      </c>
      <c r="N201" s="33">
        <f t="shared" si="19"/>
        <v>0.42857142857142855</v>
      </c>
    </row>
    <row r="202" spans="1:14">
      <c r="A202" t="str">
        <f t="shared" si="16"/>
        <v>2011-05</v>
      </c>
      <c r="B202" s="9">
        <v>40685.125844907408</v>
      </c>
      <c r="C202" s="10">
        <v>19</v>
      </c>
      <c r="D202" s="11" t="s">
        <v>47</v>
      </c>
      <c r="E202" s="10">
        <v>93</v>
      </c>
      <c r="F202" s="12">
        <v>36</v>
      </c>
      <c r="G202" s="12">
        <f t="shared" si="15"/>
        <v>3348</v>
      </c>
      <c r="H202" s="13">
        <v>25</v>
      </c>
      <c r="I202" s="13">
        <f t="shared" si="17"/>
        <v>2325</v>
      </c>
      <c r="J202" s="8">
        <f t="shared" si="18"/>
        <v>1023</v>
      </c>
      <c r="K202" s="10">
        <v>95</v>
      </c>
      <c r="L202" s="11" t="s">
        <v>34</v>
      </c>
      <c r="M202" s="30" t="s">
        <v>25</v>
      </c>
      <c r="N202" s="33">
        <f t="shared" si="19"/>
        <v>0.30555555555555558</v>
      </c>
    </row>
    <row r="203" spans="1:14">
      <c r="A203" t="str">
        <f t="shared" si="16"/>
        <v>2011-05</v>
      </c>
      <c r="B203" s="9">
        <v>40686.128298611111</v>
      </c>
      <c r="C203" s="10">
        <v>16</v>
      </c>
      <c r="D203" s="11" t="s">
        <v>20</v>
      </c>
      <c r="E203" s="10">
        <v>2</v>
      </c>
      <c r="F203" s="12">
        <v>15</v>
      </c>
      <c r="G203" s="12">
        <f t="shared" si="15"/>
        <v>30</v>
      </c>
      <c r="H203" s="13">
        <v>14</v>
      </c>
      <c r="I203" s="13">
        <f t="shared" si="17"/>
        <v>28</v>
      </c>
      <c r="J203" s="8">
        <f t="shared" si="18"/>
        <v>2</v>
      </c>
      <c r="K203" s="10">
        <v>572</v>
      </c>
      <c r="L203" s="11" t="s">
        <v>31</v>
      </c>
      <c r="M203" s="30" t="s">
        <v>25</v>
      </c>
      <c r="N203" s="33">
        <f t="shared" si="19"/>
        <v>6.6666666666666666E-2</v>
      </c>
    </row>
    <row r="204" spans="1:14">
      <c r="A204" t="str">
        <f t="shared" si="16"/>
        <v>2011-05</v>
      </c>
      <c r="B204" s="9">
        <v>40686.898460648146</v>
      </c>
      <c r="C204" s="10">
        <v>98</v>
      </c>
      <c r="D204" s="11" t="s">
        <v>58</v>
      </c>
      <c r="E204" s="10">
        <v>78</v>
      </c>
      <c r="F204" s="12">
        <v>18</v>
      </c>
      <c r="G204" s="12">
        <f t="shared" si="15"/>
        <v>1404</v>
      </c>
      <c r="H204" s="13">
        <v>8</v>
      </c>
      <c r="I204" s="13">
        <f t="shared" si="17"/>
        <v>624</v>
      </c>
      <c r="J204" s="8">
        <f t="shared" si="18"/>
        <v>780</v>
      </c>
      <c r="K204" s="10">
        <v>14</v>
      </c>
      <c r="L204" s="11" t="s">
        <v>27</v>
      </c>
      <c r="M204" s="30" t="s">
        <v>21</v>
      </c>
      <c r="N204" s="33">
        <f t="shared" si="19"/>
        <v>0.55555555555555558</v>
      </c>
    </row>
    <row r="205" spans="1:14">
      <c r="A205" t="str">
        <f t="shared" si="16"/>
        <v>2011-05</v>
      </c>
      <c r="B205" s="9">
        <v>40687.012685185182</v>
      </c>
      <c r="C205" s="10">
        <v>30</v>
      </c>
      <c r="D205" s="11" t="s">
        <v>23</v>
      </c>
      <c r="E205" s="10">
        <v>99</v>
      </c>
      <c r="F205" s="12">
        <v>12</v>
      </c>
      <c r="G205" s="12">
        <f t="shared" si="15"/>
        <v>1188</v>
      </c>
      <c r="H205" s="13">
        <v>8</v>
      </c>
      <c r="I205" s="13">
        <f t="shared" si="17"/>
        <v>792</v>
      </c>
      <c r="J205" s="8">
        <f t="shared" si="18"/>
        <v>396</v>
      </c>
      <c r="K205" s="10">
        <v>557</v>
      </c>
      <c r="L205" s="11" t="s">
        <v>36</v>
      </c>
      <c r="M205" s="30" t="s">
        <v>25</v>
      </c>
      <c r="N205" s="33">
        <f t="shared" si="19"/>
        <v>0.33333333333333331</v>
      </c>
    </row>
    <row r="206" spans="1:14">
      <c r="A206" t="str">
        <f t="shared" si="16"/>
        <v>2011-05</v>
      </c>
      <c r="B206" s="9">
        <v>40687.295069444444</v>
      </c>
      <c r="C206" s="10">
        <v>98</v>
      </c>
      <c r="D206" s="11" t="s">
        <v>58</v>
      </c>
      <c r="E206" s="10">
        <v>43</v>
      </c>
      <c r="F206" s="12">
        <v>18</v>
      </c>
      <c r="G206" s="12">
        <f t="shared" si="15"/>
        <v>774</v>
      </c>
      <c r="H206" s="13">
        <v>8</v>
      </c>
      <c r="I206" s="13">
        <f t="shared" si="17"/>
        <v>344</v>
      </c>
      <c r="J206" s="8">
        <f t="shared" si="18"/>
        <v>430</v>
      </c>
      <c r="K206" s="10">
        <v>686</v>
      </c>
      <c r="L206" s="11" t="s">
        <v>56</v>
      </c>
      <c r="M206" s="30" t="s">
        <v>21</v>
      </c>
      <c r="N206" s="33">
        <f t="shared" si="19"/>
        <v>0.55555555555555558</v>
      </c>
    </row>
    <row r="207" spans="1:14">
      <c r="A207" t="str">
        <f t="shared" si="16"/>
        <v>2011-05</v>
      </c>
      <c r="B207" s="9">
        <v>40687.650833333333</v>
      </c>
      <c r="C207" s="10">
        <v>39</v>
      </c>
      <c r="D207" s="11" t="s">
        <v>37</v>
      </c>
      <c r="E207" s="10">
        <v>51</v>
      </c>
      <c r="F207" s="12">
        <v>33</v>
      </c>
      <c r="G207" s="12">
        <f t="shared" si="15"/>
        <v>1683</v>
      </c>
      <c r="H207" s="13">
        <v>28</v>
      </c>
      <c r="I207" s="13">
        <f t="shared" si="17"/>
        <v>1428</v>
      </c>
      <c r="J207" s="8">
        <f t="shared" si="18"/>
        <v>255</v>
      </c>
      <c r="K207" s="10">
        <v>572</v>
      </c>
      <c r="L207" s="11" t="s">
        <v>31</v>
      </c>
      <c r="M207" s="30" t="s">
        <v>25</v>
      </c>
      <c r="N207" s="33">
        <f t="shared" si="19"/>
        <v>0.15151515151515152</v>
      </c>
    </row>
    <row r="208" spans="1:14">
      <c r="A208" t="str">
        <f t="shared" si="16"/>
        <v>2011-05</v>
      </c>
      <c r="B208" s="9">
        <v>40689.057118055556</v>
      </c>
      <c r="C208" s="10">
        <v>16</v>
      </c>
      <c r="D208" s="11" t="s">
        <v>20</v>
      </c>
      <c r="E208" s="10">
        <v>46</v>
      </c>
      <c r="F208" s="12">
        <v>15</v>
      </c>
      <c r="G208" s="12">
        <f t="shared" si="15"/>
        <v>690</v>
      </c>
      <c r="H208" s="13">
        <v>14</v>
      </c>
      <c r="I208" s="13">
        <f t="shared" si="17"/>
        <v>644</v>
      </c>
      <c r="J208" s="8">
        <f t="shared" si="18"/>
        <v>46</v>
      </c>
      <c r="K208" s="10">
        <v>23</v>
      </c>
      <c r="L208" s="11" t="s">
        <v>32</v>
      </c>
      <c r="M208" s="30" t="s">
        <v>25</v>
      </c>
      <c r="N208" s="33">
        <f t="shared" si="19"/>
        <v>6.6666666666666666E-2</v>
      </c>
    </row>
    <row r="209" spans="1:14">
      <c r="A209" t="str">
        <f t="shared" si="16"/>
        <v>2011-05</v>
      </c>
      <c r="B209" s="9">
        <v>40690.081261574072</v>
      </c>
      <c r="C209" s="10">
        <v>39</v>
      </c>
      <c r="D209" s="11" t="s">
        <v>37</v>
      </c>
      <c r="E209" s="10">
        <v>29</v>
      </c>
      <c r="F209" s="12">
        <v>33</v>
      </c>
      <c r="G209" s="12">
        <f t="shared" si="15"/>
        <v>957</v>
      </c>
      <c r="H209" s="13">
        <v>28</v>
      </c>
      <c r="I209" s="13">
        <f t="shared" si="17"/>
        <v>812</v>
      </c>
      <c r="J209" s="8">
        <f t="shared" si="18"/>
        <v>145</v>
      </c>
      <c r="K209" s="10">
        <v>557</v>
      </c>
      <c r="L209" s="11" t="s">
        <v>36</v>
      </c>
      <c r="M209" s="30" t="s">
        <v>25</v>
      </c>
      <c r="N209" s="33">
        <f t="shared" si="19"/>
        <v>0.15151515151515152</v>
      </c>
    </row>
    <row r="210" spans="1:14">
      <c r="A210" t="str">
        <f t="shared" si="16"/>
        <v>2011-05</v>
      </c>
      <c r="B210" s="9">
        <v>40690.785532407404</v>
      </c>
      <c r="C210" s="10">
        <v>30</v>
      </c>
      <c r="D210" s="11" t="s">
        <v>23</v>
      </c>
      <c r="E210" s="10">
        <v>63</v>
      </c>
      <c r="F210" s="12">
        <v>12</v>
      </c>
      <c r="G210" s="12">
        <f t="shared" si="15"/>
        <v>756</v>
      </c>
      <c r="H210" s="13">
        <v>8</v>
      </c>
      <c r="I210" s="13">
        <f t="shared" si="17"/>
        <v>504</v>
      </c>
      <c r="J210" s="8">
        <f t="shared" si="18"/>
        <v>252</v>
      </c>
      <c r="K210" s="10">
        <v>23</v>
      </c>
      <c r="L210" s="11" t="s">
        <v>32</v>
      </c>
      <c r="M210" s="30" t="s">
        <v>25</v>
      </c>
      <c r="N210" s="33">
        <f t="shared" si="19"/>
        <v>0.33333333333333331</v>
      </c>
    </row>
    <row r="211" spans="1:14">
      <c r="A211" t="str">
        <f t="shared" si="16"/>
        <v>2011-05</v>
      </c>
      <c r="B211" s="9">
        <v>40691.480798611112</v>
      </c>
      <c r="C211" s="10">
        <v>39</v>
      </c>
      <c r="D211" s="11" t="s">
        <v>37</v>
      </c>
      <c r="E211" s="10">
        <v>60</v>
      </c>
      <c r="F211" s="12">
        <v>33</v>
      </c>
      <c r="G211" s="12">
        <f t="shared" si="15"/>
        <v>1980</v>
      </c>
      <c r="H211" s="13">
        <v>28</v>
      </c>
      <c r="I211" s="13">
        <f t="shared" si="17"/>
        <v>1680</v>
      </c>
      <c r="J211" s="8">
        <f t="shared" si="18"/>
        <v>300</v>
      </c>
      <c r="K211" s="10">
        <v>557</v>
      </c>
      <c r="L211" s="11" t="s">
        <v>36</v>
      </c>
      <c r="M211" s="30" t="s">
        <v>25</v>
      </c>
      <c r="N211" s="33">
        <f t="shared" si="19"/>
        <v>0.15151515151515152</v>
      </c>
    </row>
    <row r="212" spans="1:14">
      <c r="A212" t="str">
        <f t="shared" si="16"/>
        <v>2011-05</v>
      </c>
      <c r="B212" s="9">
        <v>40691.956412037034</v>
      </c>
      <c r="C212" s="10">
        <v>100</v>
      </c>
      <c r="D212" s="11" t="s">
        <v>40</v>
      </c>
      <c r="E212" s="10">
        <v>46</v>
      </c>
      <c r="F212" s="12">
        <v>8</v>
      </c>
      <c r="G212" s="12">
        <f t="shared" si="15"/>
        <v>368</v>
      </c>
      <c r="H212" s="13">
        <v>4</v>
      </c>
      <c r="I212" s="13">
        <f t="shared" si="17"/>
        <v>184</v>
      </c>
      <c r="J212" s="8">
        <f t="shared" si="18"/>
        <v>184</v>
      </c>
      <c r="K212" s="10">
        <v>6</v>
      </c>
      <c r="L212" s="11" t="s">
        <v>33</v>
      </c>
      <c r="M212" s="30" t="s">
        <v>25</v>
      </c>
      <c r="N212" s="33">
        <f t="shared" si="19"/>
        <v>0.5</v>
      </c>
    </row>
    <row r="213" spans="1:14">
      <c r="A213" t="str">
        <f t="shared" si="16"/>
        <v>2011-05</v>
      </c>
      <c r="B213" s="9">
        <v>40692.206145833334</v>
      </c>
      <c r="C213" s="10">
        <v>4</v>
      </c>
      <c r="D213" s="11" t="s">
        <v>44</v>
      </c>
      <c r="E213" s="10">
        <v>5</v>
      </c>
      <c r="F213" s="12">
        <v>9</v>
      </c>
      <c r="G213" s="12">
        <f t="shared" si="15"/>
        <v>45</v>
      </c>
      <c r="H213" s="13">
        <v>7</v>
      </c>
      <c r="I213" s="13">
        <f t="shared" si="17"/>
        <v>35</v>
      </c>
      <c r="J213" s="8">
        <f t="shared" si="18"/>
        <v>10</v>
      </c>
      <c r="K213" s="10">
        <v>14</v>
      </c>
      <c r="L213" s="11" t="s">
        <v>27</v>
      </c>
      <c r="M213" s="30" t="s">
        <v>21</v>
      </c>
      <c r="N213" s="33">
        <f t="shared" si="19"/>
        <v>0.22222222222222221</v>
      </c>
    </row>
    <row r="214" spans="1:14">
      <c r="A214" t="str">
        <f t="shared" si="16"/>
        <v>2011-05</v>
      </c>
      <c r="B214" s="9">
        <v>40692.507685185185</v>
      </c>
      <c r="C214" s="10">
        <v>31</v>
      </c>
      <c r="D214" s="11" t="s">
        <v>46</v>
      </c>
      <c r="E214" s="10">
        <v>92</v>
      </c>
      <c r="F214" s="12">
        <v>21</v>
      </c>
      <c r="G214" s="12">
        <f t="shared" si="15"/>
        <v>1932</v>
      </c>
      <c r="H214" s="13">
        <v>12</v>
      </c>
      <c r="I214" s="13">
        <f t="shared" si="17"/>
        <v>1104</v>
      </c>
      <c r="J214" s="8">
        <f t="shared" si="18"/>
        <v>828</v>
      </c>
      <c r="K214" s="10">
        <v>557</v>
      </c>
      <c r="L214" s="11" t="s">
        <v>36</v>
      </c>
      <c r="M214" s="30" t="s">
        <v>21</v>
      </c>
      <c r="N214" s="33">
        <f t="shared" si="19"/>
        <v>0.42857142857142855</v>
      </c>
    </row>
    <row r="215" spans="1:14">
      <c r="A215" t="str">
        <f t="shared" si="16"/>
        <v>2011-05</v>
      </c>
      <c r="B215" s="9">
        <v>40692.72928240741</v>
      </c>
      <c r="C215" s="10">
        <v>31</v>
      </c>
      <c r="D215" s="11" t="s">
        <v>46</v>
      </c>
      <c r="E215" s="10">
        <v>1</v>
      </c>
      <c r="F215" s="12">
        <v>21</v>
      </c>
      <c r="G215" s="12">
        <f t="shared" si="15"/>
        <v>21</v>
      </c>
      <c r="H215" s="13">
        <v>12</v>
      </c>
      <c r="I215" s="13">
        <f t="shared" si="17"/>
        <v>12</v>
      </c>
      <c r="J215" s="8">
        <f t="shared" si="18"/>
        <v>9</v>
      </c>
      <c r="K215" s="10">
        <v>95</v>
      </c>
      <c r="L215" s="11" t="s">
        <v>34</v>
      </c>
      <c r="M215" s="30" t="s">
        <v>21</v>
      </c>
      <c r="N215" s="33">
        <f t="shared" si="19"/>
        <v>0.42857142857142855</v>
      </c>
    </row>
    <row r="216" spans="1:14">
      <c r="A216" t="str">
        <f t="shared" si="16"/>
        <v>2011-05</v>
      </c>
      <c r="B216" s="9">
        <v>40693.238402777781</v>
      </c>
      <c r="C216" s="10">
        <v>31</v>
      </c>
      <c r="D216" s="11" t="s">
        <v>46</v>
      </c>
      <c r="E216" s="10">
        <v>33</v>
      </c>
      <c r="F216" s="12">
        <v>21</v>
      </c>
      <c r="G216" s="12">
        <f t="shared" si="15"/>
        <v>693</v>
      </c>
      <c r="H216" s="13">
        <v>12</v>
      </c>
      <c r="I216" s="13">
        <f t="shared" si="17"/>
        <v>396</v>
      </c>
      <c r="J216" s="8">
        <f t="shared" si="18"/>
        <v>297</v>
      </c>
      <c r="K216" s="10">
        <v>14</v>
      </c>
      <c r="L216" s="11" t="s">
        <v>27</v>
      </c>
      <c r="M216" s="30" t="s">
        <v>25</v>
      </c>
      <c r="N216" s="33">
        <f t="shared" si="19"/>
        <v>0.42857142857142855</v>
      </c>
    </row>
    <row r="217" spans="1:14">
      <c r="A217" t="str">
        <f t="shared" si="16"/>
        <v>2011-05</v>
      </c>
      <c r="B217" s="9">
        <v>40693.802986111114</v>
      </c>
      <c r="C217" s="10">
        <v>4</v>
      </c>
      <c r="D217" s="11" t="s">
        <v>44</v>
      </c>
      <c r="E217" s="10">
        <v>56</v>
      </c>
      <c r="F217" s="12">
        <v>9</v>
      </c>
      <c r="G217" s="12">
        <f t="shared" si="15"/>
        <v>504</v>
      </c>
      <c r="H217" s="13">
        <v>7</v>
      </c>
      <c r="I217" s="13">
        <f t="shared" si="17"/>
        <v>392</v>
      </c>
      <c r="J217" s="8">
        <f t="shared" si="18"/>
        <v>112</v>
      </c>
      <c r="K217" s="10">
        <v>23</v>
      </c>
      <c r="L217" s="11" t="s">
        <v>32</v>
      </c>
      <c r="M217" s="30" t="s">
        <v>25</v>
      </c>
      <c r="N217" s="33">
        <f t="shared" si="19"/>
        <v>0.22222222222222221</v>
      </c>
    </row>
    <row r="218" spans="1:14">
      <c r="A218" t="str">
        <f t="shared" si="16"/>
        <v>2011-06</v>
      </c>
      <c r="B218" s="9">
        <v>40695.290034722224</v>
      </c>
      <c r="C218" s="10">
        <v>4</v>
      </c>
      <c r="D218" s="11" t="s">
        <v>44</v>
      </c>
      <c r="E218" s="10">
        <v>54</v>
      </c>
      <c r="F218" s="12">
        <v>9</v>
      </c>
      <c r="G218" s="12">
        <f t="shared" si="15"/>
        <v>486</v>
      </c>
      <c r="H218" s="13">
        <v>7</v>
      </c>
      <c r="I218" s="13">
        <f t="shared" si="17"/>
        <v>378</v>
      </c>
      <c r="J218" s="8">
        <f t="shared" si="18"/>
        <v>108</v>
      </c>
      <c r="K218" s="10">
        <v>23</v>
      </c>
      <c r="L218" s="11" t="s">
        <v>32</v>
      </c>
      <c r="M218" s="30" t="s">
        <v>21</v>
      </c>
      <c r="N218" s="33">
        <f t="shared" si="19"/>
        <v>0.22222222222222221</v>
      </c>
    </row>
    <row r="219" spans="1:14">
      <c r="A219" t="str">
        <f t="shared" si="16"/>
        <v>2011-06</v>
      </c>
      <c r="B219" s="9">
        <v>40696.081886574073</v>
      </c>
      <c r="C219" s="10">
        <v>85</v>
      </c>
      <c r="D219" s="11" t="s">
        <v>38</v>
      </c>
      <c r="E219" s="10">
        <v>63</v>
      </c>
      <c r="F219" s="12">
        <v>53</v>
      </c>
      <c r="G219" s="12">
        <f t="shared" si="15"/>
        <v>3339</v>
      </c>
      <c r="H219" s="13">
        <v>35</v>
      </c>
      <c r="I219" s="13">
        <f t="shared" si="17"/>
        <v>2205</v>
      </c>
      <c r="J219" s="8">
        <f t="shared" si="18"/>
        <v>1134</v>
      </c>
      <c r="K219" s="10">
        <v>233</v>
      </c>
      <c r="L219" s="11" t="s">
        <v>24</v>
      </c>
      <c r="M219" s="30" t="s">
        <v>21</v>
      </c>
      <c r="N219" s="33">
        <f t="shared" si="19"/>
        <v>0.33962264150943394</v>
      </c>
    </row>
    <row r="220" spans="1:14">
      <c r="A220" t="str">
        <f t="shared" si="16"/>
        <v>2011-06</v>
      </c>
      <c r="B220" s="9">
        <v>40698.740497685183</v>
      </c>
      <c r="C220" s="10">
        <v>30</v>
      </c>
      <c r="D220" s="11" t="s">
        <v>23</v>
      </c>
      <c r="E220" s="10">
        <v>48</v>
      </c>
      <c r="F220" s="12">
        <v>12</v>
      </c>
      <c r="G220" s="12">
        <f t="shared" si="15"/>
        <v>576</v>
      </c>
      <c r="H220" s="13">
        <v>8</v>
      </c>
      <c r="I220" s="13">
        <f t="shared" si="17"/>
        <v>384</v>
      </c>
      <c r="J220" s="8">
        <f t="shared" si="18"/>
        <v>192</v>
      </c>
      <c r="K220" s="10">
        <v>686</v>
      </c>
      <c r="L220" s="11" t="s">
        <v>56</v>
      </c>
      <c r="M220" s="30" t="s">
        <v>25</v>
      </c>
      <c r="N220" s="33">
        <f t="shared" si="19"/>
        <v>0.33333333333333331</v>
      </c>
    </row>
    <row r="221" spans="1:14">
      <c r="A221" t="str">
        <f t="shared" si="16"/>
        <v>2011-06</v>
      </c>
      <c r="B221" s="9">
        <v>40701.938750000001</v>
      </c>
      <c r="C221" s="10">
        <v>31</v>
      </c>
      <c r="D221" s="11" t="s">
        <v>46</v>
      </c>
      <c r="E221" s="10">
        <v>39</v>
      </c>
      <c r="F221" s="12">
        <v>21</v>
      </c>
      <c r="G221" s="12">
        <f t="shared" si="15"/>
        <v>819</v>
      </c>
      <c r="H221" s="13">
        <v>12</v>
      </c>
      <c r="I221" s="13">
        <f t="shared" si="17"/>
        <v>468</v>
      </c>
      <c r="J221" s="8">
        <f t="shared" si="18"/>
        <v>351</v>
      </c>
      <c r="K221" s="10">
        <v>95</v>
      </c>
      <c r="L221" s="11" t="s">
        <v>34</v>
      </c>
      <c r="M221" s="30" t="s">
        <v>21</v>
      </c>
      <c r="N221" s="33">
        <f t="shared" si="19"/>
        <v>0.42857142857142855</v>
      </c>
    </row>
    <row r="222" spans="1:14">
      <c r="A222" t="str">
        <f t="shared" si="16"/>
        <v>2011-06</v>
      </c>
      <c r="B222" s="9">
        <v>40702.128136574072</v>
      </c>
      <c r="C222" s="10">
        <v>16</v>
      </c>
      <c r="D222" s="11" t="s">
        <v>20</v>
      </c>
      <c r="E222" s="10">
        <v>53</v>
      </c>
      <c r="F222" s="12">
        <v>15</v>
      </c>
      <c r="G222" s="12">
        <f t="shared" si="15"/>
        <v>795</v>
      </c>
      <c r="H222" s="13">
        <v>14</v>
      </c>
      <c r="I222" s="13">
        <f t="shared" si="17"/>
        <v>742</v>
      </c>
      <c r="J222" s="8">
        <f t="shared" si="18"/>
        <v>53</v>
      </c>
      <c r="K222" s="10">
        <v>95</v>
      </c>
      <c r="L222" s="11" t="s">
        <v>34</v>
      </c>
      <c r="M222" s="30" t="s">
        <v>25</v>
      </c>
      <c r="N222" s="33">
        <f t="shared" si="19"/>
        <v>6.6666666666666666E-2</v>
      </c>
    </row>
    <row r="223" spans="1:14">
      <c r="A223" t="str">
        <f t="shared" si="16"/>
        <v>2011-06</v>
      </c>
      <c r="B223" s="9">
        <v>40702.30746527778</v>
      </c>
      <c r="C223" s="10">
        <v>22</v>
      </c>
      <c r="D223" s="11" t="s">
        <v>16</v>
      </c>
      <c r="E223" s="10">
        <v>76</v>
      </c>
      <c r="F223" s="12">
        <v>24</v>
      </c>
      <c r="G223" s="12">
        <f t="shared" si="15"/>
        <v>1824</v>
      </c>
      <c r="H223" s="13">
        <v>18</v>
      </c>
      <c r="I223" s="13">
        <f t="shared" si="17"/>
        <v>1368</v>
      </c>
      <c r="J223" s="8">
        <f t="shared" si="18"/>
        <v>456</v>
      </c>
      <c r="K223" s="10">
        <v>14</v>
      </c>
      <c r="L223" s="11" t="s">
        <v>27</v>
      </c>
      <c r="M223" s="30" t="s">
        <v>21</v>
      </c>
      <c r="N223" s="33">
        <f t="shared" si="19"/>
        <v>0.25</v>
      </c>
    </row>
    <row r="224" spans="1:14">
      <c r="A224" t="str">
        <f t="shared" si="16"/>
        <v>2011-06</v>
      </c>
      <c r="B224" s="9">
        <v>40702.658518518518</v>
      </c>
      <c r="C224" s="10">
        <v>39</v>
      </c>
      <c r="D224" s="11" t="s">
        <v>37</v>
      </c>
      <c r="E224" s="10">
        <v>70</v>
      </c>
      <c r="F224" s="12">
        <v>33</v>
      </c>
      <c r="G224" s="12">
        <f t="shared" si="15"/>
        <v>2310</v>
      </c>
      <c r="H224" s="13">
        <v>28</v>
      </c>
      <c r="I224" s="13">
        <f t="shared" si="17"/>
        <v>1960</v>
      </c>
      <c r="J224" s="8">
        <f t="shared" si="18"/>
        <v>350</v>
      </c>
      <c r="K224" s="10">
        <v>686</v>
      </c>
      <c r="L224" s="11" t="s">
        <v>56</v>
      </c>
      <c r="M224" s="30" t="s">
        <v>21</v>
      </c>
      <c r="N224" s="33">
        <f t="shared" si="19"/>
        <v>0.15151515151515152</v>
      </c>
    </row>
    <row r="225" spans="1:14">
      <c r="A225" t="str">
        <f t="shared" si="16"/>
        <v>2011-06</v>
      </c>
      <c r="B225" s="9">
        <v>40704.218541666669</v>
      </c>
      <c r="C225" s="10">
        <v>30</v>
      </c>
      <c r="D225" s="11" t="s">
        <v>23</v>
      </c>
      <c r="E225" s="10">
        <v>38</v>
      </c>
      <c r="F225" s="12">
        <v>12</v>
      </c>
      <c r="G225" s="12">
        <f t="shared" si="15"/>
        <v>456</v>
      </c>
      <c r="H225" s="13">
        <v>8</v>
      </c>
      <c r="I225" s="13">
        <f t="shared" si="17"/>
        <v>304</v>
      </c>
      <c r="J225" s="8">
        <f t="shared" si="18"/>
        <v>152</v>
      </c>
      <c r="K225" s="10">
        <v>6</v>
      </c>
      <c r="L225" s="11" t="s">
        <v>33</v>
      </c>
      <c r="M225" s="30" t="s">
        <v>25</v>
      </c>
      <c r="N225" s="33">
        <f t="shared" si="19"/>
        <v>0.33333333333333331</v>
      </c>
    </row>
    <row r="226" spans="1:14">
      <c r="A226" t="str">
        <f t="shared" si="16"/>
        <v>2011-06</v>
      </c>
      <c r="B226" s="9">
        <v>40704.702997685185</v>
      </c>
      <c r="C226" s="10">
        <v>4</v>
      </c>
      <c r="D226" s="11" t="s">
        <v>44</v>
      </c>
      <c r="E226" s="10">
        <v>48</v>
      </c>
      <c r="F226" s="12">
        <v>9</v>
      </c>
      <c r="G226" s="12">
        <f t="shared" si="15"/>
        <v>432</v>
      </c>
      <c r="H226" s="13">
        <v>7</v>
      </c>
      <c r="I226" s="13">
        <f t="shared" si="17"/>
        <v>336</v>
      </c>
      <c r="J226" s="8">
        <f t="shared" si="18"/>
        <v>96</v>
      </c>
      <c r="K226" s="10">
        <v>846</v>
      </c>
      <c r="L226" s="11" t="s">
        <v>35</v>
      </c>
      <c r="M226" s="30" t="s">
        <v>21</v>
      </c>
      <c r="N226" s="33">
        <f t="shared" si="19"/>
        <v>0.22222222222222221</v>
      </c>
    </row>
    <row r="227" spans="1:14">
      <c r="A227" t="str">
        <f t="shared" si="16"/>
        <v>2011-06</v>
      </c>
      <c r="B227" s="9">
        <v>40705.001527777778</v>
      </c>
      <c r="C227" s="10">
        <v>100</v>
      </c>
      <c r="D227" s="11" t="s">
        <v>40</v>
      </c>
      <c r="E227" s="10">
        <v>95</v>
      </c>
      <c r="F227" s="12">
        <v>8</v>
      </c>
      <c r="G227" s="12">
        <f t="shared" si="15"/>
        <v>760</v>
      </c>
      <c r="H227" s="13">
        <v>4</v>
      </c>
      <c r="I227" s="13">
        <f t="shared" si="17"/>
        <v>380</v>
      </c>
      <c r="J227" s="8">
        <f t="shared" si="18"/>
        <v>380</v>
      </c>
      <c r="K227" s="10">
        <v>95</v>
      </c>
      <c r="L227" s="11" t="s">
        <v>34</v>
      </c>
      <c r="M227" s="30" t="s">
        <v>25</v>
      </c>
      <c r="N227" s="33">
        <f t="shared" si="19"/>
        <v>0.5</v>
      </c>
    </row>
    <row r="228" spans="1:14">
      <c r="A228" t="str">
        <f t="shared" si="16"/>
        <v>2011-06</v>
      </c>
      <c r="B228" s="9">
        <v>40705.051307870373</v>
      </c>
      <c r="C228" s="10">
        <v>31</v>
      </c>
      <c r="D228" s="11" t="s">
        <v>46</v>
      </c>
      <c r="E228" s="10">
        <v>55</v>
      </c>
      <c r="F228" s="12">
        <v>21</v>
      </c>
      <c r="G228" s="12">
        <f t="shared" si="15"/>
        <v>1155</v>
      </c>
      <c r="H228" s="13">
        <v>12</v>
      </c>
      <c r="I228" s="13">
        <f t="shared" si="17"/>
        <v>660</v>
      </c>
      <c r="J228" s="8">
        <f t="shared" si="18"/>
        <v>495</v>
      </c>
      <c r="K228" s="10">
        <v>95</v>
      </c>
      <c r="L228" s="11" t="s">
        <v>34</v>
      </c>
      <c r="M228" s="30" t="s">
        <v>21</v>
      </c>
      <c r="N228" s="33">
        <f t="shared" si="19"/>
        <v>0.42857142857142855</v>
      </c>
    </row>
    <row r="229" spans="1:14">
      <c r="A229" t="str">
        <f t="shared" si="16"/>
        <v>2011-06</v>
      </c>
      <c r="B229" s="9">
        <v>40705.191874999997</v>
      </c>
      <c r="C229" s="10">
        <v>16</v>
      </c>
      <c r="D229" s="11" t="s">
        <v>20</v>
      </c>
      <c r="E229" s="10">
        <v>10</v>
      </c>
      <c r="F229" s="12">
        <v>15</v>
      </c>
      <c r="G229" s="12">
        <f t="shared" si="15"/>
        <v>150</v>
      </c>
      <c r="H229" s="13">
        <v>14</v>
      </c>
      <c r="I229" s="13">
        <f t="shared" si="17"/>
        <v>140</v>
      </c>
      <c r="J229" s="8">
        <f t="shared" si="18"/>
        <v>10</v>
      </c>
      <c r="K229" s="10">
        <v>23</v>
      </c>
      <c r="L229" s="11" t="s">
        <v>32</v>
      </c>
      <c r="M229" s="30" t="s">
        <v>25</v>
      </c>
      <c r="N229" s="33">
        <f t="shared" si="19"/>
        <v>6.6666666666666666E-2</v>
      </c>
    </row>
    <row r="230" spans="1:14">
      <c r="A230" t="str">
        <f t="shared" si="16"/>
        <v>2011-06</v>
      </c>
      <c r="B230" s="9">
        <v>40705.222777777781</v>
      </c>
      <c r="C230" s="10">
        <v>6</v>
      </c>
      <c r="D230" s="11" t="s">
        <v>60</v>
      </c>
      <c r="E230" s="10">
        <v>8</v>
      </c>
      <c r="F230" s="12">
        <v>55</v>
      </c>
      <c r="G230" s="12">
        <f t="shared" si="15"/>
        <v>440</v>
      </c>
      <c r="H230" s="13">
        <v>25</v>
      </c>
      <c r="I230" s="13">
        <f t="shared" si="17"/>
        <v>200</v>
      </c>
      <c r="J230" s="8">
        <f t="shared" si="18"/>
        <v>240</v>
      </c>
      <c r="K230" s="10">
        <v>6</v>
      </c>
      <c r="L230" s="11" t="s">
        <v>33</v>
      </c>
      <c r="M230" s="30" t="s">
        <v>25</v>
      </c>
      <c r="N230" s="33">
        <f t="shared" si="19"/>
        <v>0.54545454545454541</v>
      </c>
    </row>
    <row r="231" spans="1:14">
      <c r="A231" t="str">
        <f t="shared" si="16"/>
        <v>2011-06</v>
      </c>
      <c r="B231" s="9">
        <v>40706.11347222222</v>
      </c>
      <c r="C231" s="10">
        <v>100</v>
      </c>
      <c r="D231" s="11" t="s">
        <v>40</v>
      </c>
      <c r="E231" s="10">
        <v>95</v>
      </c>
      <c r="F231" s="12">
        <v>8</v>
      </c>
      <c r="G231" s="12">
        <f t="shared" si="15"/>
        <v>760</v>
      </c>
      <c r="H231" s="13">
        <v>4</v>
      </c>
      <c r="I231" s="13">
        <f t="shared" si="17"/>
        <v>380</v>
      </c>
      <c r="J231" s="8">
        <f t="shared" si="18"/>
        <v>380</v>
      </c>
      <c r="K231" s="10">
        <v>557</v>
      </c>
      <c r="L231" s="11" t="s">
        <v>36</v>
      </c>
      <c r="M231" s="30" t="s">
        <v>18</v>
      </c>
      <c r="N231" s="33">
        <f t="shared" si="19"/>
        <v>0.5</v>
      </c>
    </row>
    <row r="232" spans="1:14">
      <c r="A232" t="str">
        <f t="shared" si="16"/>
        <v>2011-06</v>
      </c>
      <c r="B232" s="9">
        <v>40706.234710648147</v>
      </c>
      <c r="C232" s="10">
        <v>4</v>
      </c>
      <c r="D232" s="11" t="s">
        <v>44</v>
      </c>
      <c r="E232" s="10">
        <v>45</v>
      </c>
      <c r="F232" s="12">
        <v>9</v>
      </c>
      <c r="G232" s="12">
        <f t="shared" si="15"/>
        <v>405</v>
      </c>
      <c r="H232" s="13">
        <v>7</v>
      </c>
      <c r="I232" s="13">
        <f t="shared" si="17"/>
        <v>315</v>
      </c>
      <c r="J232" s="8">
        <f t="shared" si="18"/>
        <v>90</v>
      </c>
      <c r="K232" s="10">
        <v>315</v>
      </c>
      <c r="L232" s="11" t="s">
        <v>17</v>
      </c>
      <c r="M232" s="30" t="s">
        <v>25</v>
      </c>
      <c r="N232" s="33">
        <f t="shared" si="19"/>
        <v>0.22222222222222221</v>
      </c>
    </row>
    <row r="233" spans="1:14">
      <c r="A233" t="str">
        <f t="shared" si="16"/>
        <v>2011-06</v>
      </c>
      <c r="B233" s="9">
        <v>40706.556967592594</v>
      </c>
      <c r="C233" s="10">
        <v>30</v>
      </c>
      <c r="D233" s="11" t="s">
        <v>23</v>
      </c>
      <c r="E233" s="10">
        <v>87</v>
      </c>
      <c r="F233" s="12">
        <v>12</v>
      </c>
      <c r="G233" s="12">
        <f t="shared" si="15"/>
        <v>1044</v>
      </c>
      <c r="H233" s="13">
        <v>8</v>
      </c>
      <c r="I233" s="13">
        <f t="shared" si="17"/>
        <v>696</v>
      </c>
      <c r="J233" s="8">
        <f t="shared" si="18"/>
        <v>348</v>
      </c>
      <c r="K233" s="10">
        <v>557</v>
      </c>
      <c r="L233" s="11" t="s">
        <v>36</v>
      </c>
      <c r="M233" s="30" t="s">
        <v>25</v>
      </c>
      <c r="N233" s="33">
        <f t="shared" si="19"/>
        <v>0.33333333333333331</v>
      </c>
    </row>
    <row r="234" spans="1:14">
      <c r="A234" t="str">
        <f t="shared" si="16"/>
        <v>2011-06</v>
      </c>
      <c r="B234" s="9">
        <v>40707.179143518515</v>
      </c>
      <c r="C234" s="10">
        <v>100</v>
      </c>
      <c r="D234" s="11" t="s">
        <v>40</v>
      </c>
      <c r="E234" s="10">
        <v>2</v>
      </c>
      <c r="F234" s="12">
        <v>8</v>
      </c>
      <c r="G234" s="12">
        <f t="shared" si="15"/>
        <v>16</v>
      </c>
      <c r="H234" s="13">
        <v>4</v>
      </c>
      <c r="I234" s="13">
        <f t="shared" si="17"/>
        <v>8</v>
      </c>
      <c r="J234" s="8">
        <f t="shared" si="18"/>
        <v>8</v>
      </c>
      <c r="K234" s="10">
        <v>14</v>
      </c>
      <c r="L234" s="11" t="s">
        <v>27</v>
      </c>
      <c r="M234" s="30" t="s">
        <v>21</v>
      </c>
      <c r="N234" s="33">
        <f t="shared" si="19"/>
        <v>0.5</v>
      </c>
    </row>
    <row r="235" spans="1:14">
      <c r="A235" t="str">
        <f t="shared" si="16"/>
        <v>2011-06</v>
      </c>
      <c r="B235" s="9">
        <v>40707.343032407407</v>
      </c>
      <c r="C235" s="10">
        <v>100</v>
      </c>
      <c r="D235" s="11" t="s">
        <v>40</v>
      </c>
      <c r="E235" s="10">
        <v>85</v>
      </c>
      <c r="F235" s="12">
        <v>8</v>
      </c>
      <c r="G235" s="12">
        <f t="shared" si="15"/>
        <v>680</v>
      </c>
      <c r="H235" s="13">
        <v>4</v>
      </c>
      <c r="I235" s="13">
        <f t="shared" si="17"/>
        <v>340</v>
      </c>
      <c r="J235" s="8">
        <f t="shared" si="18"/>
        <v>340</v>
      </c>
      <c r="K235" s="10">
        <v>572</v>
      </c>
      <c r="L235" s="11" t="s">
        <v>31</v>
      </c>
      <c r="M235" s="30" t="s">
        <v>25</v>
      </c>
      <c r="N235" s="33">
        <f t="shared" si="19"/>
        <v>0.5</v>
      </c>
    </row>
    <row r="236" spans="1:14">
      <c r="A236" t="str">
        <f t="shared" si="16"/>
        <v>2011-06</v>
      </c>
      <c r="B236" s="9">
        <v>40708.095358796294</v>
      </c>
      <c r="C236" s="10">
        <v>19</v>
      </c>
      <c r="D236" s="11" t="s">
        <v>47</v>
      </c>
      <c r="E236" s="10">
        <v>19</v>
      </c>
      <c r="F236" s="12">
        <v>36</v>
      </c>
      <c r="G236" s="12">
        <f t="shared" si="15"/>
        <v>684</v>
      </c>
      <c r="H236" s="13">
        <v>25</v>
      </c>
      <c r="I236" s="13">
        <f t="shared" si="17"/>
        <v>475</v>
      </c>
      <c r="J236" s="8">
        <f t="shared" si="18"/>
        <v>209</v>
      </c>
      <c r="K236" s="10">
        <v>6</v>
      </c>
      <c r="L236" s="11" t="s">
        <v>33</v>
      </c>
      <c r="M236" s="30" t="s">
        <v>25</v>
      </c>
      <c r="N236" s="33">
        <f t="shared" si="19"/>
        <v>0.30555555555555558</v>
      </c>
    </row>
    <row r="237" spans="1:14">
      <c r="A237" t="str">
        <f t="shared" si="16"/>
        <v>2011-06</v>
      </c>
      <c r="B237" s="9">
        <v>40708.237407407411</v>
      </c>
      <c r="C237" s="10">
        <v>100</v>
      </c>
      <c r="D237" s="11" t="s">
        <v>40</v>
      </c>
      <c r="E237" s="10">
        <v>98</v>
      </c>
      <c r="F237" s="12">
        <v>8</v>
      </c>
      <c r="G237" s="12">
        <f t="shared" si="15"/>
        <v>784</v>
      </c>
      <c r="H237" s="13">
        <v>4</v>
      </c>
      <c r="I237" s="13">
        <f t="shared" si="17"/>
        <v>392</v>
      </c>
      <c r="J237" s="8">
        <f t="shared" si="18"/>
        <v>392</v>
      </c>
      <c r="K237" s="10">
        <v>572</v>
      </c>
      <c r="L237" s="11" t="s">
        <v>31</v>
      </c>
      <c r="M237" s="30" t="s">
        <v>25</v>
      </c>
      <c r="N237" s="33">
        <f t="shared" si="19"/>
        <v>0.5</v>
      </c>
    </row>
    <row r="238" spans="1:14">
      <c r="A238" t="str">
        <f t="shared" si="16"/>
        <v>2011-06</v>
      </c>
      <c r="B238" s="9">
        <v>40709.280960648146</v>
      </c>
      <c r="C238" s="10">
        <v>16</v>
      </c>
      <c r="D238" s="11" t="s">
        <v>20</v>
      </c>
      <c r="E238" s="10">
        <v>37</v>
      </c>
      <c r="F238" s="12">
        <v>15</v>
      </c>
      <c r="G238" s="12">
        <f t="shared" si="15"/>
        <v>555</v>
      </c>
      <c r="H238" s="13">
        <v>14</v>
      </c>
      <c r="I238" s="13">
        <f t="shared" si="17"/>
        <v>518</v>
      </c>
      <c r="J238" s="8">
        <f t="shared" si="18"/>
        <v>37</v>
      </c>
      <c r="K238" s="10">
        <v>6</v>
      </c>
      <c r="L238" s="11" t="s">
        <v>33</v>
      </c>
      <c r="M238" s="30" t="s">
        <v>25</v>
      </c>
      <c r="N238" s="33">
        <f t="shared" si="19"/>
        <v>6.6666666666666666E-2</v>
      </c>
    </row>
    <row r="239" spans="1:14">
      <c r="A239" t="str">
        <f t="shared" si="16"/>
        <v>2011-06</v>
      </c>
      <c r="B239" s="9">
        <v>40709.439745370371</v>
      </c>
      <c r="C239" s="10">
        <v>22</v>
      </c>
      <c r="D239" s="11" t="s">
        <v>16</v>
      </c>
      <c r="E239" s="10">
        <v>74</v>
      </c>
      <c r="F239" s="12">
        <v>24</v>
      </c>
      <c r="G239" s="12">
        <f t="shared" si="15"/>
        <v>1776</v>
      </c>
      <c r="H239" s="13">
        <v>18</v>
      </c>
      <c r="I239" s="13">
        <f t="shared" si="17"/>
        <v>1332</v>
      </c>
      <c r="J239" s="8">
        <f t="shared" si="18"/>
        <v>444</v>
      </c>
      <c r="K239" s="10">
        <v>95</v>
      </c>
      <c r="L239" s="11" t="s">
        <v>34</v>
      </c>
      <c r="M239" s="30" t="s">
        <v>18</v>
      </c>
      <c r="N239" s="33">
        <f t="shared" si="19"/>
        <v>0.25</v>
      </c>
    </row>
    <row r="240" spans="1:14">
      <c r="A240" t="str">
        <f t="shared" si="16"/>
        <v>2011-06</v>
      </c>
      <c r="B240" s="9">
        <v>40709.857928240737</v>
      </c>
      <c r="C240" s="10">
        <v>31</v>
      </c>
      <c r="D240" s="11" t="s">
        <v>46</v>
      </c>
      <c r="E240" s="10">
        <v>39</v>
      </c>
      <c r="F240" s="12">
        <v>21</v>
      </c>
      <c r="G240" s="12">
        <f t="shared" si="15"/>
        <v>819</v>
      </c>
      <c r="H240" s="13">
        <v>12</v>
      </c>
      <c r="I240" s="13">
        <f t="shared" si="17"/>
        <v>468</v>
      </c>
      <c r="J240" s="8">
        <f t="shared" si="18"/>
        <v>351</v>
      </c>
      <c r="K240" s="10">
        <v>686</v>
      </c>
      <c r="L240" s="11" t="s">
        <v>56</v>
      </c>
      <c r="M240" s="30" t="s">
        <v>21</v>
      </c>
      <c r="N240" s="33">
        <f t="shared" si="19"/>
        <v>0.42857142857142855</v>
      </c>
    </row>
    <row r="241" spans="1:14">
      <c r="A241" t="str">
        <f t="shared" si="16"/>
        <v>2011-06</v>
      </c>
      <c r="B241" s="9">
        <v>40710.012789351851</v>
      </c>
      <c r="C241" s="10">
        <v>85</v>
      </c>
      <c r="D241" s="11" t="s">
        <v>38</v>
      </c>
      <c r="E241" s="10">
        <v>55</v>
      </c>
      <c r="F241" s="12">
        <v>53</v>
      </c>
      <c r="G241" s="12">
        <f t="shared" si="15"/>
        <v>2915</v>
      </c>
      <c r="H241" s="13">
        <v>35</v>
      </c>
      <c r="I241" s="13">
        <f t="shared" si="17"/>
        <v>1925</v>
      </c>
      <c r="J241" s="8">
        <f t="shared" si="18"/>
        <v>990</v>
      </c>
      <c r="K241" s="10">
        <v>6</v>
      </c>
      <c r="L241" s="11" t="s">
        <v>33</v>
      </c>
      <c r="M241" s="30" t="s">
        <v>21</v>
      </c>
      <c r="N241" s="33">
        <f t="shared" si="19"/>
        <v>0.33962264150943394</v>
      </c>
    </row>
    <row r="242" spans="1:14">
      <c r="A242" t="str">
        <f t="shared" si="16"/>
        <v>2011-06</v>
      </c>
      <c r="B242" s="9">
        <v>40710.22488425926</v>
      </c>
      <c r="C242" s="10">
        <v>98</v>
      </c>
      <c r="D242" s="11" t="s">
        <v>58</v>
      </c>
      <c r="E242" s="10">
        <v>44</v>
      </c>
      <c r="F242" s="12">
        <v>18</v>
      </c>
      <c r="G242" s="12">
        <f t="shared" si="15"/>
        <v>792</v>
      </c>
      <c r="H242" s="13">
        <v>8</v>
      </c>
      <c r="I242" s="13">
        <f t="shared" si="17"/>
        <v>352</v>
      </c>
      <c r="J242" s="8">
        <f t="shared" si="18"/>
        <v>440</v>
      </c>
      <c r="K242" s="10">
        <v>95</v>
      </c>
      <c r="L242" s="11" t="s">
        <v>34</v>
      </c>
      <c r="M242" s="30" t="s">
        <v>25</v>
      </c>
      <c r="N242" s="33">
        <f t="shared" si="19"/>
        <v>0.55555555555555558</v>
      </c>
    </row>
    <row r="243" spans="1:14">
      <c r="A243" t="str">
        <f t="shared" si="16"/>
        <v>2011-06</v>
      </c>
      <c r="B243" s="9">
        <v>40711.220034722224</v>
      </c>
      <c r="C243" s="10">
        <v>16</v>
      </c>
      <c r="D243" s="11" t="s">
        <v>20</v>
      </c>
      <c r="E243" s="10">
        <v>58</v>
      </c>
      <c r="F243" s="12">
        <v>15</v>
      </c>
      <c r="G243" s="12">
        <f t="shared" si="15"/>
        <v>870</v>
      </c>
      <c r="H243" s="13">
        <v>14</v>
      </c>
      <c r="I243" s="13">
        <f t="shared" si="17"/>
        <v>812</v>
      </c>
      <c r="J243" s="8">
        <f t="shared" si="18"/>
        <v>58</v>
      </c>
      <c r="K243" s="10">
        <v>572</v>
      </c>
      <c r="L243" s="11" t="s">
        <v>31</v>
      </c>
      <c r="M243" s="30" t="s">
        <v>25</v>
      </c>
      <c r="N243" s="33">
        <f t="shared" si="19"/>
        <v>6.6666666666666666E-2</v>
      </c>
    </row>
    <row r="244" spans="1:14">
      <c r="A244" t="str">
        <f t="shared" si="16"/>
        <v>2011-06</v>
      </c>
      <c r="B244" s="9">
        <v>40711.746134259258</v>
      </c>
      <c r="C244" s="10">
        <v>4</v>
      </c>
      <c r="D244" s="11" t="s">
        <v>44</v>
      </c>
      <c r="E244" s="10">
        <v>7</v>
      </c>
      <c r="F244" s="12">
        <v>9</v>
      </c>
      <c r="G244" s="12">
        <f t="shared" si="15"/>
        <v>63</v>
      </c>
      <c r="H244" s="13">
        <v>7</v>
      </c>
      <c r="I244" s="13">
        <f t="shared" si="17"/>
        <v>49</v>
      </c>
      <c r="J244" s="8">
        <f t="shared" si="18"/>
        <v>14</v>
      </c>
      <c r="K244" s="10">
        <v>686</v>
      </c>
      <c r="L244" s="11" t="s">
        <v>56</v>
      </c>
      <c r="M244" s="30" t="s">
        <v>25</v>
      </c>
      <c r="N244" s="33">
        <f t="shared" si="19"/>
        <v>0.22222222222222221</v>
      </c>
    </row>
    <row r="245" spans="1:14">
      <c r="A245" t="str">
        <f t="shared" si="16"/>
        <v>2011-06</v>
      </c>
      <c r="B245" s="9">
        <v>40714.084918981483</v>
      </c>
      <c r="C245" s="10">
        <v>4</v>
      </c>
      <c r="D245" s="11" t="s">
        <v>44</v>
      </c>
      <c r="E245" s="10">
        <v>99</v>
      </c>
      <c r="F245" s="12">
        <v>9</v>
      </c>
      <c r="G245" s="12">
        <f t="shared" si="15"/>
        <v>891</v>
      </c>
      <c r="H245" s="13">
        <v>7</v>
      </c>
      <c r="I245" s="13">
        <f t="shared" si="17"/>
        <v>693</v>
      </c>
      <c r="J245" s="8">
        <f t="shared" si="18"/>
        <v>198</v>
      </c>
      <c r="K245" s="10">
        <v>14</v>
      </c>
      <c r="L245" s="11" t="s">
        <v>27</v>
      </c>
      <c r="M245" s="30" t="s">
        <v>25</v>
      </c>
      <c r="N245" s="33">
        <f t="shared" si="19"/>
        <v>0.22222222222222221</v>
      </c>
    </row>
    <row r="246" spans="1:14">
      <c r="A246" t="str">
        <f t="shared" si="16"/>
        <v>2011-06</v>
      </c>
      <c r="B246" s="9">
        <v>40715.286446759259</v>
      </c>
      <c r="C246" s="10">
        <v>4</v>
      </c>
      <c r="D246" s="11" t="s">
        <v>44</v>
      </c>
      <c r="E246" s="10">
        <v>83</v>
      </c>
      <c r="F246" s="12">
        <v>9</v>
      </c>
      <c r="G246" s="12">
        <f t="shared" si="15"/>
        <v>747</v>
      </c>
      <c r="H246" s="13">
        <v>7</v>
      </c>
      <c r="I246" s="13">
        <f t="shared" si="17"/>
        <v>581</v>
      </c>
      <c r="J246" s="8">
        <f t="shared" si="18"/>
        <v>166</v>
      </c>
      <c r="K246" s="10">
        <v>23</v>
      </c>
      <c r="L246" s="11" t="s">
        <v>32</v>
      </c>
      <c r="M246" s="30" t="s">
        <v>21</v>
      </c>
      <c r="N246" s="33">
        <f t="shared" si="19"/>
        <v>0.22222222222222221</v>
      </c>
    </row>
    <row r="247" spans="1:14">
      <c r="A247" t="str">
        <f t="shared" si="16"/>
        <v>2011-06</v>
      </c>
      <c r="B247" s="9">
        <v>40715.439270833333</v>
      </c>
      <c r="C247" s="10">
        <v>22</v>
      </c>
      <c r="D247" s="11" t="s">
        <v>16</v>
      </c>
      <c r="E247" s="10">
        <v>4</v>
      </c>
      <c r="F247" s="12">
        <v>24</v>
      </c>
      <c r="G247" s="12">
        <f t="shared" si="15"/>
        <v>96</v>
      </c>
      <c r="H247" s="13">
        <v>18</v>
      </c>
      <c r="I247" s="13">
        <f t="shared" si="17"/>
        <v>72</v>
      </c>
      <c r="J247" s="8">
        <f t="shared" si="18"/>
        <v>24</v>
      </c>
      <c r="K247" s="10">
        <v>23</v>
      </c>
      <c r="L247" s="11" t="s">
        <v>32</v>
      </c>
      <c r="M247" s="30" t="s">
        <v>21</v>
      </c>
      <c r="N247" s="33">
        <f t="shared" si="19"/>
        <v>0.25</v>
      </c>
    </row>
    <row r="248" spans="1:14">
      <c r="A248" t="str">
        <f t="shared" si="16"/>
        <v>2011-06</v>
      </c>
      <c r="B248" s="9">
        <v>40715.91611111111</v>
      </c>
      <c r="C248" s="10">
        <v>16</v>
      </c>
      <c r="D248" s="11" t="s">
        <v>20</v>
      </c>
      <c r="E248" s="10">
        <v>81</v>
      </c>
      <c r="F248" s="12">
        <v>15</v>
      </c>
      <c r="G248" s="12">
        <f t="shared" si="15"/>
        <v>1215</v>
      </c>
      <c r="H248" s="13">
        <v>14</v>
      </c>
      <c r="I248" s="13">
        <f t="shared" si="17"/>
        <v>1134</v>
      </c>
      <c r="J248" s="8">
        <f t="shared" si="18"/>
        <v>81</v>
      </c>
      <c r="K248" s="10">
        <v>557</v>
      </c>
      <c r="L248" s="11" t="s">
        <v>36</v>
      </c>
      <c r="M248" s="30" t="s">
        <v>25</v>
      </c>
      <c r="N248" s="33">
        <f t="shared" si="19"/>
        <v>6.6666666666666666E-2</v>
      </c>
    </row>
    <row r="249" spans="1:14">
      <c r="A249" t="str">
        <f t="shared" si="16"/>
        <v>2011-06</v>
      </c>
      <c r="B249" s="9">
        <v>40717.610543981478</v>
      </c>
      <c r="C249" s="10">
        <v>4</v>
      </c>
      <c r="D249" s="11" t="s">
        <v>44</v>
      </c>
      <c r="E249" s="10">
        <v>91</v>
      </c>
      <c r="F249" s="12">
        <v>9</v>
      </c>
      <c r="G249" s="12">
        <f t="shared" si="15"/>
        <v>819</v>
      </c>
      <c r="H249" s="13">
        <v>7</v>
      </c>
      <c r="I249" s="13">
        <f t="shared" si="17"/>
        <v>637</v>
      </c>
      <c r="J249" s="8">
        <f t="shared" si="18"/>
        <v>182</v>
      </c>
      <c r="K249" s="10">
        <v>557</v>
      </c>
      <c r="L249" s="11" t="s">
        <v>36</v>
      </c>
      <c r="M249" s="30" t="s">
        <v>21</v>
      </c>
      <c r="N249" s="33">
        <f t="shared" si="19"/>
        <v>0.22222222222222221</v>
      </c>
    </row>
    <row r="250" spans="1:14">
      <c r="A250" t="str">
        <f t="shared" si="16"/>
        <v>2011-06</v>
      </c>
      <c r="B250" s="9">
        <v>40717.807916666665</v>
      </c>
      <c r="C250" s="10">
        <v>6</v>
      </c>
      <c r="D250" s="11" t="s">
        <v>60</v>
      </c>
      <c r="E250" s="10">
        <v>36</v>
      </c>
      <c r="F250" s="12">
        <v>55</v>
      </c>
      <c r="G250" s="12">
        <f t="shared" si="15"/>
        <v>1980</v>
      </c>
      <c r="H250" s="13">
        <v>25</v>
      </c>
      <c r="I250" s="13">
        <f t="shared" si="17"/>
        <v>900</v>
      </c>
      <c r="J250" s="8">
        <f t="shared" si="18"/>
        <v>1080</v>
      </c>
      <c r="K250" s="10">
        <v>686</v>
      </c>
      <c r="L250" s="11" t="s">
        <v>56</v>
      </c>
      <c r="M250" s="30" t="s">
        <v>25</v>
      </c>
      <c r="N250" s="33">
        <f t="shared" si="19"/>
        <v>0.54545454545454541</v>
      </c>
    </row>
    <row r="251" spans="1:14">
      <c r="A251" t="str">
        <f t="shared" si="16"/>
        <v>2011-06</v>
      </c>
      <c r="B251" s="9">
        <v>40719.99</v>
      </c>
      <c r="C251" s="10">
        <v>4</v>
      </c>
      <c r="D251" s="11" t="s">
        <v>44</v>
      </c>
      <c r="E251" s="10">
        <v>94</v>
      </c>
      <c r="F251" s="12">
        <v>9</v>
      </c>
      <c r="G251" s="12">
        <f t="shared" si="15"/>
        <v>846</v>
      </c>
      <c r="H251" s="13">
        <v>7</v>
      </c>
      <c r="I251" s="13">
        <f t="shared" si="17"/>
        <v>658</v>
      </c>
      <c r="J251" s="8">
        <f t="shared" si="18"/>
        <v>188</v>
      </c>
      <c r="K251" s="10">
        <v>95</v>
      </c>
      <c r="L251" s="11" t="s">
        <v>34</v>
      </c>
      <c r="M251" s="30" t="s">
        <v>21</v>
      </c>
      <c r="N251" s="33">
        <f t="shared" si="19"/>
        <v>0.22222222222222221</v>
      </c>
    </row>
    <row r="252" spans="1:14">
      <c r="A252" t="str">
        <f t="shared" si="16"/>
        <v>2011-06</v>
      </c>
      <c r="B252" s="9">
        <v>40720.263715277775</v>
      </c>
      <c r="C252" s="10">
        <v>100</v>
      </c>
      <c r="D252" s="11" t="s">
        <v>40</v>
      </c>
      <c r="E252" s="10">
        <v>12</v>
      </c>
      <c r="F252" s="12">
        <v>8</v>
      </c>
      <c r="G252" s="12">
        <f t="shared" si="15"/>
        <v>96</v>
      </c>
      <c r="H252" s="13">
        <v>4</v>
      </c>
      <c r="I252" s="13">
        <f t="shared" si="17"/>
        <v>48</v>
      </c>
      <c r="J252" s="8">
        <f t="shared" si="18"/>
        <v>48</v>
      </c>
      <c r="K252" s="10">
        <v>14</v>
      </c>
      <c r="L252" s="11" t="s">
        <v>27</v>
      </c>
      <c r="M252" s="30" t="s">
        <v>21</v>
      </c>
      <c r="N252" s="33">
        <f t="shared" si="19"/>
        <v>0.5</v>
      </c>
    </row>
    <row r="253" spans="1:14">
      <c r="A253" t="str">
        <f t="shared" si="16"/>
        <v>2011-06</v>
      </c>
      <c r="B253" s="9">
        <v>40721.423321759263</v>
      </c>
      <c r="C253" s="10">
        <v>31</v>
      </c>
      <c r="D253" s="11" t="s">
        <v>46</v>
      </c>
      <c r="E253" s="10">
        <v>3</v>
      </c>
      <c r="F253" s="12">
        <v>21</v>
      </c>
      <c r="G253" s="12">
        <f t="shared" si="15"/>
        <v>63</v>
      </c>
      <c r="H253" s="13">
        <v>12</v>
      </c>
      <c r="I253" s="13">
        <f t="shared" si="17"/>
        <v>36</v>
      </c>
      <c r="J253" s="8">
        <f t="shared" si="18"/>
        <v>27</v>
      </c>
      <c r="K253" s="10">
        <v>233</v>
      </c>
      <c r="L253" s="11" t="s">
        <v>24</v>
      </c>
      <c r="M253" s="30" t="s">
        <v>21</v>
      </c>
      <c r="N253" s="33">
        <f t="shared" si="19"/>
        <v>0.42857142857142855</v>
      </c>
    </row>
    <row r="254" spans="1:14">
      <c r="A254" t="str">
        <f t="shared" si="16"/>
        <v>2011-06</v>
      </c>
      <c r="B254" s="9">
        <v>40722.123252314814</v>
      </c>
      <c r="C254" s="10">
        <v>4</v>
      </c>
      <c r="D254" s="11" t="s">
        <v>44</v>
      </c>
      <c r="E254" s="10">
        <v>49</v>
      </c>
      <c r="F254" s="12">
        <v>9</v>
      </c>
      <c r="G254" s="12">
        <f t="shared" si="15"/>
        <v>441</v>
      </c>
      <c r="H254" s="13">
        <v>7</v>
      </c>
      <c r="I254" s="13">
        <f t="shared" si="17"/>
        <v>343</v>
      </c>
      <c r="J254" s="8">
        <f t="shared" si="18"/>
        <v>98</v>
      </c>
      <c r="K254" s="10">
        <v>14</v>
      </c>
      <c r="L254" s="11" t="s">
        <v>27</v>
      </c>
      <c r="M254" s="30" t="s">
        <v>25</v>
      </c>
      <c r="N254" s="33">
        <f t="shared" si="19"/>
        <v>0.22222222222222221</v>
      </c>
    </row>
    <row r="255" spans="1:14">
      <c r="A255" t="str">
        <f t="shared" si="16"/>
        <v>2011-06</v>
      </c>
      <c r="B255" s="9">
        <v>40722.206354166665</v>
      </c>
      <c r="C255" s="10">
        <v>98</v>
      </c>
      <c r="D255" s="11" t="s">
        <v>58</v>
      </c>
      <c r="E255" s="10">
        <v>96</v>
      </c>
      <c r="F255" s="12">
        <v>18</v>
      </c>
      <c r="G255" s="12">
        <f t="shared" si="15"/>
        <v>1728</v>
      </c>
      <c r="H255" s="13">
        <v>8</v>
      </c>
      <c r="I255" s="13">
        <f t="shared" si="17"/>
        <v>768</v>
      </c>
      <c r="J255" s="8">
        <f t="shared" si="18"/>
        <v>960</v>
      </c>
      <c r="K255" s="10">
        <v>23</v>
      </c>
      <c r="L255" s="11" t="s">
        <v>32</v>
      </c>
      <c r="M255" s="30" t="s">
        <v>21</v>
      </c>
      <c r="N255" s="33">
        <f t="shared" si="19"/>
        <v>0.55555555555555558</v>
      </c>
    </row>
    <row r="256" spans="1:14">
      <c r="A256" t="str">
        <f t="shared" si="16"/>
        <v>2011-06</v>
      </c>
      <c r="B256" s="9">
        <v>40723.539606481485</v>
      </c>
      <c r="C256" s="10">
        <v>100</v>
      </c>
      <c r="D256" s="11" t="s">
        <v>40</v>
      </c>
      <c r="E256" s="10">
        <v>94</v>
      </c>
      <c r="F256" s="12">
        <v>8</v>
      </c>
      <c r="G256" s="12">
        <f t="shared" si="15"/>
        <v>752</v>
      </c>
      <c r="H256" s="13">
        <v>4</v>
      </c>
      <c r="I256" s="13">
        <f t="shared" si="17"/>
        <v>376</v>
      </c>
      <c r="J256" s="8">
        <f t="shared" si="18"/>
        <v>376</v>
      </c>
      <c r="K256" s="10">
        <v>23</v>
      </c>
      <c r="L256" s="11" t="s">
        <v>32</v>
      </c>
      <c r="M256" s="30" t="s">
        <v>25</v>
      </c>
      <c r="N256" s="33">
        <f t="shared" si="19"/>
        <v>0.5</v>
      </c>
    </row>
    <row r="257" spans="1:14">
      <c r="A257" t="str">
        <f t="shared" si="16"/>
        <v>2011-06</v>
      </c>
      <c r="B257" s="9">
        <v>40723.895162037035</v>
      </c>
      <c r="C257" s="10">
        <v>30</v>
      </c>
      <c r="D257" s="11" t="s">
        <v>23</v>
      </c>
      <c r="E257" s="10">
        <v>4</v>
      </c>
      <c r="F257" s="12">
        <v>12</v>
      </c>
      <c r="G257" s="12">
        <f t="shared" si="15"/>
        <v>48</v>
      </c>
      <c r="H257" s="13">
        <v>8</v>
      </c>
      <c r="I257" s="13">
        <f t="shared" si="17"/>
        <v>32</v>
      </c>
      <c r="J257" s="8">
        <f t="shared" si="18"/>
        <v>16</v>
      </c>
      <c r="K257" s="10">
        <v>95</v>
      </c>
      <c r="L257" s="11" t="s">
        <v>34</v>
      </c>
      <c r="M257" s="30" t="s">
        <v>25</v>
      </c>
      <c r="N257" s="33">
        <f t="shared" si="19"/>
        <v>0.33333333333333331</v>
      </c>
    </row>
    <row r="258" spans="1:14">
      <c r="A258" t="str">
        <f t="shared" si="16"/>
        <v>2011-06</v>
      </c>
      <c r="B258" s="9">
        <v>40724.264293981483</v>
      </c>
      <c r="C258" s="10">
        <v>31</v>
      </c>
      <c r="D258" s="11" t="s">
        <v>46</v>
      </c>
      <c r="E258" s="10">
        <v>58</v>
      </c>
      <c r="F258" s="12">
        <v>21</v>
      </c>
      <c r="G258" s="12">
        <f t="shared" ref="G258:G321" si="20">E258*F258</f>
        <v>1218</v>
      </c>
      <c r="H258" s="13">
        <v>12</v>
      </c>
      <c r="I258" s="13">
        <f t="shared" si="17"/>
        <v>696</v>
      </c>
      <c r="J258" s="8">
        <f t="shared" si="18"/>
        <v>522</v>
      </c>
      <c r="K258" s="10">
        <v>6</v>
      </c>
      <c r="L258" s="11" t="s">
        <v>33</v>
      </c>
      <c r="M258" s="30" t="s">
        <v>21</v>
      </c>
      <c r="N258" s="33">
        <f t="shared" si="19"/>
        <v>0.42857142857142855</v>
      </c>
    </row>
    <row r="259" spans="1:14">
      <c r="A259" t="str">
        <f t="shared" ref="A259:A322" si="21">TEXT(B259, "YYYY-MM")</f>
        <v>2011-07</v>
      </c>
      <c r="B259" s="9">
        <v>40726.159849537034</v>
      </c>
      <c r="C259" s="10">
        <v>22</v>
      </c>
      <c r="D259" s="11" t="s">
        <v>16</v>
      </c>
      <c r="E259" s="10">
        <v>31</v>
      </c>
      <c r="F259" s="12">
        <v>24</v>
      </c>
      <c r="G259" s="12">
        <f t="shared" si="20"/>
        <v>744</v>
      </c>
      <c r="H259" s="13">
        <v>18</v>
      </c>
      <c r="I259" s="13">
        <f t="shared" ref="I259:I322" si="22">E259*H259</f>
        <v>558</v>
      </c>
      <c r="J259" s="8">
        <f t="shared" ref="J259:J322" si="23">G259-I259</f>
        <v>186</v>
      </c>
      <c r="K259" s="10">
        <v>572</v>
      </c>
      <c r="L259" s="11" t="s">
        <v>31</v>
      </c>
      <c r="M259" s="30" t="s">
        <v>18</v>
      </c>
      <c r="N259" s="33">
        <f t="shared" ref="N259:N322" si="24">J259/G259</f>
        <v>0.25</v>
      </c>
    </row>
    <row r="260" spans="1:14">
      <c r="A260" t="str">
        <f t="shared" si="21"/>
        <v>2011-07</v>
      </c>
      <c r="B260" s="9">
        <v>40726.313657407409</v>
      </c>
      <c r="C260" s="10">
        <v>16</v>
      </c>
      <c r="D260" s="11" t="s">
        <v>20</v>
      </c>
      <c r="E260" s="10">
        <v>3</v>
      </c>
      <c r="F260" s="12">
        <v>15</v>
      </c>
      <c r="G260" s="12">
        <f t="shared" si="20"/>
        <v>45</v>
      </c>
      <c r="H260" s="13">
        <v>14</v>
      </c>
      <c r="I260" s="13">
        <f t="shared" si="22"/>
        <v>42</v>
      </c>
      <c r="J260" s="8">
        <f t="shared" si="23"/>
        <v>3</v>
      </c>
      <c r="K260" s="10">
        <v>572</v>
      </c>
      <c r="L260" s="11" t="s">
        <v>31</v>
      </c>
      <c r="M260" s="30" t="s">
        <v>18</v>
      </c>
      <c r="N260" s="33">
        <f t="shared" si="24"/>
        <v>6.6666666666666666E-2</v>
      </c>
    </row>
    <row r="261" spans="1:14">
      <c r="A261" t="str">
        <f t="shared" si="21"/>
        <v>2011-07</v>
      </c>
      <c r="B261" s="9">
        <v>40726.454247685186</v>
      </c>
      <c r="C261" s="10">
        <v>16</v>
      </c>
      <c r="D261" s="11" t="s">
        <v>20</v>
      </c>
      <c r="E261" s="10">
        <v>10</v>
      </c>
      <c r="F261" s="12">
        <v>15</v>
      </c>
      <c r="G261" s="12">
        <f t="shared" si="20"/>
        <v>150</v>
      </c>
      <c r="H261" s="13">
        <v>14</v>
      </c>
      <c r="I261" s="13">
        <f t="shared" si="22"/>
        <v>140</v>
      </c>
      <c r="J261" s="8">
        <f t="shared" si="23"/>
        <v>10</v>
      </c>
      <c r="K261" s="10">
        <v>846</v>
      </c>
      <c r="L261" s="11" t="s">
        <v>35</v>
      </c>
      <c r="M261" s="30" t="s">
        <v>25</v>
      </c>
      <c r="N261" s="33">
        <f t="shared" si="24"/>
        <v>6.6666666666666666E-2</v>
      </c>
    </row>
    <row r="262" spans="1:14">
      <c r="A262" t="str">
        <f t="shared" si="21"/>
        <v>2011-07</v>
      </c>
      <c r="B262" s="9">
        <v>40727.373171296298</v>
      </c>
      <c r="C262" s="10">
        <v>16</v>
      </c>
      <c r="D262" s="11" t="s">
        <v>20</v>
      </c>
      <c r="E262" s="10">
        <v>21</v>
      </c>
      <c r="F262" s="12">
        <v>15</v>
      </c>
      <c r="G262" s="12">
        <f t="shared" si="20"/>
        <v>315</v>
      </c>
      <c r="H262" s="13">
        <v>14</v>
      </c>
      <c r="I262" s="13">
        <f t="shared" si="22"/>
        <v>294</v>
      </c>
      <c r="J262" s="8">
        <f t="shared" si="23"/>
        <v>21</v>
      </c>
      <c r="K262" s="10">
        <v>846</v>
      </c>
      <c r="L262" s="11" t="s">
        <v>35</v>
      </c>
      <c r="M262" s="30" t="s">
        <v>25</v>
      </c>
      <c r="N262" s="33">
        <f t="shared" si="24"/>
        <v>6.6666666666666666E-2</v>
      </c>
    </row>
    <row r="263" spans="1:14">
      <c r="A263" t="str">
        <f t="shared" si="21"/>
        <v>2011-07</v>
      </c>
      <c r="B263" s="9">
        <v>40728.161307870374</v>
      </c>
      <c r="C263" s="10">
        <v>16</v>
      </c>
      <c r="D263" s="11" t="s">
        <v>20</v>
      </c>
      <c r="E263" s="10">
        <v>65</v>
      </c>
      <c r="F263" s="12">
        <v>15</v>
      </c>
      <c r="G263" s="12">
        <f t="shared" si="20"/>
        <v>975</v>
      </c>
      <c r="H263" s="13">
        <v>14</v>
      </c>
      <c r="I263" s="13">
        <f t="shared" si="22"/>
        <v>910</v>
      </c>
      <c r="J263" s="8">
        <f t="shared" si="23"/>
        <v>65</v>
      </c>
      <c r="K263" s="10">
        <v>686</v>
      </c>
      <c r="L263" s="11" t="s">
        <v>56</v>
      </c>
      <c r="M263" s="30" t="s">
        <v>21</v>
      </c>
      <c r="N263" s="33">
        <f t="shared" si="24"/>
        <v>6.6666666666666666E-2</v>
      </c>
    </row>
    <row r="264" spans="1:14">
      <c r="A264" t="str">
        <f t="shared" si="21"/>
        <v>2011-07</v>
      </c>
      <c r="B264" s="9">
        <v>40730.463391203702</v>
      </c>
      <c r="C264" s="10">
        <v>2</v>
      </c>
      <c r="D264" s="11" t="s">
        <v>30</v>
      </c>
      <c r="E264" s="10">
        <v>96</v>
      </c>
      <c r="F264" s="12">
        <v>12</v>
      </c>
      <c r="G264" s="12">
        <f t="shared" si="20"/>
        <v>1152</v>
      </c>
      <c r="H264" s="13">
        <v>6</v>
      </c>
      <c r="I264" s="13">
        <f t="shared" si="22"/>
        <v>576</v>
      </c>
      <c r="J264" s="8">
        <f t="shared" si="23"/>
        <v>576</v>
      </c>
      <c r="K264" s="10">
        <v>14</v>
      </c>
      <c r="L264" s="11" t="s">
        <v>27</v>
      </c>
      <c r="M264" s="30" t="s">
        <v>21</v>
      </c>
      <c r="N264" s="33">
        <f t="shared" si="24"/>
        <v>0.5</v>
      </c>
    </row>
    <row r="265" spans="1:14">
      <c r="A265" t="str">
        <f t="shared" si="21"/>
        <v>2011-07</v>
      </c>
      <c r="B265" s="9">
        <v>40731.254317129627</v>
      </c>
      <c r="C265" s="10">
        <v>98</v>
      </c>
      <c r="D265" s="11" t="s">
        <v>58</v>
      </c>
      <c r="E265" s="10">
        <v>79</v>
      </c>
      <c r="F265" s="12">
        <v>18</v>
      </c>
      <c r="G265" s="12">
        <f t="shared" si="20"/>
        <v>1422</v>
      </c>
      <c r="H265" s="13">
        <v>8</v>
      </c>
      <c r="I265" s="13">
        <f t="shared" si="22"/>
        <v>632</v>
      </c>
      <c r="J265" s="8">
        <f t="shared" si="23"/>
        <v>790</v>
      </c>
      <c r="K265" s="10">
        <v>6</v>
      </c>
      <c r="L265" s="11" t="s">
        <v>33</v>
      </c>
      <c r="M265" s="30" t="s">
        <v>21</v>
      </c>
      <c r="N265" s="33">
        <f t="shared" si="24"/>
        <v>0.55555555555555558</v>
      </c>
    </row>
    <row r="266" spans="1:14">
      <c r="A266" t="str">
        <f t="shared" si="21"/>
        <v>2011-07</v>
      </c>
      <c r="B266" s="9">
        <v>40731.656122685185</v>
      </c>
      <c r="C266" s="10">
        <v>100</v>
      </c>
      <c r="D266" s="11" t="s">
        <v>40</v>
      </c>
      <c r="E266" s="10">
        <v>99</v>
      </c>
      <c r="F266" s="12">
        <v>8</v>
      </c>
      <c r="G266" s="12">
        <f t="shared" si="20"/>
        <v>792</v>
      </c>
      <c r="H266" s="13">
        <v>4</v>
      </c>
      <c r="I266" s="13">
        <f t="shared" si="22"/>
        <v>396</v>
      </c>
      <c r="J266" s="8">
        <f t="shared" si="23"/>
        <v>396</v>
      </c>
      <c r="K266" s="10">
        <v>6</v>
      </c>
      <c r="L266" s="11" t="s">
        <v>33</v>
      </c>
      <c r="M266" s="30" t="s">
        <v>21</v>
      </c>
      <c r="N266" s="33">
        <f t="shared" si="24"/>
        <v>0.5</v>
      </c>
    </row>
    <row r="267" spans="1:14">
      <c r="A267" t="str">
        <f t="shared" si="21"/>
        <v>2011-07</v>
      </c>
      <c r="B267" s="9">
        <v>40732.152430555558</v>
      </c>
      <c r="C267" s="10">
        <v>19</v>
      </c>
      <c r="D267" s="11" t="s">
        <v>47</v>
      </c>
      <c r="E267" s="10">
        <v>94</v>
      </c>
      <c r="F267" s="12">
        <v>36</v>
      </c>
      <c r="G267" s="12">
        <f t="shared" si="20"/>
        <v>3384</v>
      </c>
      <c r="H267" s="13">
        <v>25</v>
      </c>
      <c r="I267" s="13">
        <f t="shared" si="22"/>
        <v>2350</v>
      </c>
      <c r="J267" s="8">
        <f t="shared" si="23"/>
        <v>1034</v>
      </c>
      <c r="K267" s="10">
        <v>6</v>
      </c>
      <c r="L267" s="11" t="s">
        <v>33</v>
      </c>
      <c r="M267" s="30" t="s">
        <v>21</v>
      </c>
      <c r="N267" s="33">
        <f t="shared" si="24"/>
        <v>0.30555555555555558</v>
      </c>
    </row>
    <row r="268" spans="1:14">
      <c r="A268" t="str">
        <f t="shared" si="21"/>
        <v>2011-07</v>
      </c>
      <c r="B268" s="9">
        <v>40732.77685185185</v>
      </c>
      <c r="C268" s="10">
        <v>85</v>
      </c>
      <c r="D268" s="11" t="s">
        <v>38</v>
      </c>
      <c r="E268" s="10">
        <v>69</v>
      </c>
      <c r="F268" s="12">
        <v>53</v>
      </c>
      <c r="G268" s="12">
        <f t="shared" si="20"/>
        <v>3657</v>
      </c>
      <c r="H268" s="13">
        <v>35</v>
      </c>
      <c r="I268" s="13">
        <f t="shared" si="22"/>
        <v>2415</v>
      </c>
      <c r="J268" s="8">
        <f t="shared" si="23"/>
        <v>1242</v>
      </c>
      <c r="K268" s="10">
        <v>6</v>
      </c>
      <c r="L268" s="11" t="s">
        <v>33</v>
      </c>
      <c r="M268" s="30" t="s">
        <v>21</v>
      </c>
      <c r="N268" s="33">
        <f t="shared" si="24"/>
        <v>0.33962264150943394</v>
      </c>
    </row>
    <row r="269" spans="1:14">
      <c r="A269" t="str">
        <f t="shared" si="21"/>
        <v>2011-07</v>
      </c>
      <c r="B269" s="9">
        <v>40735.695219907408</v>
      </c>
      <c r="C269" s="10">
        <v>39</v>
      </c>
      <c r="D269" s="11" t="s">
        <v>37</v>
      </c>
      <c r="E269" s="10">
        <v>94</v>
      </c>
      <c r="F269" s="12">
        <v>33</v>
      </c>
      <c r="G269" s="12">
        <f t="shared" si="20"/>
        <v>3102</v>
      </c>
      <c r="H269" s="13">
        <v>28</v>
      </c>
      <c r="I269" s="13">
        <f t="shared" si="22"/>
        <v>2632</v>
      </c>
      <c r="J269" s="8">
        <f t="shared" si="23"/>
        <v>470</v>
      </c>
      <c r="K269" s="10">
        <v>572</v>
      </c>
      <c r="L269" s="11" t="s">
        <v>31</v>
      </c>
      <c r="M269" s="30" t="s">
        <v>25</v>
      </c>
      <c r="N269" s="33">
        <f t="shared" si="24"/>
        <v>0.15151515151515152</v>
      </c>
    </row>
    <row r="270" spans="1:14">
      <c r="A270" t="str">
        <f t="shared" si="21"/>
        <v>2011-07</v>
      </c>
      <c r="B270" s="9">
        <v>40735.9216087963</v>
      </c>
      <c r="C270" s="10">
        <v>2</v>
      </c>
      <c r="D270" s="11" t="s">
        <v>30</v>
      </c>
      <c r="E270" s="10">
        <v>57</v>
      </c>
      <c r="F270" s="12">
        <v>12</v>
      </c>
      <c r="G270" s="12">
        <f t="shared" si="20"/>
        <v>684</v>
      </c>
      <c r="H270" s="13">
        <v>6</v>
      </c>
      <c r="I270" s="13">
        <f t="shared" si="22"/>
        <v>342</v>
      </c>
      <c r="J270" s="8">
        <f t="shared" si="23"/>
        <v>342</v>
      </c>
      <c r="K270" s="10">
        <v>95</v>
      </c>
      <c r="L270" s="11" t="s">
        <v>34</v>
      </c>
      <c r="M270" s="30" t="s">
        <v>25</v>
      </c>
      <c r="N270" s="33">
        <f t="shared" si="24"/>
        <v>0.5</v>
      </c>
    </row>
    <row r="271" spans="1:14">
      <c r="A271" t="str">
        <f t="shared" si="21"/>
        <v>2011-07</v>
      </c>
      <c r="B271" s="9">
        <v>40736.59752314815</v>
      </c>
      <c r="C271" s="10">
        <v>30</v>
      </c>
      <c r="D271" s="11" t="s">
        <v>23</v>
      </c>
      <c r="E271" s="10">
        <v>77</v>
      </c>
      <c r="F271" s="12">
        <v>12</v>
      </c>
      <c r="G271" s="12">
        <f t="shared" si="20"/>
        <v>924</v>
      </c>
      <c r="H271" s="13">
        <v>8</v>
      </c>
      <c r="I271" s="13">
        <f t="shared" si="22"/>
        <v>616</v>
      </c>
      <c r="J271" s="8">
        <f t="shared" si="23"/>
        <v>308</v>
      </c>
      <c r="K271" s="10">
        <v>95</v>
      </c>
      <c r="L271" s="11" t="s">
        <v>34</v>
      </c>
      <c r="M271" s="30" t="s">
        <v>25</v>
      </c>
      <c r="N271" s="33">
        <f t="shared" si="24"/>
        <v>0.33333333333333331</v>
      </c>
    </row>
    <row r="272" spans="1:14">
      <c r="A272" t="str">
        <f t="shared" si="21"/>
        <v>2011-07</v>
      </c>
      <c r="B272" s="9">
        <v>40737.31863425926</v>
      </c>
      <c r="C272" s="10">
        <v>16</v>
      </c>
      <c r="D272" s="11" t="s">
        <v>20</v>
      </c>
      <c r="E272" s="10">
        <v>37</v>
      </c>
      <c r="F272" s="12">
        <v>15</v>
      </c>
      <c r="G272" s="12">
        <f t="shared" si="20"/>
        <v>555</v>
      </c>
      <c r="H272" s="13">
        <v>14</v>
      </c>
      <c r="I272" s="13">
        <f t="shared" si="22"/>
        <v>518</v>
      </c>
      <c r="J272" s="8">
        <f t="shared" si="23"/>
        <v>37</v>
      </c>
      <c r="K272" s="10">
        <v>95</v>
      </c>
      <c r="L272" s="11" t="s">
        <v>34</v>
      </c>
      <c r="M272" s="30" t="s">
        <v>25</v>
      </c>
      <c r="N272" s="33">
        <f t="shared" si="24"/>
        <v>6.6666666666666666E-2</v>
      </c>
    </row>
    <row r="273" spans="1:14">
      <c r="A273" t="str">
        <f t="shared" si="21"/>
        <v>2011-07</v>
      </c>
      <c r="B273" s="9">
        <v>40737.521979166668</v>
      </c>
      <c r="C273" s="10">
        <v>100</v>
      </c>
      <c r="D273" s="11" t="s">
        <v>40</v>
      </c>
      <c r="E273" s="10">
        <v>30</v>
      </c>
      <c r="F273" s="12">
        <v>8</v>
      </c>
      <c r="G273" s="12">
        <f t="shared" si="20"/>
        <v>240</v>
      </c>
      <c r="H273" s="13">
        <v>4</v>
      </c>
      <c r="I273" s="13">
        <f t="shared" si="22"/>
        <v>120</v>
      </c>
      <c r="J273" s="8">
        <f t="shared" si="23"/>
        <v>120</v>
      </c>
      <c r="K273" s="10">
        <v>846</v>
      </c>
      <c r="L273" s="11" t="s">
        <v>35</v>
      </c>
      <c r="M273" s="30" t="s">
        <v>21</v>
      </c>
      <c r="N273" s="33">
        <f t="shared" si="24"/>
        <v>0.5</v>
      </c>
    </row>
    <row r="274" spans="1:14">
      <c r="A274" t="str">
        <f t="shared" si="21"/>
        <v>2011-07</v>
      </c>
      <c r="B274" s="9">
        <v>40738.131493055553</v>
      </c>
      <c r="C274" s="10">
        <v>31</v>
      </c>
      <c r="D274" s="11" t="s">
        <v>46</v>
      </c>
      <c r="E274" s="10">
        <v>65</v>
      </c>
      <c r="F274" s="12">
        <v>21</v>
      </c>
      <c r="G274" s="12">
        <f t="shared" si="20"/>
        <v>1365</v>
      </c>
      <c r="H274" s="13">
        <v>12</v>
      </c>
      <c r="I274" s="13">
        <f t="shared" si="22"/>
        <v>780</v>
      </c>
      <c r="J274" s="8">
        <f t="shared" si="23"/>
        <v>585</v>
      </c>
      <c r="K274" s="10">
        <v>14</v>
      </c>
      <c r="L274" s="11" t="s">
        <v>27</v>
      </c>
      <c r="M274" s="30" t="s">
        <v>25</v>
      </c>
      <c r="N274" s="33">
        <f t="shared" si="24"/>
        <v>0.42857142857142855</v>
      </c>
    </row>
    <row r="275" spans="1:14">
      <c r="A275" t="str">
        <f t="shared" si="21"/>
        <v>2011-07</v>
      </c>
      <c r="B275" s="9">
        <v>40738.641909722224</v>
      </c>
      <c r="C275" s="10">
        <v>30</v>
      </c>
      <c r="D275" s="11" t="s">
        <v>23</v>
      </c>
      <c r="E275" s="10">
        <v>71</v>
      </c>
      <c r="F275" s="12">
        <v>12</v>
      </c>
      <c r="G275" s="12">
        <f t="shared" si="20"/>
        <v>852</v>
      </c>
      <c r="H275" s="13">
        <v>8</v>
      </c>
      <c r="I275" s="13">
        <f t="shared" si="22"/>
        <v>568</v>
      </c>
      <c r="J275" s="8">
        <f t="shared" si="23"/>
        <v>284</v>
      </c>
      <c r="K275" s="10">
        <v>6</v>
      </c>
      <c r="L275" s="11" t="s">
        <v>33</v>
      </c>
      <c r="M275" s="30" t="s">
        <v>25</v>
      </c>
      <c r="N275" s="33">
        <f t="shared" si="24"/>
        <v>0.33333333333333331</v>
      </c>
    </row>
    <row r="276" spans="1:14">
      <c r="A276" t="str">
        <f t="shared" si="21"/>
        <v>2011-07</v>
      </c>
      <c r="B276" s="9">
        <v>40738.924421296295</v>
      </c>
      <c r="C276" s="10">
        <v>16</v>
      </c>
      <c r="D276" s="11" t="s">
        <v>20</v>
      </c>
      <c r="E276" s="10">
        <v>5</v>
      </c>
      <c r="F276" s="12">
        <v>15</v>
      </c>
      <c r="G276" s="12">
        <f t="shared" si="20"/>
        <v>75</v>
      </c>
      <c r="H276" s="13">
        <v>14</v>
      </c>
      <c r="I276" s="13">
        <f t="shared" si="22"/>
        <v>70</v>
      </c>
      <c r="J276" s="8">
        <f t="shared" si="23"/>
        <v>5</v>
      </c>
      <c r="K276" s="10">
        <v>572</v>
      </c>
      <c r="L276" s="11" t="s">
        <v>31</v>
      </c>
      <c r="M276" s="30" t="s">
        <v>25</v>
      </c>
      <c r="N276" s="33">
        <f t="shared" si="24"/>
        <v>6.6666666666666666E-2</v>
      </c>
    </row>
    <row r="277" spans="1:14">
      <c r="A277" t="str">
        <f t="shared" si="21"/>
        <v>2011-07</v>
      </c>
      <c r="B277" s="9">
        <v>40739.449826388889</v>
      </c>
      <c r="C277" s="10">
        <v>39</v>
      </c>
      <c r="D277" s="11" t="s">
        <v>37</v>
      </c>
      <c r="E277" s="10">
        <v>77</v>
      </c>
      <c r="F277" s="12">
        <v>33</v>
      </c>
      <c r="G277" s="12">
        <f t="shared" si="20"/>
        <v>2541</v>
      </c>
      <c r="H277" s="13">
        <v>28</v>
      </c>
      <c r="I277" s="13">
        <f t="shared" si="22"/>
        <v>2156</v>
      </c>
      <c r="J277" s="8">
        <f t="shared" si="23"/>
        <v>385</v>
      </c>
      <c r="K277" s="10">
        <v>23</v>
      </c>
      <c r="L277" s="11" t="s">
        <v>32</v>
      </c>
      <c r="M277" s="30" t="s">
        <v>21</v>
      </c>
      <c r="N277" s="33">
        <f t="shared" si="24"/>
        <v>0.15151515151515152</v>
      </c>
    </row>
    <row r="278" spans="1:14">
      <c r="A278" t="str">
        <f t="shared" si="21"/>
        <v>2011-07</v>
      </c>
      <c r="B278" s="9">
        <v>40742.249560185184</v>
      </c>
      <c r="C278" s="10">
        <v>30</v>
      </c>
      <c r="D278" s="11" t="s">
        <v>23</v>
      </c>
      <c r="E278" s="10">
        <v>16</v>
      </c>
      <c r="F278" s="12">
        <v>12</v>
      </c>
      <c r="G278" s="12">
        <f t="shared" si="20"/>
        <v>192</v>
      </c>
      <c r="H278" s="13">
        <v>8</v>
      </c>
      <c r="I278" s="13">
        <f t="shared" si="22"/>
        <v>128</v>
      </c>
      <c r="J278" s="8">
        <f t="shared" si="23"/>
        <v>64</v>
      </c>
      <c r="K278" s="10">
        <v>572</v>
      </c>
      <c r="L278" s="11" t="s">
        <v>31</v>
      </c>
      <c r="M278" s="30" t="s">
        <v>25</v>
      </c>
      <c r="N278" s="33">
        <f t="shared" si="24"/>
        <v>0.33333333333333331</v>
      </c>
    </row>
    <row r="279" spans="1:14">
      <c r="A279" t="str">
        <f t="shared" si="21"/>
        <v>2011-07</v>
      </c>
      <c r="B279" s="9">
        <v>40742.961423611108</v>
      </c>
      <c r="C279" s="10">
        <v>98</v>
      </c>
      <c r="D279" s="11" t="s">
        <v>58</v>
      </c>
      <c r="E279" s="10">
        <v>27</v>
      </c>
      <c r="F279" s="12">
        <v>18</v>
      </c>
      <c r="G279" s="12">
        <f t="shared" si="20"/>
        <v>486</v>
      </c>
      <c r="H279" s="13">
        <v>8</v>
      </c>
      <c r="I279" s="13">
        <f t="shared" si="22"/>
        <v>216</v>
      </c>
      <c r="J279" s="8">
        <f t="shared" si="23"/>
        <v>270</v>
      </c>
      <c r="K279" s="10">
        <v>846</v>
      </c>
      <c r="L279" s="11" t="s">
        <v>35</v>
      </c>
      <c r="M279" s="30" t="s">
        <v>25</v>
      </c>
      <c r="N279" s="33">
        <f t="shared" si="24"/>
        <v>0.55555555555555558</v>
      </c>
    </row>
    <row r="280" spans="1:14">
      <c r="A280" t="str">
        <f t="shared" si="21"/>
        <v>2011-07</v>
      </c>
      <c r="B280" s="9">
        <v>40743.096215277779</v>
      </c>
      <c r="C280" s="10">
        <v>31</v>
      </c>
      <c r="D280" s="11" t="s">
        <v>46</v>
      </c>
      <c r="E280" s="10">
        <v>81</v>
      </c>
      <c r="F280" s="12">
        <v>21</v>
      </c>
      <c r="G280" s="12">
        <f t="shared" si="20"/>
        <v>1701</v>
      </c>
      <c r="H280" s="13">
        <v>12</v>
      </c>
      <c r="I280" s="13">
        <f t="shared" si="22"/>
        <v>972</v>
      </c>
      <c r="J280" s="8">
        <f t="shared" si="23"/>
        <v>729</v>
      </c>
      <c r="K280" s="10">
        <v>572</v>
      </c>
      <c r="L280" s="11" t="s">
        <v>31</v>
      </c>
      <c r="M280" s="30" t="s">
        <v>21</v>
      </c>
      <c r="N280" s="33">
        <f t="shared" si="24"/>
        <v>0.42857142857142855</v>
      </c>
    </row>
    <row r="281" spans="1:14">
      <c r="A281" t="str">
        <f t="shared" si="21"/>
        <v>2011-07</v>
      </c>
      <c r="B281" s="9">
        <v>40743.987395833334</v>
      </c>
      <c r="C281" s="10">
        <v>100</v>
      </c>
      <c r="D281" s="11" t="s">
        <v>40</v>
      </c>
      <c r="E281" s="10">
        <v>55</v>
      </c>
      <c r="F281" s="12">
        <v>8</v>
      </c>
      <c r="G281" s="12">
        <f t="shared" si="20"/>
        <v>440</v>
      </c>
      <c r="H281" s="13">
        <v>4</v>
      </c>
      <c r="I281" s="13">
        <f t="shared" si="22"/>
        <v>220</v>
      </c>
      <c r="J281" s="8">
        <f t="shared" si="23"/>
        <v>220</v>
      </c>
      <c r="K281" s="10">
        <v>95</v>
      </c>
      <c r="L281" s="11" t="s">
        <v>34</v>
      </c>
      <c r="M281" s="30" t="s">
        <v>21</v>
      </c>
      <c r="N281" s="33">
        <f t="shared" si="24"/>
        <v>0.5</v>
      </c>
    </row>
    <row r="282" spans="1:14">
      <c r="A282" t="str">
        <f t="shared" si="21"/>
        <v>2011-07</v>
      </c>
      <c r="B282" s="9">
        <v>40745.488506944443</v>
      </c>
      <c r="C282" s="10">
        <v>4</v>
      </c>
      <c r="D282" s="11" t="s">
        <v>44</v>
      </c>
      <c r="E282" s="10">
        <v>80</v>
      </c>
      <c r="F282" s="12">
        <v>9</v>
      </c>
      <c r="G282" s="12">
        <f t="shared" si="20"/>
        <v>720</v>
      </c>
      <c r="H282" s="13">
        <v>7</v>
      </c>
      <c r="I282" s="13">
        <f t="shared" si="22"/>
        <v>560</v>
      </c>
      <c r="J282" s="8">
        <f t="shared" si="23"/>
        <v>160</v>
      </c>
      <c r="K282" s="10">
        <v>23</v>
      </c>
      <c r="L282" s="11" t="s">
        <v>32</v>
      </c>
      <c r="M282" s="30" t="s">
        <v>25</v>
      </c>
      <c r="N282" s="33">
        <f t="shared" si="24"/>
        <v>0.22222222222222221</v>
      </c>
    </row>
    <row r="283" spans="1:14">
      <c r="A283" t="str">
        <f t="shared" si="21"/>
        <v>2011-07</v>
      </c>
      <c r="B283" s="9">
        <v>40747.910370370373</v>
      </c>
      <c r="C283" s="10">
        <v>30</v>
      </c>
      <c r="D283" s="11" t="s">
        <v>23</v>
      </c>
      <c r="E283" s="10">
        <v>64</v>
      </c>
      <c r="F283" s="12">
        <v>12</v>
      </c>
      <c r="G283" s="12">
        <f t="shared" si="20"/>
        <v>768</v>
      </c>
      <c r="H283" s="13">
        <v>8</v>
      </c>
      <c r="I283" s="13">
        <f t="shared" si="22"/>
        <v>512</v>
      </c>
      <c r="J283" s="8">
        <f t="shared" si="23"/>
        <v>256</v>
      </c>
      <c r="K283" s="10">
        <v>95</v>
      </c>
      <c r="L283" s="11" t="s">
        <v>34</v>
      </c>
      <c r="M283" s="30" t="s">
        <v>18</v>
      </c>
      <c r="N283" s="33">
        <f t="shared" si="24"/>
        <v>0.33333333333333331</v>
      </c>
    </row>
    <row r="284" spans="1:14">
      <c r="A284" t="str">
        <f t="shared" si="21"/>
        <v>2011-07</v>
      </c>
      <c r="B284" s="9">
        <v>40748.226678240739</v>
      </c>
      <c r="C284" s="10">
        <v>4</v>
      </c>
      <c r="D284" s="11" t="s">
        <v>44</v>
      </c>
      <c r="E284" s="10">
        <v>61</v>
      </c>
      <c r="F284" s="12">
        <v>9</v>
      </c>
      <c r="G284" s="12">
        <f t="shared" si="20"/>
        <v>549</v>
      </c>
      <c r="H284" s="13">
        <v>7</v>
      </c>
      <c r="I284" s="13">
        <f t="shared" si="22"/>
        <v>427</v>
      </c>
      <c r="J284" s="8">
        <f t="shared" si="23"/>
        <v>122</v>
      </c>
      <c r="K284" s="10">
        <v>6</v>
      </c>
      <c r="L284" s="11" t="s">
        <v>33</v>
      </c>
      <c r="M284" s="30" t="s">
        <v>25</v>
      </c>
      <c r="N284" s="33">
        <f t="shared" si="24"/>
        <v>0.22222222222222221</v>
      </c>
    </row>
    <row r="285" spans="1:14">
      <c r="A285" t="str">
        <f t="shared" si="21"/>
        <v>2011-07</v>
      </c>
      <c r="B285" s="9">
        <v>40748.782141203701</v>
      </c>
      <c r="C285" s="10">
        <v>19</v>
      </c>
      <c r="D285" s="11" t="s">
        <v>47</v>
      </c>
      <c r="E285" s="10">
        <v>82</v>
      </c>
      <c r="F285" s="12">
        <v>36</v>
      </c>
      <c r="G285" s="12">
        <f t="shared" si="20"/>
        <v>2952</v>
      </c>
      <c r="H285" s="13">
        <v>25</v>
      </c>
      <c r="I285" s="13">
        <f t="shared" si="22"/>
        <v>2050</v>
      </c>
      <c r="J285" s="8">
        <f t="shared" si="23"/>
        <v>902</v>
      </c>
      <c r="K285" s="10">
        <v>686</v>
      </c>
      <c r="L285" s="11" t="s">
        <v>56</v>
      </c>
      <c r="M285" s="30" t="s">
        <v>25</v>
      </c>
      <c r="N285" s="33">
        <f t="shared" si="24"/>
        <v>0.30555555555555558</v>
      </c>
    </row>
    <row r="286" spans="1:14">
      <c r="A286" t="str">
        <f t="shared" si="21"/>
        <v>2011-07</v>
      </c>
      <c r="B286" s="9">
        <v>40749.15997685185</v>
      </c>
      <c r="C286" s="10">
        <v>100</v>
      </c>
      <c r="D286" s="11" t="s">
        <v>40</v>
      </c>
      <c r="E286" s="10">
        <v>9</v>
      </c>
      <c r="F286" s="12">
        <v>8</v>
      </c>
      <c r="G286" s="12">
        <f t="shared" si="20"/>
        <v>72</v>
      </c>
      <c r="H286" s="13">
        <v>4</v>
      </c>
      <c r="I286" s="13">
        <f t="shared" si="22"/>
        <v>36</v>
      </c>
      <c r="J286" s="8">
        <f t="shared" si="23"/>
        <v>36</v>
      </c>
      <c r="K286" s="10">
        <v>846</v>
      </c>
      <c r="L286" s="11" t="s">
        <v>35</v>
      </c>
      <c r="M286" s="30" t="s">
        <v>25</v>
      </c>
      <c r="N286" s="33">
        <f t="shared" si="24"/>
        <v>0.5</v>
      </c>
    </row>
    <row r="287" spans="1:14">
      <c r="A287" t="str">
        <f t="shared" si="21"/>
        <v>2011-07</v>
      </c>
      <c r="B287" s="9">
        <v>40750.286574074074</v>
      </c>
      <c r="C287" s="10">
        <v>30</v>
      </c>
      <c r="D287" s="11" t="s">
        <v>23</v>
      </c>
      <c r="E287" s="10">
        <v>82</v>
      </c>
      <c r="F287" s="12">
        <v>12</v>
      </c>
      <c r="G287" s="12">
        <f t="shared" si="20"/>
        <v>984</v>
      </c>
      <c r="H287" s="13">
        <v>8</v>
      </c>
      <c r="I287" s="13">
        <f t="shared" si="22"/>
        <v>656</v>
      </c>
      <c r="J287" s="8">
        <f t="shared" si="23"/>
        <v>328</v>
      </c>
      <c r="K287" s="10">
        <v>572</v>
      </c>
      <c r="L287" s="11" t="s">
        <v>31</v>
      </c>
      <c r="M287" s="30" t="s">
        <v>25</v>
      </c>
      <c r="N287" s="33">
        <f t="shared" si="24"/>
        <v>0.33333333333333331</v>
      </c>
    </row>
    <row r="288" spans="1:14">
      <c r="A288" t="str">
        <f t="shared" si="21"/>
        <v>2011-07</v>
      </c>
      <c r="B288" s="9">
        <v>40750.418182870373</v>
      </c>
      <c r="C288" s="10">
        <v>4</v>
      </c>
      <c r="D288" s="11" t="s">
        <v>44</v>
      </c>
      <c r="E288" s="10">
        <v>93</v>
      </c>
      <c r="F288" s="12">
        <v>9</v>
      </c>
      <c r="G288" s="12">
        <f t="shared" si="20"/>
        <v>837</v>
      </c>
      <c r="H288" s="13">
        <v>7</v>
      </c>
      <c r="I288" s="13">
        <f t="shared" si="22"/>
        <v>651</v>
      </c>
      <c r="J288" s="8">
        <f t="shared" si="23"/>
        <v>186</v>
      </c>
      <c r="K288" s="10">
        <v>95</v>
      </c>
      <c r="L288" s="11" t="s">
        <v>34</v>
      </c>
      <c r="M288" s="30" t="s">
        <v>25</v>
      </c>
      <c r="N288" s="33">
        <f t="shared" si="24"/>
        <v>0.22222222222222221</v>
      </c>
    </row>
    <row r="289" spans="1:14">
      <c r="A289" t="str">
        <f t="shared" si="21"/>
        <v>2011-07</v>
      </c>
      <c r="B289" s="9">
        <v>40750.858356481483</v>
      </c>
      <c r="C289" s="10">
        <v>16</v>
      </c>
      <c r="D289" s="11" t="s">
        <v>20</v>
      </c>
      <c r="E289" s="10">
        <v>47</v>
      </c>
      <c r="F289" s="12">
        <v>15</v>
      </c>
      <c r="G289" s="12">
        <f t="shared" si="20"/>
        <v>705</v>
      </c>
      <c r="H289" s="13">
        <v>14</v>
      </c>
      <c r="I289" s="13">
        <f t="shared" si="22"/>
        <v>658</v>
      </c>
      <c r="J289" s="8">
        <f t="shared" si="23"/>
        <v>47</v>
      </c>
      <c r="K289" s="10">
        <v>315</v>
      </c>
      <c r="L289" s="11" t="s">
        <v>17</v>
      </c>
      <c r="M289" s="30" t="s">
        <v>25</v>
      </c>
      <c r="N289" s="33">
        <f t="shared" si="24"/>
        <v>6.6666666666666666E-2</v>
      </c>
    </row>
    <row r="290" spans="1:14">
      <c r="A290" t="str">
        <f t="shared" si="21"/>
        <v>2011-07</v>
      </c>
      <c r="B290" s="9">
        <v>40751.056284722225</v>
      </c>
      <c r="C290" s="10">
        <v>4</v>
      </c>
      <c r="D290" s="11" t="s">
        <v>44</v>
      </c>
      <c r="E290" s="10">
        <v>77</v>
      </c>
      <c r="F290" s="12">
        <v>9</v>
      </c>
      <c r="G290" s="12">
        <f t="shared" si="20"/>
        <v>693</v>
      </c>
      <c r="H290" s="13">
        <v>7</v>
      </c>
      <c r="I290" s="13">
        <f t="shared" si="22"/>
        <v>539</v>
      </c>
      <c r="J290" s="8">
        <f t="shared" si="23"/>
        <v>154</v>
      </c>
      <c r="K290" s="10">
        <v>557</v>
      </c>
      <c r="L290" s="11" t="s">
        <v>36</v>
      </c>
      <c r="M290" s="30" t="s">
        <v>25</v>
      </c>
      <c r="N290" s="33">
        <f t="shared" si="24"/>
        <v>0.22222222222222221</v>
      </c>
    </row>
    <row r="291" spans="1:14">
      <c r="A291" t="str">
        <f t="shared" si="21"/>
        <v>2011-07</v>
      </c>
      <c r="B291" s="9">
        <v>40751.517222222225</v>
      </c>
      <c r="C291" s="10">
        <v>100</v>
      </c>
      <c r="D291" s="11" t="s">
        <v>40</v>
      </c>
      <c r="E291" s="10">
        <v>23</v>
      </c>
      <c r="F291" s="12">
        <v>8</v>
      </c>
      <c r="G291" s="12">
        <f t="shared" si="20"/>
        <v>184</v>
      </c>
      <c r="H291" s="13">
        <v>4</v>
      </c>
      <c r="I291" s="13">
        <f t="shared" si="22"/>
        <v>92</v>
      </c>
      <c r="J291" s="8">
        <f t="shared" si="23"/>
        <v>92</v>
      </c>
      <c r="K291" s="10">
        <v>95</v>
      </c>
      <c r="L291" s="11" t="s">
        <v>34</v>
      </c>
      <c r="M291" s="30" t="s">
        <v>25</v>
      </c>
      <c r="N291" s="33">
        <f t="shared" si="24"/>
        <v>0.5</v>
      </c>
    </row>
    <row r="292" spans="1:14">
      <c r="A292" t="str">
        <f t="shared" si="21"/>
        <v>2011-07</v>
      </c>
      <c r="B292" s="9">
        <v>40751.752650462964</v>
      </c>
      <c r="C292" s="10">
        <v>100</v>
      </c>
      <c r="D292" s="11" t="s">
        <v>40</v>
      </c>
      <c r="E292" s="10">
        <v>1</v>
      </c>
      <c r="F292" s="12">
        <v>8</v>
      </c>
      <c r="G292" s="12">
        <f t="shared" si="20"/>
        <v>8</v>
      </c>
      <c r="H292" s="13">
        <v>4</v>
      </c>
      <c r="I292" s="13">
        <f t="shared" si="22"/>
        <v>4</v>
      </c>
      <c r="J292" s="8">
        <f t="shared" si="23"/>
        <v>4</v>
      </c>
      <c r="K292" s="10">
        <v>6</v>
      </c>
      <c r="L292" s="11" t="s">
        <v>33</v>
      </c>
      <c r="M292" s="30" t="s">
        <v>21</v>
      </c>
      <c r="N292" s="33">
        <f t="shared" si="24"/>
        <v>0.5</v>
      </c>
    </row>
    <row r="293" spans="1:14">
      <c r="A293" t="str">
        <f t="shared" si="21"/>
        <v>2011-07</v>
      </c>
      <c r="B293" s="9">
        <v>40752.917581018519</v>
      </c>
      <c r="C293" s="10">
        <v>4</v>
      </c>
      <c r="D293" s="11" t="s">
        <v>44</v>
      </c>
      <c r="E293" s="10">
        <v>76</v>
      </c>
      <c r="F293" s="12">
        <v>9</v>
      </c>
      <c r="G293" s="12">
        <f t="shared" si="20"/>
        <v>684</v>
      </c>
      <c r="H293" s="13">
        <v>7</v>
      </c>
      <c r="I293" s="13">
        <f t="shared" si="22"/>
        <v>532</v>
      </c>
      <c r="J293" s="8">
        <f t="shared" si="23"/>
        <v>152</v>
      </c>
      <c r="K293" s="10">
        <v>572</v>
      </c>
      <c r="L293" s="11" t="s">
        <v>31</v>
      </c>
      <c r="M293" s="30" t="s">
        <v>25</v>
      </c>
      <c r="N293" s="33">
        <f t="shared" si="24"/>
        <v>0.22222222222222221</v>
      </c>
    </row>
    <row r="294" spans="1:14">
      <c r="A294" t="str">
        <f t="shared" si="21"/>
        <v>2011-07</v>
      </c>
      <c r="B294" s="9">
        <v>40752.976793981485</v>
      </c>
      <c r="C294" s="10">
        <v>30</v>
      </c>
      <c r="D294" s="11" t="s">
        <v>23</v>
      </c>
      <c r="E294" s="10">
        <v>97</v>
      </c>
      <c r="F294" s="12">
        <v>12</v>
      </c>
      <c r="G294" s="12">
        <f t="shared" si="20"/>
        <v>1164</v>
      </c>
      <c r="H294" s="13">
        <v>8</v>
      </c>
      <c r="I294" s="13">
        <f t="shared" si="22"/>
        <v>776</v>
      </c>
      <c r="J294" s="8">
        <f t="shared" si="23"/>
        <v>388</v>
      </c>
      <c r="K294" s="10">
        <v>572</v>
      </c>
      <c r="L294" s="11" t="s">
        <v>31</v>
      </c>
      <c r="M294" s="30" t="s">
        <v>25</v>
      </c>
      <c r="N294" s="33">
        <f t="shared" si="24"/>
        <v>0.33333333333333331</v>
      </c>
    </row>
    <row r="295" spans="1:14">
      <c r="A295" t="str">
        <f t="shared" si="21"/>
        <v>2011-07</v>
      </c>
      <c r="B295" s="9">
        <v>40753.703645833331</v>
      </c>
      <c r="C295" s="10">
        <v>100</v>
      </c>
      <c r="D295" s="11" t="s">
        <v>40</v>
      </c>
      <c r="E295" s="10">
        <v>8</v>
      </c>
      <c r="F295" s="12">
        <v>8</v>
      </c>
      <c r="G295" s="12">
        <f t="shared" si="20"/>
        <v>64</v>
      </c>
      <c r="H295" s="13">
        <v>4</v>
      </c>
      <c r="I295" s="13">
        <f t="shared" si="22"/>
        <v>32</v>
      </c>
      <c r="J295" s="8">
        <f t="shared" si="23"/>
        <v>32</v>
      </c>
      <c r="K295" s="10">
        <v>572</v>
      </c>
      <c r="L295" s="11" t="s">
        <v>31</v>
      </c>
      <c r="M295" s="30" t="s">
        <v>21</v>
      </c>
      <c r="N295" s="33">
        <f t="shared" si="24"/>
        <v>0.5</v>
      </c>
    </row>
    <row r="296" spans="1:14">
      <c r="A296" t="str">
        <f t="shared" si="21"/>
        <v>2011-07</v>
      </c>
      <c r="B296" s="9">
        <v>40754.365671296298</v>
      </c>
      <c r="C296" s="10">
        <v>22</v>
      </c>
      <c r="D296" s="11" t="s">
        <v>16</v>
      </c>
      <c r="E296" s="10">
        <v>60</v>
      </c>
      <c r="F296" s="12">
        <v>24</v>
      </c>
      <c r="G296" s="12">
        <f t="shared" si="20"/>
        <v>1440</v>
      </c>
      <c r="H296" s="13">
        <v>18</v>
      </c>
      <c r="I296" s="13">
        <f t="shared" si="22"/>
        <v>1080</v>
      </c>
      <c r="J296" s="8">
        <f t="shared" si="23"/>
        <v>360</v>
      </c>
      <c r="K296" s="10">
        <v>572</v>
      </c>
      <c r="L296" s="11" t="s">
        <v>31</v>
      </c>
      <c r="M296" s="30" t="s">
        <v>25</v>
      </c>
      <c r="N296" s="33">
        <f t="shared" si="24"/>
        <v>0.25</v>
      </c>
    </row>
    <row r="297" spans="1:14">
      <c r="A297" t="str">
        <f t="shared" si="21"/>
        <v>2011-07</v>
      </c>
      <c r="B297" s="9">
        <v>40754.671620370369</v>
      </c>
      <c r="C297" s="10">
        <v>31</v>
      </c>
      <c r="D297" s="11" t="s">
        <v>46</v>
      </c>
      <c r="E297" s="10">
        <v>30</v>
      </c>
      <c r="F297" s="12">
        <v>21</v>
      </c>
      <c r="G297" s="12">
        <f t="shared" si="20"/>
        <v>630</v>
      </c>
      <c r="H297" s="13">
        <v>12</v>
      </c>
      <c r="I297" s="13">
        <f t="shared" si="22"/>
        <v>360</v>
      </c>
      <c r="J297" s="8">
        <f t="shared" si="23"/>
        <v>270</v>
      </c>
      <c r="K297" s="10">
        <v>572</v>
      </c>
      <c r="L297" s="11" t="s">
        <v>31</v>
      </c>
      <c r="M297" s="30" t="s">
        <v>21</v>
      </c>
      <c r="N297" s="33">
        <f t="shared" si="24"/>
        <v>0.42857142857142855</v>
      </c>
    </row>
    <row r="298" spans="1:14">
      <c r="A298" t="str">
        <f t="shared" si="21"/>
        <v>2011-07</v>
      </c>
      <c r="B298" s="9">
        <v>40755.201898148145</v>
      </c>
      <c r="C298" s="10">
        <v>16</v>
      </c>
      <c r="D298" s="11" t="s">
        <v>20</v>
      </c>
      <c r="E298" s="10">
        <v>27</v>
      </c>
      <c r="F298" s="12">
        <v>15</v>
      </c>
      <c r="G298" s="12">
        <f t="shared" si="20"/>
        <v>405</v>
      </c>
      <c r="H298" s="13">
        <v>14</v>
      </c>
      <c r="I298" s="13">
        <f t="shared" si="22"/>
        <v>378</v>
      </c>
      <c r="J298" s="8">
        <f t="shared" si="23"/>
        <v>27</v>
      </c>
      <c r="K298" s="10">
        <v>95</v>
      </c>
      <c r="L298" s="11" t="s">
        <v>34</v>
      </c>
      <c r="M298" s="30" t="s">
        <v>25</v>
      </c>
      <c r="N298" s="33">
        <f t="shared" si="24"/>
        <v>6.6666666666666666E-2</v>
      </c>
    </row>
    <row r="299" spans="1:14">
      <c r="A299" t="str">
        <f t="shared" si="21"/>
        <v>2011-07</v>
      </c>
      <c r="B299" s="9">
        <v>40755.304120370369</v>
      </c>
      <c r="C299" s="10">
        <v>16</v>
      </c>
      <c r="D299" s="11" t="s">
        <v>20</v>
      </c>
      <c r="E299" s="10">
        <v>31</v>
      </c>
      <c r="F299" s="12">
        <v>15</v>
      </c>
      <c r="G299" s="12">
        <f t="shared" si="20"/>
        <v>465</v>
      </c>
      <c r="H299" s="13">
        <v>14</v>
      </c>
      <c r="I299" s="13">
        <f t="shared" si="22"/>
        <v>434</v>
      </c>
      <c r="J299" s="8">
        <f t="shared" si="23"/>
        <v>31</v>
      </c>
      <c r="K299" s="10">
        <v>846</v>
      </c>
      <c r="L299" s="11" t="s">
        <v>35</v>
      </c>
      <c r="M299" s="30" t="s">
        <v>21</v>
      </c>
      <c r="N299" s="33">
        <f t="shared" si="24"/>
        <v>6.6666666666666666E-2</v>
      </c>
    </row>
    <row r="300" spans="1:14">
      <c r="A300" t="str">
        <f t="shared" si="21"/>
        <v>2011-08</v>
      </c>
      <c r="B300" s="9">
        <v>40756.286226851851</v>
      </c>
      <c r="C300" s="10">
        <v>22</v>
      </c>
      <c r="D300" s="11" t="s">
        <v>16</v>
      </c>
      <c r="E300" s="10">
        <v>27</v>
      </c>
      <c r="F300" s="12">
        <v>24</v>
      </c>
      <c r="G300" s="12">
        <f t="shared" si="20"/>
        <v>648</v>
      </c>
      <c r="H300" s="13">
        <v>18</v>
      </c>
      <c r="I300" s="13">
        <f t="shared" si="22"/>
        <v>486</v>
      </c>
      <c r="J300" s="8">
        <f t="shared" si="23"/>
        <v>162</v>
      </c>
      <c r="K300" s="10">
        <v>6</v>
      </c>
      <c r="L300" s="11" t="s">
        <v>33</v>
      </c>
      <c r="M300" s="30" t="s">
        <v>25</v>
      </c>
      <c r="N300" s="33">
        <f t="shared" si="24"/>
        <v>0.25</v>
      </c>
    </row>
    <row r="301" spans="1:14">
      <c r="A301" t="str">
        <f t="shared" si="21"/>
        <v>2011-08</v>
      </c>
      <c r="B301" s="9">
        <v>40757.953356481485</v>
      </c>
      <c r="C301" s="10">
        <v>30</v>
      </c>
      <c r="D301" s="11" t="s">
        <v>23</v>
      </c>
      <c r="E301" s="10">
        <v>34</v>
      </c>
      <c r="F301" s="12">
        <v>12</v>
      </c>
      <c r="G301" s="12">
        <f t="shared" si="20"/>
        <v>408</v>
      </c>
      <c r="H301" s="13">
        <v>8</v>
      </c>
      <c r="I301" s="13">
        <f t="shared" si="22"/>
        <v>272</v>
      </c>
      <c r="J301" s="8">
        <f t="shared" si="23"/>
        <v>136</v>
      </c>
      <c r="K301" s="10">
        <v>14</v>
      </c>
      <c r="L301" s="11" t="s">
        <v>27</v>
      </c>
      <c r="M301" s="30" t="s">
        <v>25</v>
      </c>
      <c r="N301" s="33">
        <f t="shared" si="24"/>
        <v>0.33333333333333331</v>
      </c>
    </row>
    <row r="302" spans="1:14">
      <c r="A302" t="str">
        <f t="shared" si="21"/>
        <v>2011-08</v>
      </c>
      <c r="B302" s="9">
        <v>40759.434513888889</v>
      </c>
      <c r="C302" s="10">
        <v>16</v>
      </c>
      <c r="D302" s="11" t="s">
        <v>20</v>
      </c>
      <c r="E302" s="10">
        <v>45</v>
      </c>
      <c r="F302" s="12">
        <v>15</v>
      </c>
      <c r="G302" s="12">
        <f t="shared" si="20"/>
        <v>675</v>
      </c>
      <c r="H302" s="13">
        <v>14</v>
      </c>
      <c r="I302" s="13">
        <f t="shared" si="22"/>
        <v>630</v>
      </c>
      <c r="J302" s="8">
        <f t="shared" si="23"/>
        <v>45</v>
      </c>
      <c r="K302" s="10">
        <v>846</v>
      </c>
      <c r="L302" s="11" t="s">
        <v>35</v>
      </c>
      <c r="M302" s="30" t="s">
        <v>25</v>
      </c>
      <c r="N302" s="33">
        <f t="shared" si="24"/>
        <v>6.6666666666666666E-2</v>
      </c>
    </row>
    <row r="303" spans="1:14">
      <c r="A303" t="str">
        <f t="shared" si="21"/>
        <v>2011-08</v>
      </c>
      <c r="B303" s="9">
        <v>40759.699212962965</v>
      </c>
      <c r="C303" s="10">
        <v>16</v>
      </c>
      <c r="D303" s="11" t="s">
        <v>20</v>
      </c>
      <c r="E303" s="10">
        <v>40</v>
      </c>
      <c r="F303" s="12">
        <v>15</v>
      </c>
      <c r="G303" s="12">
        <f t="shared" si="20"/>
        <v>600</v>
      </c>
      <c r="H303" s="13">
        <v>14</v>
      </c>
      <c r="I303" s="13">
        <f t="shared" si="22"/>
        <v>560</v>
      </c>
      <c r="J303" s="8">
        <f t="shared" si="23"/>
        <v>40</v>
      </c>
      <c r="K303" s="10">
        <v>6</v>
      </c>
      <c r="L303" s="11" t="s">
        <v>33</v>
      </c>
      <c r="M303" s="30" t="s">
        <v>21</v>
      </c>
      <c r="N303" s="33">
        <f t="shared" si="24"/>
        <v>6.6666666666666666E-2</v>
      </c>
    </row>
    <row r="304" spans="1:14">
      <c r="A304" t="str">
        <f t="shared" si="21"/>
        <v>2011-08</v>
      </c>
      <c r="B304" s="9">
        <v>40760.441689814812</v>
      </c>
      <c r="C304" s="10">
        <v>100</v>
      </c>
      <c r="D304" s="11" t="s">
        <v>40</v>
      </c>
      <c r="E304" s="10">
        <v>45</v>
      </c>
      <c r="F304" s="12">
        <v>8</v>
      </c>
      <c r="G304" s="12">
        <f t="shared" si="20"/>
        <v>360</v>
      </c>
      <c r="H304" s="13">
        <v>4</v>
      </c>
      <c r="I304" s="13">
        <f t="shared" si="22"/>
        <v>180</v>
      </c>
      <c r="J304" s="8">
        <f t="shared" si="23"/>
        <v>180</v>
      </c>
      <c r="K304" s="10">
        <v>557</v>
      </c>
      <c r="L304" s="11" t="s">
        <v>36</v>
      </c>
      <c r="M304" s="30" t="s">
        <v>25</v>
      </c>
      <c r="N304" s="33">
        <f t="shared" si="24"/>
        <v>0.5</v>
      </c>
    </row>
    <row r="305" spans="1:14">
      <c r="A305" t="str">
        <f t="shared" si="21"/>
        <v>2011-08</v>
      </c>
      <c r="B305" s="9">
        <v>40760.799768518518</v>
      </c>
      <c r="C305" s="10">
        <v>4</v>
      </c>
      <c r="D305" s="11" t="s">
        <v>44</v>
      </c>
      <c r="E305" s="10">
        <v>25</v>
      </c>
      <c r="F305" s="12">
        <v>9</v>
      </c>
      <c r="G305" s="12">
        <f t="shared" si="20"/>
        <v>225</v>
      </c>
      <c r="H305" s="13">
        <v>7</v>
      </c>
      <c r="I305" s="13">
        <f t="shared" si="22"/>
        <v>175</v>
      </c>
      <c r="J305" s="8">
        <f t="shared" si="23"/>
        <v>50</v>
      </c>
      <c r="K305" s="10">
        <v>6</v>
      </c>
      <c r="L305" s="11" t="s">
        <v>33</v>
      </c>
      <c r="M305" s="30" t="s">
        <v>25</v>
      </c>
      <c r="N305" s="33">
        <f t="shared" si="24"/>
        <v>0.22222222222222221</v>
      </c>
    </row>
    <row r="306" spans="1:14">
      <c r="A306" t="str">
        <f t="shared" si="21"/>
        <v>2011-08</v>
      </c>
      <c r="B306" s="9">
        <v>40760.912164351852</v>
      </c>
      <c r="C306" s="10">
        <v>4</v>
      </c>
      <c r="D306" s="11" t="s">
        <v>44</v>
      </c>
      <c r="E306" s="10">
        <v>39</v>
      </c>
      <c r="F306" s="12">
        <v>9</v>
      </c>
      <c r="G306" s="12">
        <f t="shared" si="20"/>
        <v>351</v>
      </c>
      <c r="H306" s="13">
        <v>7</v>
      </c>
      <c r="I306" s="13">
        <f t="shared" si="22"/>
        <v>273</v>
      </c>
      <c r="J306" s="8">
        <f t="shared" si="23"/>
        <v>78</v>
      </c>
      <c r="K306" s="10">
        <v>6</v>
      </c>
      <c r="L306" s="11" t="s">
        <v>33</v>
      </c>
      <c r="M306" s="30" t="s">
        <v>25</v>
      </c>
      <c r="N306" s="33">
        <f t="shared" si="24"/>
        <v>0.22222222222222221</v>
      </c>
    </row>
    <row r="307" spans="1:14">
      <c r="A307" t="str">
        <f t="shared" si="21"/>
        <v>2011-08</v>
      </c>
      <c r="B307" s="9">
        <v>40761.408449074072</v>
      </c>
      <c r="C307" s="10">
        <v>16</v>
      </c>
      <c r="D307" s="11" t="s">
        <v>20</v>
      </c>
      <c r="E307" s="10">
        <v>2</v>
      </c>
      <c r="F307" s="12">
        <v>15</v>
      </c>
      <c r="G307" s="12">
        <f t="shared" si="20"/>
        <v>30</v>
      </c>
      <c r="H307" s="13">
        <v>14</v>
      </c>
      <c r="I307" s="13">
        <f t="shared" si="22"/>
        <v>28</v>
      </c>
      <c r="J307" s="8">
        <f t="shared" si="23"/>
        <v>2</v>
      </c>
      <c r="K307" s="10">
        <v>686</v>
      </c>
      <c r="L307" s="11" t="s">
        <v>56</v>
      </c>
      <c r="M307" s="30" t="s">
        <v>21</v>
      </c>
      <c r="N307" s="33">
        <f t="shared" si="24"/>
        <v>6.6666666666666666E-2</v>
      </c>
    </row>
    <row r="308" spans="1:14">
      <c r="A308" t="str">
        <f t="shared" si="21"/>
        <v>2011-08</v>
      </c>
      <c r="B308" s="9">
        <v>40761.459710648145</v>
      </c>
      <c r="C308" s="10">
        <v>30</v>
      </c>
      <c r="D308" s="11" t="s">
        <v>23</v>
      </c>
      <c r="E308" s="10">
        <v>21</v>
      </c>
      <c r="F308" s="12">
        <v>12</v>
      </c>
      <c r="G308" s="12">
        <f t="shared" si="20"/>
        <v>252</v>
      </c>
      <c r="H308" s="13">
        <v>8</v>
      </c>
      <c r="I308" s="13">
        <f t="shared" si="22"/>
        <v>168</v>
      </c>
      <c r="J308" s="8">
        <f t="shared" si="23"/>
        <v>84</v>
      </c>
      <c r="K308" s="10">
        <v>14</v>
      </c>
      <c r="L308" s="11" t="s">
        <v>27</v>
      </c>
      <c r="M308" s="30" t="s">
        <v>25</v>
      </c>
      <c r="N308" s="33">
        <f t="shared" si="24"/>
        <v>0.33333333333333331</v>
      </c>
    </row>
    <row r="309" spans="1:14">
      <c r="A309" t="str">
        <f t="shared" si="21"/>
        <v>2011-08</v>
      </c>
      <c r="B309" s="9">
        <v>40761.584560185183</v>
      </c>
      <c r="C309" s="10">
        <v>2</v>
      </c>
      <c r="D309" s="11" t="s">
        <v>30</v>
      </c>
      <c r="E309" s="10">
        <v>21</v>
      </c>
      <c r="F309" s="12">
        <v>12</v>
      </c>
      <c r="G309" s="12">
        <f t="shared" si="20"/>
        <v>252</v>
      </c>
      <c r="H309" s="13">
        <v>6</v>
      </c>
      <c r="I309" s="13">
        <f t="shared" si="22"/>
        <v>126</v>
      </c>
      <c r="J309" s="8">
        <f t="shared" si="23"/>
        <v>126</v>
      </c>
      <c r="K309" s="10">
        <v>6</v>
      </c>
      <c r="L309" s="11" t="s">
        <v>33</v>
      </c>
      <c r="M309" s="30" t="s">
        <v>21</v>
      </c>
      <c r="N309" s="33">
        <f t="shared" si="24"/>
        <v>0.5</v>
      </c>
    </row>
    <row r="310" spans="1:14">
      <c r="A310" t="str">
        <f t="shared" si="21"/>
        <v>2011-08</v>
      </c>
      <c r="B310" s="9">
        <v>40764.192858796298</v>
      </c>
      <c r="C310" s="10">
        <v>30</v>
      </c>
      <c r="D310" s="11" t="s">
        <v>23</v>
      </c>
      <c r="E310" s="10">
        <v>53</v>
      </c>
      <c r="F310" s="12">
        <v>12</v>
      </c>
      <c r="G310" s="12">
        <f t="shared" si="20"/>
        <v>636</v>
      </c>
      <c r="H310" s="13">
        <v>8</v>
      </c>
      <c r="I310" s="13">
        <f t="shared" si="22"/>
        <v>424</v>
      </c>
      <c r="J310" s="8">
        <f t="shared" si="23"/>
        <v>212</v>
      </c>
      <c r="K310" s="10">
        <v>572</v>
      </c>
      <c r="L310" s="11" t="s">
        <v>31</v>
      </c>
      <c r="M310" s="30" t="s">
        <v>25</v>
      </c>
      <c r="N310" s="33">
        <f t="shared" si="24"/>
        <v>0.33333333333333331</v>
      </c>
    </row>
    <row r="311" spans="1:14">
      <c r="A311" t="str">
        <f t="shared" si="21"/>
        <v>2011-08</v>
      </c>
      <c r="B311" s="9">
        <v>40764.336435185185</v>
      </c>
      <c r="C311" s="10">
        <v>16</v>
      </c>
      <c r="D311" s="11" t="s">
        <v>20</v>
      </c>
      <c r="E311" s="10">
        <v>35</v>
      </c>
      <c r="F311" s="12">
        <v>15</v>
      </c>
      <c r="G311" s="12">
        <f t="shared" si="20"/>
        <v>525</v>
      </c>
      <c r="H311" s="13">
        <v>14</v>
      </c>
      <c r="I311" s="13">
        <f t="shared" si="22"/>
        <v>490</v>
      </c>
      <c r="J311" s="8">
        <f t="shared" si="23"/>
        <v>35</v>
      </c>
      <c r="K311" s="10">
        <v>846</v>
      </c>
      <c r="L311" s="11" t="s">
        <v>35</v>
      </c>
      <c r="M311" s="30" t="s">
        <v>25</v>
      </c>
      <c r="N311" s="33">
        <f t="shared" si="24"/>
        <v>6.6666666666666666E-2</v>
      </c>
    </row>
    <row r="312" spans="1:14">
      <c r="A312" t="str">
        <f t="shared" si="21"/>
        <v>2011-08</v>
      </c>
      <c r="B312" s="9">
        <v>40764.343657407408</v>
      </c>
      <c r="C312" s="10">
        <v>30</v>
      </c>
      <c r="D312" s="11" t="s">
        <v>23</v>
      </c>
      <c r="E312" s="10">
        <v>95</v>
      </c>
      <c r="F312" s="12">
        <v>12</v>
      </c>
      <c r="G312" s="12">
        <f t="shared" si="20"/>
        <v>1140</v>
      </c>
      <c r="H312" s="13">
        <v>8</v>
      </c>
      <c r="I312" s="13">
        <f t="shared" si="22"/>
        <v>760</v>
      </c>
      <c r="J312" s="8">
        <f t="shared" si="23"/>
        <v>380</v>
      </c>
      <c r="K312" s="10">
        <v>572</v>
      </c>
      <c r="L312" s="11" t="s">
        <v>31</v>
      </c>
      <c r="M312" s="30" t="s">
        <v>18</v>
      </c>
      <c r="N312" s="33">
        <f t="shared" si="24"/>
        <v>0.33333333333333331</v>
      </c>
    </row>
    <row r="313" spans="1:14">
      <c r="A313" t="str">
        <f t="shared" si="21"/>
        <v>2011-08</v>
      </c>
      <c r="B313" s="9">
        <v>40765.330069444448</v>
      </c>
      <c r="C313" s="10">
        <v>16</v>
      </c>
      <c r="D313" s="11" t="s">
        <v>20</v>
      </c>
      <c r="E313" s="10">
        <v>6</v>
      </c>
      <c r="F313" s="12">
        <v>15</v>
      </c>
      <c r="G313" s="12">
        <f t="shared" si="20"/>
        <v>90</v>
      </c>
      <c r="H313" s="13">
        <v>14</v>
      </c>
      <c r="I313" s="13">
        <f t="shared" si="22"/>
        <v>84</v>
      </c>
      <c r="J313" s="8">
        <f t="shared" si="23"/>
        <v>6</v>
      </c>
      <c r="K313" s="10">
        <v>572</v>
      </c>
      <c r="L313" s="11" t="s">
        <v>31</v>
      </c>
      <c r="M313" s="30" t="s">
        <v>21</v>
      </c>
      <c r="N313" s="33">
        <f t="shared" si="24"/>
        <v>6.6666666666666666E-2</v>
      </c>
    </row>
    <row r="314" spans="1:14">
      <c r="A314" t="str">
        <f t="shared" si="21"/>
        <v>2011-08</v>
      </c>
      <c r="B314" s="9">
        <v>40767.264490740738</v>
      </c>
      <c r="C314" s="10">
        <v>100</v>
      </c>
      <c r="D314" s="11" t="s">
        <v>40</v>
      </c>
      <c r="E314" s="10">
        <v>82</v>
      </c>
      <c r="F314" s="12">
        <v>8</v>
      </c>
      <c r="G314" s="12">
        <f t="shared" si="20"/>
        <v>656</v>
      </c>
      <c r="H314" s="13">
        <v>4</v>
      </c>
      <c r="I314" s="13">
        <f t="shared" si="22"/>
        <v>328</v>
      </c>
      <c r="J314" s="8">
        <f t="shared" si="23"/>
        <v>328</v>
      </c>
      <c r="K314" s="10">
        <v>23</v>
      </c>
      <c r="L314" s="11" t="s">
        <v>32</v>
      </c>
      <c r="M314" s="30" t="s">
        <v>25</v>
      </c>
      <c r="N314" s="33">
        <f t="shared" si="24"/>
        <v>0.5</v>
      </c>
    </row>
    <row r="315" spans="1:14">
      <c r="A315" t="str">
        <f t="shared" si="21"/>
        <v>2011-08</v>
      </c>
      <c r="B315" s="9">
        <v>40768.043854166666</v>
      </c>
      <c r="C315" s="10">
        <v>2</v>
      </c>
      <c r="D315" s="11" t="s">
        <v>30</v>
      </c>
      <c r="E315" s="10">
        <v>22</v>
      </c>
      <c r="F315" s="12">
        <v>12</v>
      </c>
      <c r="G315" s="12">
        <f t="shared" si="20"/>
        <v>264</v>
      </c>
      <c r="H315" s="13">
        <v>6</v>
      </c>
      <c r="I315" s="13">
        <f t="shared" si="22"/>
        <v>132</v>
      </c>
      <c r="J315" s="8">
        <f t="shared" si="23"/>
        <v>132</v>
      </c>
      <c r="K315" s="10">
        <v>233</v>
      </c>
      <c r="L315" s="11" t="s">
        <v>24</v>
      </c>
      <c r="M315" s="30" t="s">
        <v>25</v>
      </c>
      <c r="N315" s="33">
        <f t="shared" si="24"/>
        <v>0.5</v>
      </c>
    </row>
    <row r="316" spans="1:14">
      <c r="A316" t="str">
        <f t="shared" si="21"/>
        <v>2011-08</v>
      </c>
      <c r="B316" s="9">
        <v>40771.026759259257</v>
      </c>
      <c r="C316" s="10">
        <v>31</v>
      </c>
      <c r="D316" s="11" t="s">
        <v>46</v>
      </c>
      <c r="E316" s="10">
        <v>72</v>
      </c>
      <c r="F316" s="12">
        <v>21</v>
      </c>
      <c r="G316" s="12">
        <f t="shared" si="20"/>
        <v>1512</v>
      </c>
      <c r="H316" s="13">
        <v>12</v>
      </c>
      <c r="I316" s="13">
        <f t="shared" si="22"/>
        <v>864</v>
      </c>
      <c r="J316" s="8">
        <f t="shared" si="23"/>
        <v>648</v>
      </c>
      <c r="K316" s="10">
        <v>6</v>
      </c>
      <c r="L316" s="11" t="s">
        <v>33</v>
      </c>
      <c r="M316" s="30" t="s">
        <v>21</v>
      </c>
      <c r="N316" s="33">
        <f t="shared" si="24"/>
        <v>0.42857142857142855</v>
      </c>
    </row>
    <row r="317" spans="1:14">
      <c r="A317" t="str">
        <f t="shared" si="21"/>
        <v>2011-08</v>
      </c>
      <c r="B317" s="9">
        <v>40771.678055555552</v>
      </c>
      <c r="C317" s="10">
        <v>16</v>
      </c>
      <c r="D317" s="11" t="s">
        <v>20</v>
      </c>
      <c r="E317" s="10">
        <v>64</v>
      </c>
      <c r="F317" s="12">
        <v>15</v>
      </c>
      <c r="G317" s="12">
        <f t="shared" si="20"/>
        <v>960</v>
      </c>
      <c r="H317" s="13">
        <v>14</v>
      </c>
      <c r="I317" s="13">
        <f t="shared" si="22"/>
        <v>896</v>
      </c>
      <c r="J317" s="8">
        <f t="shared" si="23"/>
        <v>64</v>
      </c>
      <c r="K317" s="10">
        <v>23</v>
      </c>
      <c r="L317" s="11" t="s">
        <v>32</v>
      </c>
      <c r="M317" s="30" t="s">
        <v>21</v>
      </c>
      <c r="N317" s="33">
        <f t="shared" si="24"/>
        <v>6.6666666666666666E-2</v>
      </c>
    </row>
    <row r="318" spans="1:14">
      <c r="A318" t="str">
        <f t="shared" si="21"/>
        <v>2011-08</v>
      </c>
      <c r="B318" s="9">
        <v>40773.1016087963</v>
      </c>
      <c r="C318" s="10">
        <v>100</v>
      </c>
      <c r="D318" s="11" t="s">
        <v>40</v>
      </c>
      <c r="E318" s="10">
        <v>74</v>
      </c>
      <c r="F318" s="12">
        <v>8</v>
      </c>
      <c r="G318" s="12">
        <f t="shared" si="20"/>
        <v>592</v>
      </c>
      <c r="H318" s="13">
        <v>4</v>
      </c>
      <c r="I318" s="13">
        <f t="shared" si="22"/>
        <v>296</v>
      </c>
      <c r="J318" s="8">
        <f t="shared" si="23"/>
        <v>296</v>
      </c>
      <c r="K318" s="10">
        <v>95</v>
      </c>
      <c r="L318" s="11" t="s">
        <v>34</v>
      </c>
      <c r="M318" s="30" t="s">
        <v>25</v>
      </c>
      <c r="N318" s="33">
        <f t="shared" si="24"/>
        <v>0.5</v>
      </c>
    </row>
    <row r="319" spans="1:14">
      <c r="A319" t="str">
        <f t="shared" si="21"/>
        <v>2011-08</v>
      </c>
      <c r="B319" s="9">
        <v>40773.131365740737</v>
      </c>
      <c r="C319" s="10">
        <v>16</v>
      </c>
      <c r="D319" s="11" t="s">
        <v>20</v>
      </c>
      <c r="E319" s="10">
        <v>93</v>
      </c>
      <c r="F319" s="12">
        <v>15</v>
      </c>
      <c r="G319" s="12">
        <f t="shared" si="20"/>
        <v>1395</v>
      </c>
      <c r="H319" s="13">
        <v>14</v>
      </c>
      <c r="I319" s="13">
        <f t="shared" si="22"/>
        <v>1302</v>
      </c>
      <c r="J319" s="8">
        <f t="shared" si="23"/>
        <v>93</v>
      </c>
      <c r="K319" s="10">
        <v>6</v>
      </c>
      <c r="L319" s="11" t="s">
        <v>33</v>
      </c>
      <c r="M319" s="30" t="s">
        <v>21</v>
      </c>
      <c r="N319" s="33">
        <f t="shared" si="24"/>
        <v>6.6666666666666666E-2</v>
      </c>
    </row>
    <row r="320" spans="1:14">
      <c r="A320" t="str">
        <f t="shared" si="21"/>
        <v>2011-08</v>
      </c>
      <c r="B320" s="9">
        <v>40773.238877314812</v>
      </c>
      <c r="C320" s="10">
        <v>4</v>
      </c>
      <c r="D320" s="11" t="s">
        <v>44</v>
      </c>
      <c r="E320" s="10">
        <v>67</v>
      </c>
      <c r="F320" s="12">
        <v>9</v>
      </c>
      <c r="G320" s="12">
        <f t="shared" si="20"/>
        <v>603</v>
      </c>
      <c r="H320" s="13">
        <v>7</v>
      </c>
      <c r="I320" s="13">
        <f t="shared" si="22"/>
        <v>469</v>
      </c>
      <c r="J320" s="8">
        <f t="shared" si="23"/>
        <v>134</v>
      </c>
      <c r="K320" s="10">
        <v>233</v>
      </c>
      <c r="L320" s="11" t="s">
        <v>24</v>
      </c>
      <c r="M320" s="30" t="s">
        <v>25</v>
      </c>
      <c r="N320" s="33">
        <f t="shared" si="24"/>
        <v>0.22222222222222221</v>
      </c>
    </row>
    <row r="321" spans="1:14">
      <c r="A321" t="str">
        <f t="shared" si="21"/>
        <v>2011-08</v>
      </c>
      <c r="B321" s="9">
        <v>40773.602060185185</v>
      </c>
      <c r="C321" s="10">
        <v>100</v>
      </c>
      <c r="D321" s="11" t="s">
        <v>40</v>
      </c>
      <c r="E321" s="10">
        <v>10</v>
      </c>
      <c r="F321" s="12">
        <v>8</v>
      </c>
      <c r="G321" s="12">
        <f t="shared" si="20"/>
        <v>80</v>
      </c>
      <c r="H321" s="13">
        <v>4</v>
      </c>
      <c r="I321" s="13">
        <f t="shared" si="22"/>
        <v>40</v>
      </c>
      <c r="J321" s="8">
        <f t="shared" si="23"/>
        <v>40</v>
      </c>
      <c r="K321" s="10">
        <v>686</v>
      </c>
      <c r="L321" s="11" t="s">
        <v>56</v>
      </c>
      <c r="M321" s="30" t="s">
        <v>21</v>
      </c>
      <c r="N321" s="33">
        <f t="shared" si="24"/>
        <v>0.5</v>
      </c>
    </row>
    <row r="322" spans="1:14">
      <c r="A322" t="str">
        <f t="shared" si="21"/>
        <v>2011-08</v>
      </c>
      <c r="B322" s="9">
        <v>40774.001342592594</v>
      </c>
      <c r="C322" s="10">
        <v>2</v>
      </c>
      <c r="D322" s="11" t="s">
        <v>30</v>
      </c>
      <c r="E322" s="10">
        <v>97</v>
      </c>
      <c r="F322" s="12">
        <v>12</v>
      </c>
      <c r="G322" s="12">
        <f t="shared" ref="G322:G385" si="25">E322*F322</f>
        <v>1164</v>
      </c>
      <c r="H322" s="13">
        <v>6</v>
      </c>
      <c r="I322" s="13">
        <f t="shared" si="22"/>
        <v>582</v>
      </c>
      <c r="J322" s="8">
        <f t="shared" si="23"/>
        <v>582</v>
      </c>
      <c r="K322" s="10">
        <v>6</v>
      </c>
      <c r="L322" s="11" t="s">
        <v>33</v>
      </c>
      <c r="M322" s="30" t="s">
        <v>25</v>
      </c>
      <c r="N322" s="33">
        <f t="shared" si="24"/>
        <v>0.5</v>
      </c>
    </row>
    <row r="323" spans="1:14">
      <c r="A323" t="str">
        <f t="shared" ref="A323:A386" si="26">TEXT(B323, "YYYY-MM")</f>
        <v>2011-08</v>
      </c>
      <c r="B323" s="9">
        <v>40774.474421296298</v>
      </c>
      <c r="C323" s="10">
        <v>19</v>
      </c>
      <c r="D323" s="11" t="s">
        <v>47</v>
      </c>
      <c r="E323" s="10">
        <v>8</v>
      </c>
      <c r="F323" s="12">
        <v>36</v>
      </c>
      <c r="G323" s="12">
        <f t="shared" si="25"/>
        <v>288</v>
      </c>
      <c r="H323" s="13">
        <v>25</v>
      </c>
      <c r="I323" s="13">
        <f t="shared" ref="I323:I386" si="27">E323*H323</f>
        <v>200</v>
      </c>
      <c r="J323" s="8">
        <f t="shared" ref="J323:J386" si="28">G323-I323</f>
        <v>88</v>
      </c>
      <c r="K323" s="10">
        <v>846</v>
      </c>
      <c r="L323" s="11" t="s">
        <v>35</v>
      </c>
      <c r="M323" s="30" t="s">
        <v>25</v>
      </c>
      <c r="N323" s="33">
        <f t="shared" ref="N323:N386" si="29">J323/G323</f>
        <v>0.30555555555555558</v>
      </c>
    </row>
    <row r="324" spans="1:14">
      <c r="A324" t="str">
        <f t="shared" si="26"/>
        <v>2011-08</v>
      </c>
      <c r="B324" s="9">
        <v>40775.647939814815</v>
      </c>
      <c r="C324" s="10">
        <v>19</v>
      </c>
      <c r="D324" s="11" t="s">
        <v>47</v>
      </c>
      <c r="E324" s="10">
        <v>60</v>
      </c>
      <c r="F324" s="12">
        <v>36</v>
      </c>
      <c r="G324" s="12">
        <f t="shared" si="25"/>
        <v>2160</v>
      </c>
      <c r="H324" s="13">
        <v>25</v>
      </c>
      <c r="I324" s="13">
        <f t="shared" si="27"/>
        <v>1500</v>
      </c>
      <c r="J324" s="8">
        <f t="shared" si="28"/>
        <v>660</v>
      </c>
      <c r="K324" s="10">
        <v>557</v>
      </c>
      <c r="L324" s="11" t="s">
        <v>36</v>
      </c>
      <c r="M324" s="30" t="s">
        <v>25</v>
      </c>
      <c r="N324" s="33">
        <f t="shared" si="29"/>
        <v>0.30555555555555558</v>
      </c>
    </row>
    <row r="325" spans="1:14">
      <c r="A325" t="str">
        <f t="shared" si="26"/>
        <v>2011-08</v>
      </c>
      <c r="B325" s="9">
        <v>40775.861909722225</v>
      </c>
      <c r="C325" s="10">
        <v>4</v>
      </c>
      <c r="D325" s="11" t="s">
        <v>44</v>
      </c>
      <c r="E325" s="10">
        <v>72</v>
      </c>
      <c r="F325" s="12">
        <v>9</v>
      </c>
      <c r="G325" s="12">
        <f t="shared" si="25"/>
        <v>648</v>
      </c>
      <c r="H325" s="13">
        <v>7</v>
      </c>
      <c r="I325" s="13">
        <f t="shared" si="27"/>
        <v>504</v>
      </c>
      <c r="J325" s="8">
        <f t="shared" si="28"/>
        <v>144</v>
      </c>
      <c r="K325" s="10">
        <v>686</v>
      </c>
      <c r="L325" s="11" t="s">
        <v>56</v>
      </c>
      <c r="M325" s="30" t="s">
        <v>25</v>
      </c>
      <c r="N325" s="33">
        <f t="shared" si="29"/>
        <v>0.22222222222222221</v>
      </c>
    </row>
    <row r="326" spans="1:14">
      <c r="A326" t="str">
        <f t="shared" si="26"/>
        <v>2011-08</v>
      </c>
      <c r="B326" s="9">
        <v>40776.491631944446</v>
      </c>
      <c r="C326" s="10">
        <v>98</v>
      </c>
      <c r="D326" s="11" t="s">
        <v>58</v>
      </c>
      <c r="E326" s="10">
        <v>97</v>
      </c>
      <c r="F326" s="12">
        <v>18</v>
      </c>
      <c r="G326" s="12">
        <f t="shared" si="25"/>
        <v>1746</v>
      </c>
      <c r="H326" s="13">
        <v>8</v>
      </c>
      <c r="I326" s="13">
        <f t="shared" si="27"/>
        <v>776</v>
      </c>
      <c r="J326" s="8">
        <f t="shared" si="28"/>
        <v>970</v>
      </c>
      <c r="K326" s="10">
        <v>23</v>
      </c>
      <c r="L326" s="11" t="s">
        <v>32</v>
      </c>
      <c r="M326" s="30" t="s">
        <v>21</v>
      </c>
      <c r="N326" s="33">
        <f t="shared" si="29"/>
        <v>0.55555555555555558</v>
      </c>
    </row>
    <row r="327" spans="1:14">
      <c r="A327" t="str">
        <f t="shared" si="26"/>
        <v>2011-08</v>
      </c>
      <c r="B327" s="9">
        <v>40776.744710648149</v>
      </c>
      <c r="C327" s="10">
        <v>30</v>
      </c>
      <c r="D327" s="11" t="s">
        <v>23</v>
      </c>
      <c r="E327" s="10">
        <v>42</v>
      </c>
      <c r="F327" s="12">
        <v>12</v>
      </c>
      <c r="G327" s="12">
        <f t="shared" si="25"/>
        <v>504</v>
      </c>
      <c r="H327" s="13">
        <v>8</v>
      </c>
      <c r="I327" s="13">
        <f t="shared" si="27"/>
        <v>336</v>
      </c>
      <c r="J327" s="8">
        <f t="shared" si="28"/>
        <v>168</v>
      </c>
      <c r="K327" s="10">
        <v>572</v>
      </c>
      <c r="L327" s="11" t="s">
        <v>31</v>
      </c>
      <c r="M327" s="30" t="s">
        <v>25</v>
      </c>
      <c r="N327" s="33">
        <f t="shared" si="29"/>
        <v>0.33333333333333331</v>
      </c>
    </row>
    <row r="328" spans="1:14">
      <c r="A328" t="str">
        <f t="shared" si="26"/>
        <v>2011-08</v>
      </c>
      <c r="B328" s="9">
        <v>40776.906041666669</v>
      </c>
      <c r="C328" s="10">
        <v>100</v>
      </c>
      <c r="D328" s="11" t="s">
        <v>40</v>
      </c>
      <c r="E328" s="10">
        <v>70</v>
      </c>
      <c r="F328" s="12">
        <v>8</v>
      </c>
      <c r="G328" s="12">
        <f t="shared" si="25"/>
        <v>560</v>
      </c>
      <c r="H328" s="13">
        <v>4</v>
      </c>
      <c r="I328" s="13">
        <f t="shared" si="27"/>
        <v>280</v>
      </c>
      <c r="J328" s="8">
        <f t="shared" si="28"/>
        <v>280</v>
      </c>
      <c r="K328" s="10">
        <v>572</v>
      </c>
      <c r="L328" s="11" t="s">
        <v>31</v>
      </c>
      <c r="M328" s="30" t="s">
        <v>21</v>
      </c>
      <c r="N328" s="33">
        <f t="shared" si="29"/>
        <v>0.5</v>
      </c>
    </row>
    <row r="329" spans="1:14">
      <c r="A329" t="str">
        <f t="shared" si="26"/>
        <v>2011-08</v>
      </c>
      <c r="B329" s="9">
        <v>40778.801527777781</v>
      </c>
      <c r="C329" s="10">
        <v>4</v>
      </c>
      <c r="D329" s="11" t="s">
        <v>44</v>
      </c>
      <c r="E329" s="10">
        <v>36</v>
      </c>
      <c r="F329" s="12">
        <v>9</v>
      </c>
      <c r="G329" s="12">
        <f t="shared" si="25"/>
        <v>324</v>
      </c>
      <c r="H329" s="13">
        <v>7</v>
      </c>
      <c r="I329" s="13">
        <f t="shared" si="27"/>
        <v>252</v>
      </c>
      <c r="J329" s="8">
        <f t="shared" si="28"/>
        <v>72</v>
      </c>
      <c r="K329" s="10">
        <v>23</v>
      </c>
      <c r="L329" s="11" t="s">
        <v>32</v>
      </c>
      <c r="M329" s="30" t="s">
        <v>25</v>
      </c>
      <c r="N329" s="33">
        <f t="shared" si="29"/>
        <v>0.22222222222222221</v>
      </c>
    </row>
    <row r="330" spans="1:14">
      <c r="A330" t="str">
        <f t="shared" si="26"/>
        <v>2011-08</v>
      </c>
      <c r="B330" s="9">
        <v>40778.873506944445</v>
      </c>
      <c r="C330" s="10">
        <v>16</v>
      </c>
      <c r="D330" s="11" t="s">
        <v>20</v>
      </c>
      <c r="E330" s="10">
        <v>35</v>
      </c>
      <c r="F330" s="12">
        <v>15</v>
      </c>
      <c r="G330" s="12">
        <f t="shared" si="25"/>
        <v>525</v>
      </c>
      <c r="H330" s="13">
        <v>14</v>
      </c>
      <c r="I330" s="13">
        <f t="shared" si="27"/>
        <v>490</v>
      </c>
      <c r="J330" s="8">
        <f t="shared" si="28"/>
        <v>35</v>
      </c>
      <c r="K330" s="10">
        <v>846</v>
      </c>
      <c r="L330" s="11" t="s">
        <v>35</v>
      </c>
      <c r="M330" s="30" t="s">
        <v>21</v>
      </c>
      <c r="N330" s="33">
        <f t="shared" si="29"/>
        <v>6.6666666666666666E-2</v>
      </c>
    </row>
    <row r="331" spans="1:14">
      <c r="A331" t="str">
        <f t="shared" si="26"/>
        <v>2011-08</v>
      </c>
      <c r="B331" s="9">
        <v>40779.921493055554</v>
      </c>
      <c r="C331" s="10">
        <v>16</v>
      </c>
      <c r="D331" s="11" t="s">
        <v>20</v>
      </c>
      <c r="E331" s="10">
        <v>56</v>
      </c>
      <c r="F331" s="12">
        <v>15</v>
      </c>
      <c r="G331" s="12">
        <f t="shared" si="25"/>
        <v>840</v>
      </c>
      <c r="H331" s="13">
        <v>14</v>
      </c>
      <c r="I331" s="13">
        <f t="shared" si="27"/>
        <v>784</v>
      </c>
      <c r="J331" s="8">
        <f t="shared" si="28"/>
        <v>56</v>
      </c>
      <c r="K331" s="10">
        <v>233</v>
      </c>
      <c r="L331" s="11" t="s">
        <v>24</v>
      </c>
      <c r="M331" s="30" t="s">
        <v>21</v>
      </c>
      <c r="N331" s="33">
        <f t="shared" si="29"/>
        <v>6.6666666666666666E-2</v>
      </c>
    </row>
    <row r="332" spans="1:14">
      <c r="A332" t="str">
        <f t="shared" si="26"/>
        <v>2011-08</v>
      </c>
      <c r="B332" s="9">
        <v>40780.037939814814</v>
      </c>
      <c r="C332" s="10">
        <v>4</v>
      </c>
      <c r="D332" s="11" t="s">
        <v>44</v>
      </c>
      <c r="E332" s="10">
        <v>9</v>
      </c>
      <c r="F332" s="12">
        <v>9</v>
      </c>
      <c r="G332" s="12">
        <f t="shared" si="25"/>
        <v>81</v>
      </c>
      <c r="H332" s="13">
        <v>7</v>
      </c>
      <c r="I332" s="13">
        <f t="shared" si="27"/>
        <v>63</v>
      </c>
      <c r="J332" s="8">
        <f t="shared" si="28"/>
        <v>18</v>
      </c>
      <c r="K332" s="10">
        <v>686</v>
      </c>
      <c r="L332" s="11" t="s">
        <v>56</v>
      </c>
      <c r="M332" s="30" t="s">
        <v>21</v>
      </c>
      <c r="N332" s="33">
        <f t="shared" si="29"/>
        <v>0.22222222222222221</v>
      </c>
    </row>
    <row r="333" spans="1:14">
      <c r="A333" t="str">
        <f t="shared" si="26"/>
        <v>2011-08</v>
      </c>
      <c r="B333" s="9">
        <v>40780.06517361111</v>
      </c>
      <c r="C333" s="10">
        <v>100</v>
      </c>
      <c r="D333" s="11" t="s">
        <v>40</v>
      </c>
      <c r="E333" s="10">
        <v>90</v>
      </c>
      <c r="F333" s="12">
        <v>8</v>
      </c>
      <c r="G333" s="12">
        <f t="shared" si="25"/>
        <v>720</v>
      </c>
      <c r="H333" s="13">
        <v>4</v>
      </c>
      <c r="I333" s="13">
        <f t="shared" si="27"/>
        <v>360</v>
      </c>
      <c r="J333" s="8">
        <f t="shared" si="28"/>
        <v>360</v>
      </c>
      <c r="K333" s="10">
        <v>846</v>
      </c>
      <c r="L333" s="11" t="s">
        <v>35</v>
      </c>
      <c r="M333" s="30" t="s">
        <v>25</v>
      </c>
      <c r="N333" s="33">
        <f t="shared" si="29"/>
        <v>0.5</v>
      </c>
    </row>
    <row r="334" spans="1:14">
      <c r="A334" t="str">
        <f t="shared" si="26"/>
        <v>2011-08</v>
      </c>
      <c r="B334" s="9">
        <v>40783.104027777779</v>
      </c>
      <c r="C334" s="10">
        <v>30</v>
      </c>
      <c r="D334" s="11" t="s">
        <v>23</v>
      </c>
      <c r="E334" s="10">
        <v>35</v>
      </c>
      <c r="F334" s="12">
        <v>12</v>
      </c>
      <c r="G334" s="12">
        <f t="shared" si="25"/>
        <v>420</v>
      </c>
      <c r="H334" s="13">
        <v>8</v>
      </c>
      <c r="I334" s="13">
        <f t="shared" si="27"/>
        <v>280</v>
      </c>
      <c r="J334" s="8">
        <f t="shared" si="28"/>
        <v>140</v>
      </c>
      <c r="K334" s="10">
        <v>14</v>
      </c>
      <c r="L334" s="11" t="s">
        <v>27</v>
      </c>
      <c r="M334" s="30" t="s">
        <v>25</v>
      </c>
      <c r="N334" s="33">
        <f t="shared" si="29"/>
        <v>0.33333333333333331</v>
      </c>
    </row>
    <row r="335" spans="1:14">
      <c r="A335" t="str">
        <f t="shared" si="26"/>
        <v>2011-08</v>
      </c>
      <c r="B335" s="9">
        <v>40784.433865740742</v>
      </c>
      <c r="C335" s="10">
        <v>4</v>
      </c>
      <c r="D335" s="11" t="s">
        <v>44</v>
      </c>
      <c r="E335" s="10">
        <v>76</v>
      </c>
      <c r="F335" s="12">
        <v>9</v>
      </c>
      <c r="G335" s="12">
        <f t="shared" si="25"/>
        <v>684</v>
      </c>
      <c r="H335" s="13">
        <v>7</v>
      </c>
      <c r="I335" s="13">
        <f t="shared" si="27"/>
        <v>532</v>
      </c>
      <c r="J335" s="8">
        <f t="shared" si="28"/>
        <v>152</v>
      </c>
      <c r="K335" s="10">
        <v>6</v>
      </c>
      <c r="L335" s="11" t="s">
        <v>33</v>
      </c>
      <c r="M335" s="30" t="s">
        <v>21</v>
      </c>
      <c r="N335" s="33">
        <f t="shared" si="29"/>
        <v>0.22222222222222221</v>
      </c>
    </row>
    <row r="336" spans="1:14">
      <c r="A336" t="str">
        <f t="shared" si="26"/>
        <v>2011-08</v>
      </c>
      <c r="B336" s="9">
        <v>40784.984918981485</v>
      </c>
      <c r="C336" s="10">
        <v>100</v>
      </c>
      <c r="D336" s="11" t="s">
        <v>40</v>
      </c>
      <c r="E336" s="10">
        <v>4</v>
      </c>
      <c r="F336" s="12">
        <v>8</v>
      </c>
      <c r="G336" s="12">
        <f t="shared" si="25"/>
        <v>32</v>
      </c>
      <c r="H336" s="13">
        <v>4</v>
      </c>
      <c r="I336" s="13">
        <f t="shared" si="27"/>
        <v>16</v>
      </c>
      <c r="J336" s="8">
        <f t="shared" si="28"/>
        <v>16</v>
      </c>
      <c r="K336" s="10">
        <v>14</v>
      </c>
      <c r="L336" s="11" t="s">
        <v>27</v>
      </c>
      <c r="M336" s="30" t="s">
        <v>21</v>
      </c>
      <c r="N336" s="33">
        <f t="shared" si="29"/>
        <v>0.5</v>
      </c>
    </row>
    <row r="337" spans="1:14">
      <c r="A337" t="str">
        <f t="shared" si="26"/>
        <v>2011-08</v>
      </c>
      <c r="B337" s="9">
        <v>40786.090011574073</v>
      </c>
      <c r="C337" s="10">
        <v>16</v>
      </c>
      <c r="D337" s="11" t="s">
        <v>20</v>
      </c>
      <c r="E337" s="10">
        <v>69</v>
      </c>
      <c r="F337" s="12">
        <v>15</v>
      </c>
      <c r="G337" s="12">
        <f t="shared" si="25"/>
        <v>1035</v>
      </c>
      <c r="H337" s="13">
        <v>14</v>
      </c>
      <c r="I337" s="13">
        <f t="shared" si="27"/>
        <v>966</v>
      </c>
      <c r="J337" s="8">
        <f t="shared" si="28"/>
        <v>69</v>
      </c>
      <c r="K337" s="10">
        <v>572</v>
      </c>
      <c r="L337" s="11" t="s">
        <v>31</v>
      </c>
      <c r="M337" s="30" t="s">
        <v>25</v>
      </c>
      <c r="N337" s="33">
        <f t="shared" si="29"/>
        <v>6.6666666666666666E-2</v>
      </c>
    </row>
    <row r="338" spans="1:14">
      <c r="A338" t="str">
        <f t="shared" si="26"/>
        <v>2011-08</v>
      </c>
      <c r="B338" s="9">
        <v>40786.356550925928</v>
      </c>
      <c r="C338" s="10">
        <v>31</v>
      </c>
      <c r="D338" s="11" t="s">
        <v>46</v>
      </c>
      <c r="E338" s="10">
        <v>2</v>
      </c>
      <c r="F338" s="12">
        <v>21</v>
      </c>
      <c r="G338" s="12">
        <f t="shared" si="25"/>
        <v>42</v>
      </c>
      <c r="H338" s="13">
        <v>12</v>
      </c>
      <c r="I338" s="13">
        <f t="shared" si="27"/>
        <v>24</v>
      </c>
      <c r="J338" s="8">
        <f t="shared" si="28"/>
        <v>18</v>
      </c>
      <c r="K338" s="10">
        <v>557</v>
      </c>
      <c r="L338" s="11" t="s">
        <v>36</v>
      </c>
      <c r="M338" s="30" t="s">
        <v>25</v>
      </c>
      <c r="N338" s="33">
        <f t="shared" si="29"/>
        <v>0.42857142857142855</v>
      </c>
    </row>
    <row r="339" spans="1:14">
      <c r="A339" t="str">
        <f t="shared" si="26"/>
        <v>2011-08</v>
      </c>
      <c r="B339" s="9">
        <v>40786.673425925925</v>
      </c>
      <c r="C339" s="10">
        <v>4</v>
      </c>
      <c r="D339" s="11" t="s">
        <v>44</v>
      </c>
      <c r="E339" s="10">
        <v>77</v>
      </c>
      <c r="F339" s="12">
        <v>9</v>
      </c>
      <c r="G339" s="12">
        <f t="shared" si="25"/>
        <v>693</v>
      </c>
      <c r="H339" s="13">
        <v>7</v>
      </c>
      <c r="I339" s="13">
        <f t="shared" si="27"/>
        <v>539</v>
      </c>
      <c r="J339" s="8">
        <f t="shared" si="28"/>
        <v>154</v>
      </c>
      <c r="K339" s="10">
        <v>6</v>
      </c>
      <c r="L339" s="11" t="s">
        <v>33</v>
      </c>
      <c r="M339" s="30" t="s">
        <v>25</v>
      </c>
      <c r="N339" s="33">
        <f t="shared" si="29"/>
        <v>0.22222222222222221</v>
      </c>
    </row>
    <row r="340" spans="1:14">
      <c r="A340" t="str">
        <f t="shared" si="26"/>
        <v>2011-09</v>
      </c>
      <c r="B340" s="9">
        <v>40789.141215277778</v>
      </c>
      <c r="C340" s="10">
        <v>31</v>
      </c>
      <c r="D340" s="11" t="s">
        <v>46</v>
      </c>
      <c r="E340" s="10">
        <v>20</v>
      </c>
      <c r="F340" s="12">
        <v>21</v>
      </c>
      <c r="G340" s="12">
        <f t="shared" si="25"/>
        <v>420</v>
      </c>
      <c r="H340" s="13">
        <v>12</v>
      </c>
      <c r="I340" s="13">
        <f t="shared" si="27"/>
        <v>240</v>
      </c>
      <c r="J340" s="8">
        <f t="shared" si="28"/>
        <v>180</v>
      </c>
      <c r="K340" s="10">
        <v>23</v>
      </c>
      <c r="L340" s="11" t="s">
        <v>32</v>
      </c>
      <c r="M340" s="30" t="s">
        <v>21</v>
      </c>
      <c r="N340" s="33">
        <f t="shared" si="29"/>
        <v>0.42857142857142855</v>
      </c>
    </row>
    <row r="341" spans="1:14">
      <c r="A341" t="str">
        <f t="shared" si="26"/>
        <v>2011-09</v>
      </c>
      <c r="B341" s="9">
        <v>40789.319895833331</v>
      </c>
      <c r="C341" s="10">
        <v>16</v>
      </c>
      <c r="D341" s="11" t="s">
        <v>20</v>
      </c>
      <c r="E341" s="10">
        <v>32</v>
      </c>
      <c r="F341" s="12">
        <v>15</v>
      </c>
      <c r="G341" s="12">
        <f t="shared" si="25"/>
        <v>480</v>
      </c>
      <c r="H341" s="13">
        <v>14</v>
      </c>
      <c r="I341" s="13">
        <f t="shared" si="27"/>
        <v>448</v>
      </c>
      <c r="J341" s="8">
        <f t="shared" si="28"/>
        <v>32</v>
      </c>
      <c r="K341" s="10">
        <v>23</v>
      </c>
      <c r="L341" s="11" t="s">
        <v>32</v>
      </c>
      <c r="M341" s="30" t="s">
        <v>21</v>
      </c>
      <c r="N341" s="33">
        <f t="shared" si="29"/>
        <v>6.6666666666666666E-2</v>
      </c>
    </row>
    <row r="342" spans="1:14">
      <c r="A342" t="str">
        <f t="shared" si="26"/>
        <v>2011-09</v>
      </c>
      <c r="B342" s="9">
        <v>40789.928807870368</v>
      </c>
      <c r="C342" s="10">
        <v>4</v>
      </c>
      <c r="D342" s="11" t="s">
        <v>44</v>
      </c>
      <c r="E342" s="10">
        <v>39</v>
      </c>
      <c r="F342" s="12">
        <v>9</v>
      </c>
      <c r="G342" s="12">
        <f t="shared" si="25"/>
        <v>351</v>
      </c>
      <c r="H342" s="13">
        <v>7</v>
      </c>
      <c r="I342" s="13">
        <f t="shared" si="27"/>
        <v>273</v>
      </c>
      <c r="J342" s="8">
        <f t="shared" si="28"/>
        <v>78</v>
      </c>
      <c r="K342" s="10">
        <v>14</v>
      </c>
      <c r="L342" s="11" t="s">
        <v>27</v>
      </c>
      <c r="M342" s="30" t="s">
        <v>25</v>
      </c>
      <c r="N342" s="33">
        <f t="shared" si="29"/>
        <v>0.22222222222222221</v>
      </c>
    </row>
    <row r="343" spans="1:14">
      <c r="A343" t="str">
        <f t="shared" si="26"/>
        <v>2011-09</v>
      </c>
      <c r="B343" s="9">
        <v>40790.03365740741</v>
      </c>
      <c r="C343" s="10">
        <v>6</v>
      </c>
      <c r="D343" s="11" t="s">
        <v>60</v>
      </c>
      <c r="E343" s="10">
        <v>1</v>
      </c>
      <c r="F343" s="12">
        <v>55</v>
      </c>
      <c r="G343" s="12">
        <f t="shared" si="25"/>
        <v>55</v>
      </c>
      <c r="H343" s="13">
        <v>25</v>
      </c>
      <c r="I343" s="13">
        <f t="shared" si="27"/>
        <v>25</v>
      </c>
      <c r="J343" s="8">
        <f t="shared" si="28"/>
        <v>30</v>
      </c>
      <c r="K343" s="10">
        <v>6</v>
      </c>
      <c r="L343" s="11" t="s">
        <v>33</v>
      </c>
      <c r="M343" s="30" t="s">
        <v>25</v>
      </c>
      <c r="N343" s="33">
        <f t="shared" si="29"/>
        <v>0.54545454545454541</v>
      </c>
    </row>
    <row r="344" spans="1:14">
      <c r="A344" t="str">
        <f t="shared" si="26"/>
        <v>2011-09</v>
      </c>
      <c r="B344" s="9">
        <v>40791.368310185186</v>
      </c>
      <c r="C344" s="10">
        <v>22</v>
      </c>
      <c r="D344" s="11" t="s">
        <v>16</v>
      </c>
      <c r="E344" s="10">
        <v>79</v>
      </c>
      <c r="F344" s="12">
        <v>24</v>
      </c>
      <c r="G344" s="12">
        <f t="shared" si="25"/>
        <v>1896</v>
      </c>
      <c r="H344" s="13">
        <v>18</v>
      </c>
      <c r="I344" s="13">
        <f t="shared" si="27"/>
        <v>1422</v>
      </c>
      <c r="J344" s="8">
        <f t="shared" si="28"/>
        <v>474</v>
      </c>
      <c r="K344" s="10">
        <v>572</v>
      </c>
      <c r="L344" s="11" t="s">
        <v>31</v>
      </c>
      <c r="M344" s="30" t="s">
        <v>25</v>
      </c>
      <c r="N344" s="33">
        <f t="shared" si="29"/>
        <v>0.25</v>
      </c>
    </row>
    <row r="345" spans="1:14">
      <c r="A345" t="str">
        <f t="shared" si="26"/>
        <v>2011-09</v>
      </c>
      <c r="B345" s="9">
        <v>40791.481226851851</v>
      </c>
      <c r="C345" s="10">
        <v>16</v>
      </c>
      <c r="D345" s="11" t="s">
        <v>20</v>
      </c>
      <c r="E345" s="10">
        <v>41</v>
      </c>
      <c r="F345" s="12">
        <v>15</v>
      </c>
      <c r="G345" s="12">
        <f t="shared" si="25"/>
        <v>615</v>
      </c>
      <c r="H345" s="13">
        <v>14</v>
      </c>
      <c r="I345" s="13">
        <f t="shared" si="27"/>
        <v>574</v>
      </c>
      <c r="J345" s="8">
        <f t="shared" si="28"/>
        <v>41</v>
      </c>
      <c r="K345" s="10">
        <v>6</v>
      </c>
      <c r="L345" s="11" t="s">
        <v>33</v>
      </c>
      <c r="M345" s="30" t="s">
        <v>21</v>
      </c>
      <c r="N345" s="33">
        <f t="shared" si="29"/>
        <v>6.6666666666666666E-2</v>
      </c>
    </row>
    <row r="346" spans="1:14">
      <c r="A346" t="str">
        <f t="shared" si="26"/>
        <v>2011-09</v>
      </c>
      <c r="B346" s="9">
        <v>40791.57172453704</v>
      </c>
      <c r="C346" s="10">
        <v>4</v>
      </c>
      <c r="D346" s="11" t="s">
        <v>44</v>
      </c>
      <c r="E346" s="10">
        <v>33</v>
      </c>
      <c r="F346" s="12">
        <v>9</v>
      </c>
      <c r="G346" s="12">
        <f t="shared" si="25"/>
        <v>297</v>
      </c>
      <c r="H346" s="13">
        <v>7</v>
      </c>
      <c r="I346" s="13">
        <f t="shared" si="27"/>
        <v>231</v>
      </c>
      <c r="J346" s="8">
        <f t="shared" si="28"/>
        <v>66</v>
      </c>
      <c r="K346" s="10">
        <v>686</v>
      </c>
      <c r="L346" s="11" t="s">
        <v>56</v>
      </c>
      <c r="M346" s="30" t="s">
        <v>25</v>
      </c>
      <c r="N346" s="33">
        <f t="shared" si="29"/>
        <v>0.22222222222222221</v>
      </c>
    </row>
    <row r="347" spans="1:14">
      <c r="A347" t="str">
        <f t="shared" si="26"/>
        <v>2011-09</v>
      </c>
      <c r="B347" s="9">
        <v>40792.371516203704</v>
      </c>
      <c r="C347" s="10">
        <v>22</v>
      </c>
      <c r="D347" s="11" t="s">
        <v>16</v>
      </c>
      <c r="E347" s="10">
        <v>92</v>
      </c>
      <c r="F347" s="12">
        <v>24</v>
      </c>
      <c r="G347" s="12">
        <f t="shared" si="25"/>
        <v>2208</v>
      </c>
      <c r="H347" s="13">
        <v>18</v>
      </c>
      <c r="I347" s="13">
        <f t="shared" si="27"/>
        <v>1656</v>
      </c>
      <c r="J347" s="8">
        <f t="shared" si="28"/>
        <v>552</v>
      </c>
      <c r="K347" s="10">
        <v>6</v>
      </c>
      <c r="L347" s="11" t="s">
        <v>33</v>
      </c>
      <c r="M347" s="30" t="s">
        <v>25</v>
      </c>
      <c r="N347" s="33">
        <f t="shared" si="29"/>
        <v>0.25</v>
      </c>
    </row>
    <row r="348" spans="1:14">
      <c r="A348" t="str">
        <f t="shared" si="26"/>
        <v>2011-09</v>
      </c>
      <c r="B348" s="9">
        <v>40792.464039351849</v>
      </c>
      <c r="C348" s="10">
        <v>30</v>
      </c>
      <c r="D348" s="11" t="s">
        <v>23</v>
      </c>
      <c r="E348" s="10">
        <v>15</v>
      </c>
      <c r="F348" s="12">
        <v>12</v>
      </c>
      <c r="G348" s="12">
        <f t="shared" si="25"/>
        <v>180</v>
      </c>
      <c r="H348" s="13">
        <v>8</v>
      </c>
      <c r="I348" s="13">
        <f t="shared" si="27"/>
        <v>120</v>
      </c>
      <c r="J348" s="8">
        <f t="shared" si="28"/>
        <v>60</v>
      </c>
      <c r="K348" s="10">
        <v>95</v>
      </c>
      <c r="L348" s="11" t="s">
        <v>34</v>
      </c>
      <c r="M348" s="30" t="s">
        <v>25</v>
      </c>
      <c r="N348" s="33">
        <f t="shared" si="29"/>
        <v>0.33333333333333331</v>
      </c>
    </row>
    <row r="349" spans="1:14">
      <c r="A349" t="str">
        <f t="shared" si="26"/>
        <v>2011-09</v>
      </c>
      <c r="B349" s="9">
        <v>40793.641736111109</v>
      </c>
      <c r="C349" s="10">
        <v>4</v>
      </c>
      <c r="D349" s="11" t="s">
        <v>44</v>
      </c>
      <c r="E349" s="10">
        <v>20</v>
      </c>
      <c r="F349" s="12">
        <v>9</v>
      </c>
      <c r="G349" s="12">
        <f t="shared" si="25"/>
        <v>180</v>
      </c>
      <c r="H349" s="13">
        <v>7</v>
      </c>
      <c r="I349" s="13">
        <f t="shared" si="27"/>
        <v>140</v>
      </c>
      <c r="J349" s="8">
        <f t="shared" si="28"/>
        <v>40</v>
      </c>
      <c r="K349" s="10">
        <v>6</v>
      </c>
      <c r="L349" s="11" t="s">
        <v>33</v>
      </c>
      <c r="M349" s="30" t="s">
        <v>21</v>
      </c>
      <c r="N349" s="33">
        <f t="shared" si="29"/>
        <v>0.22222222222222221</v>
      </c>
    </row>
    <row r="350" spans="1:14">
      <c r="A350" t="str">
        <f t="shared" si="26"/>
        <v>2011-09</v>
      </c>
      <c r="B350" s="9">
        <v>40793.913032407407</v>
      </c>
      <c r="C350" s="10">
        <v>100</v>
      </c>
      <c r="D350" s="11" t="s">
        <v>40</v>
      </c>
      <c r="E350" s="10">
        <v>13</v>
      </c>
      <c r="F350" s="12">
        <v>8</v>
      </c>
      <c r="G350" s="12">
        <f t="shared" si="25"/>
        <v>104</v>
      </c>
      <c r="H350" s="13">
        <v>4</v>
      </c>
      <c r="I350" s="13">
        <f t="shared" si="27"/>
        <v>52</v>
      </c>
      <c r="J350" s="8">
        <f t="shared" si="28"/>
        <v>52</v>
      </c>
      <c r="K350" s="10">
        <v>572</v>
      </c>
      <c r="L350" s="11" t="s">
        <v>31</v>
      </c>
      <c r="M350" s="30" t="s">
        <v>25</v>
      </c>
      <c r="N350" s="33">
        <f t="shared" si="29"/>
        <v>0.5</v>
      </c>
    </row>
    <row r="351" spans="1:14">
      <c r="A351" t="str">
        <f t="shared" si="26"/>
        <v>2011-09</v>
      </c>
      <c r="B351" s="9">
        <v>40794.712951388887</v>
      </c>
      <c r="C351" s="10">
        <v>22</v>
      </c>
      <c r="D351" s="11" t="s">
        <v>16</v>
      </c>
      <c r="E351" s="10">
        <v>17</v>
      </c>
      <c r="F351" s="12">
        <v>24</v>
      </c>
      <c r="G351" s="12">
        <f t="shared" si="25"/>
        <v>408</v>
      </c>
      <c r="H351" s="13">
        <v>18</v>
      </c>
      <c r="I351" s="13">
        <f t="shared" si="27"/>
        <v>306</v>
      </c>
      <c r="J351" s="8">
        <f t="shared" si="28"/>
        <v>102</v>
      </c>
      <c r="K351" s="10">
        <v>6</v>
      </c>
      <c r="L351" s="11" t="s">
        <v>33</v>
      </c>
      <c r="M351" s="30" t="s">
        <v>25</v>
      </c>
      <c r="N351" s="33">
        <f t="shared" si="29"/>
        <v>0.25</v>
      </c>
    </row>
    <row r="352" spans="1:14">
      <c r="A352" t="str">
        <f t="shared" si="26"/>
        <v>2011-09</v>
      </c>
      <c r="B352" s="9">
        <v>40795.838877314818</v>
      </c>
      <c r="C352" s="10">
        <v>4</v>
      </c>
      <c r="D352" s="11" t="s">
        <v>44</v>
      </c>
      <c r="E352" s="10">
        <v>19</v>
      </c>
      <c r="F352" s="12">
        <v>9</v>
      </c>
      <c r="G352" s="12">
        <f t="shared" si="25"/>
        <v>171</v>
      </c>
      <c r="H352" s="13">
        <v>7</v>
      </c>
      <c r="I352" s="13">
        <f t="shared" si="27"/>
        <v>133</v>
      </c>
      <c r="J352" s="8">
        <f t="shared" si="28"/>
        <v>38</v>
      </c>
      <c r="K352" s="10">
        <v>572</v>
      </c>
      <c r="L352" s="11" t="s">
        <v>31</v>
      </c>
      <c r="M352" s="30" t="s">
        <v>25</v>
      </c>
      <c r="N352" s="33">
        <f t="shared" si="29"/>
        <v>0.22222222222222221</v>
      </c>
    </row>
    <row r="353" spans="1:14">
      <c r="A353" t="str">
        <f t="shared" si="26"/>
        <v>2011-09</v>
      </c>
      <c r="B353" s="9">
        <v>40796.252349537041</v>
      </c>
      <c r="C353" s="10">
        <v>30</v>
      </c>
      <c r="D353" s="11" t="s">
        <v>23</v>
      </c>
      <c r="E353" s="10">
        <v>74</v>
      </c>
      <c r="F353" s="12">
        <v>12</v>
      </c>
      <c r="G353" s="12">
        <f t="shared" si="25"/>
        <v>888</v>
      </c>
      <c r="H353" s="13">
        <v>8</v>
      </c>
      <c r="I353" s="13">
        <f t="shared" si="27"/>
        <v>592</v>
      </c>
      <c r="J353" s="8">
        <f t="shared" si="28"/>
        <v>296</v>
      </c>
      <c r="K353" s="10">
        <v>846</v>
      </c>
      <c r="L353" s="11" t="s">
        <v>35</v>
      </c>
      <c r="M353" s="30" t="s">
        <v>18</v>
      </c>
      <c r="N353" s="33">
        <f t="shared" si="29"/>
        <v>0.33333333333333331</v>
      </c>
    </row>
    <row r="354" spans="1:14">
      <c r="A354" t="str">
        <f t="shared" si="26"/>
        <v>2011-09</v>
      </c>
      <c r="B354" s="9">
        <v>40796.471990740742</v>
      </c>
      <c r="C354" s="10">
        <v>100</v>
      </c>
      <c r="D354" s="11" t="s">
        <v>40</v>
      </c>
      <c r="E354" s="10">
        <v>62</v>
      </c>
      <c r="F354" s="12">
        <v>8</v>
      </c>
      <c r="G354" s="12">
        <f t="shared" si="25"/>
        <v>496</v>
      </c>
      <c r="H354" s="13">
        <v>4</v>
      </c>
      <c r="I354" s="13">
        <f t="shared" si="27"/>
        <v>248</v>
      </c>
      <c r="J354" s="8">
        <f t="shared" si="28"/>
        <v>248</v>
      </c>
      <c r="K354" s="10">
        <v>557</v>
      </c>
      <c r="L354" s="11" t="s">
        <v>36</v>
      </c>
      <c r="M354" s="30" t="s">
        <v>18</v>
      </c>
      <c r="N354" s="33">
        <f t="shared" si="29"/>
        <v>0.5</v>
      </c>
    </row>
    <row r="355" spans="1:14">
      <c r="A355" t="str">
        <f t="shared" si="26"/>
        <v>2011-09</v>
      </c>
      <c r="B355" s="9">
        <v>40796.685925925929</v>
      </c>
      <c r="C355" s="10">
        <v>2</v>
      </c>
      <c r="D355" s="11" t="s">
        <v>30</v>
      </c>
      <c r="E355" s="10">
        <v>90</v>
      </c>
      <c r="F355" s="12">
        <v>12</v>
      </c>
      <c r="G355" s="12">
        <f t="shared" si="25"/>
        <v>1080</v>
      </c>
      <c r="H355" s="13">
        <v>6</v>
      </c>
      <c r="I355" s="13">
        <f t="shared" si="27"/>
        <v>540</v>
      </c>
      <c r="J355" s="8">
        <f t="shared" si="28"/>
        <v>540</v>
      </c>
      <c r="K355" s="10">
        <v>572</v>
      </c>
      <c r="L355" s="11" t="s">
        <v>31</v>
      </c>
      <c r="M355" s="30" t="s">
        <v>25</v>
      </c>
      <c r="N355" s="33">
        <f t="shared" si="29"/>
        <v>0.5</v>
      </c>
    </row>
    <row r="356" spans="1:14">
      <c r="A356" t="str">
        <f t="shared" si="26"/>
        <v>2011-09</v>
      </c>
      <c r="B356" s="9">
        <v>40796.689305555556</v>
      </c>
      <c r="C356" s="10">
        <v>30</v>
      </c>
      <c r="D356" s="11" t="s">
        <v>23</v>
      </c>
      <c r="E356" s="10">
        <v>78</v>
      </c>
      <c r="F356" s="12">
        <v>12</v>
      </c>
      <c r="G356" s="12">
        <f t="shared" si="25"/>
        <v>936</v>
      </c>
      <c r="H356" s="13">
        <v>8</v>
      </c>
      <c r="I356" s="13">
        <f t="shared" si="27"/>
        <v>624</v>
      </c>
      <c r="J356" s="8">
        <f t="shared" si="28"/>
        <v>312</v>
      </c>
      <c r="K356" s="10">
        <v>557</v>
      </c>
      <c r="L356" s="11" t="s">
        <v>36</v>
      </c>
      <c r="M356" s="30" t="s">
        <v>25</v>
      </c>
      <c r="N356" s="33">
        <f t="shared" si="29"/>
        <v>0.33333333333333331</v>
      </c>
    </row>
    <row r="357" spans="1:14">
      <c r="A357" t="str">
        <f t="shared" si="26"/>
        <v>2011-09</v>
      </c>
      <c r="B357" s="9">
        <v>40797.147835648146</v>
      </c>
      <c r="C357" s="10">
        <v>30</v>
      </c>
      <c r="D357" s="11" t="s">
        <v>23</v>
      </c>
      <c r="E357" s="10">
        <v>63</v>
      </c>
      <c r="F357" s="12">
        <v>12</v>
      </c>
      <c r="G357" s="12">
        <f t="shared" si="25"/>
        <v>756</v>
      </c>
      <c r="H357" s="13">
        <v>8</v>
      </c>
      <c r="I357" s="13">
        <f t="shared" si="27"/>
        <v>504</v>
      </c>
      <c r="J357" s="8">
        <f t="shared" si="28"/>
        <v>252</v>
      </c>
      <c r="K357" s="10">
        <v>315</v>
      </c>
      <c r="L357" s="11" t="s">
        <v>17</v>
      </c>
      <c r="M357" s="30" t="s">
        <v>18</v>
      </c>
      <c r="N357" s="33">
        <f t="shared" si="29"/>
        <v>0.33333333333333331</v>
      </c>
    </row>
    <row r="358" spans="1:14">
      <c r="A358" t="str">
        <f t="shared" si="26"/>
        <v>2011-09</v>
      </c>
      <c r="B358" s="9">
        <v>40797.240949074076</v>
      </c>
      <c r="C358" s="10">
        <v>39</v>
      </c>
      <c r="D358" s="11" t="s">
        <v>37</v>
      </c>
      <c r="E358" s="10">
        <v>34</v>
      </c>
      <c r="F358" s="12">
        <v>33</v>
      </c>
      <c r="G358" s="12">
        <f t="shared" si="25"/>
        <v>1122</v>
      </c>
      <c r="H358" s="13">
        <v>28</v>
      </c>
      <c r="I358" s="13">
        <f t="shared" si="27"/>
        <v>952</v>
      </c>
      <c r="J358" s="8">
        <f t="shared" si="28"/>
        <v>170</v>
      </c>
      <c r="K358" s="10">
        <v>95</v>
      </c>
      <c r="L358" s="11" t="s">
        <v>34</v>
      </c>
      <c r="M358" s="30" t="s">
        <v>25</v>
      </c>
      <c r="N358" s="33">
        <f t="shared" si="29"/>
        <v>0.15151515151515152</v>
      </c>
    </row>
    <row r="359" spans="1:14">
      <c r="A359" t="str">
        <f t="shared" si="26"/>
        <v>2011-09</v>
      </c>
      <c r="B359" s="9">
        <v>40798.740347222221</v>
      </c>
      <c r="C359" s="10">
        <v>16</v>
      </c>
      <c r="D359" s="11" t="s">
        <v>20</v>
      </c>
      <c r="E359" s="10">
        <v>8</v>
      </c>
      <c r="F359" s="12">
        <v>15</v>
      </c>
      <c r="G359" s="12">
        <f t="shared" si="25"/>
        <v>120</v>
      </c>
      <c r="H359" s="13">
        <v>14</v>
      </c>
      <c r="I359" s="13">
        <f t="shared" si="27"/>
        <v>112</v>
      </c>
      <c r="J359" s="8">
        <f t="shared" si="28"/>
        <v>8</v>
      </c>
      <c r="K359" s="10">
        <v>6</v>
      </c>
      <c r="L359" s="11" t="s">
        <v>33</v>
      </c>
      <c r="M359" s="30" t="s">
        <v>21</v>
      </c>
      <c r="N359" s="33">
        <f t="shared" si="29"/>
        <v>6.6666666666666666E-2</v>
      </c>
    </row>
    <row r="360" spans="1:14">
      <c r="A360" t="str">
        <f t="shared" si="26"/>
        <v>2011-09</v>
      </c>
      <c r="B360" s="9">
        <v>40799.909131944441</v>
      </c>
      <c r="C360" s="10">
        <v>19</v>
      </c>
      <c r="D360" s="11" t="s">
        <v>47</v>
      </c>
      <c r="E360" s="10">
        <v>56</v>
      </c>
      <c r="F360" s="12">
        <v>36</v>
      </c>
      <c r="G360" s="12">
        <f t="shared" si="25"/>
        <v>2016</v>
      </c>
      <c r="H360" s="13">
        <v>25</v>
      </c>
      <c r="I360" s="13">
        <f t="shared" si="27"/>
        <v>1400</v>
      </c>
      <c r="J360" s="8">
        <f t="shared" si="28"/>
        <v>616</v>
      </c>
      <c r="K360" s="10">
        <v>846</v>
      </c>
      <c r="L360" s="11" t="s">
        <v>35</v>
      </c>
      <c r="M360" s="30" t="s">
        <v>25</v>
      </c>
      <c r="N360" s="33">
        <f t="shared" si="29"/>
        <v>0.30555555555555558</v>
      </c>
    </row>
    <row r="361" spans="1:14">
      <c r="A361" t="str">
        <f t="shared" si="26"/>
        <v>2011-09</v>
      </c>
      <c r="B361" s="9">
        <v>40801.271192129629</v>
      </c>
      <c r="C361" s="10">
        <v>39</v>
      </c>
      <c r="D361" s="11" t="s">
        <v>37</v>
      </c>
      <c r="E361" s="10">
        <v>32</v>
      </c>
      <c r="F361" s="12">
        <v>33</v>
      </c>
      <c r="G361" s="12">
        <f t="shared" si="25"/>
        <v>1056</v>
      </c>
      <c r="H361" s="13">
        <v>28</v>
      </c>
      <c r="I361" s="13">
        <f t="shared" si="27"/>
        <v>896</v>
      </c>
      <c r="J361" s="8">
        <f t="shared" si="28"/>
        <v>160</v>
      </c>
      <c r="K361" s="10">
        <v>572</v>
      </c>
      <c r="L361" s="11" t="s">
        <v>31</v>
      </c>
      <c r="M361" s="30" t="s">
        <v>25</v>
      </c>
      <c r="N361" s="33">
        <f t="shared" si="29"/>
        <v>0.15151515151515152</v>
      </c>
    </row>
    <row r="362" spans="1:14">
      <c r="A362" t="str">
        <f t="shared" si="26"/>
        <v>2011-09</v>
      </c>
      <c r="B362" s="9">
        <v>40802.012627314813</v>
      </c>
      <c r="C362" s="10">
        <v>100</v>
      </c>
      <c r="D362" s="11" t="s">
        <v>40</v>
      </c>
      <c r="E362" s="10">
        <v>52</v>
      </c>
      <c r="F362" s="12">
        <v>8</v>
      </c>
      <c r="G362" s="12">
        <f t="shared" si="25"/>
        <v>416</v>
      </c>
      <c r="H362" s="13">
        <v>4</v>
      </c>
      <c r="I362" s="13">
        <f t="shared" si="27"/>
        <v>208</v>
      </c>
      <c r="J362" s="8">
        <f t="shared" si="28"/>
        <v>208</v>
      </c>
      <c r="K362" s="10">
        <v>23</v>
      </c>
      <c r="L362" s="11" t="s">
        <v>32</v>
      </c>
      <c r="M362" s="30" t="s">
        <v>21</v>
      </c>
      <c r="N362" s="33">
        <f t="shared" si="29"/>
        <v>0.5</v>
      </c>
    </row>
    <row r="363" spans="1:14">
      <c r="A363" t="str">
        <f t="shared" si="26"/>
        <v>2011-09</v>
      </c>
      <c r="B363" s="9">
        <v>40802.520162037035</v>
      </c>
      <c r="C363" s="10">
        <v>31</v>
      </c>
      <c r="D363" s="11" t="s">
        <v>46</v>
      </c>
      <c r="E363" s="10">
        <v>97</v>
      </c>
      <c r="F363" s="12">
        <v>21</v>
      </c>
      <c r="G363" s="12">
        <f t="shared" si="25"/>
        <v>2037</v>
      </c>
      <c r="H363" s="13">
        <v>12</v>
      </c>
      <c r="I363" s="13">
        <f t="shared" si="27"/>
        <v>1164</v>
      </c>
      <c r="J363" s="8">
        <f t="shared" si="28"/>
        <v>873</v>
      </c>
      <c r="K363" s="10">
        <v>233</v>
      </c>
      <c r="L363" s="11" t="s">
        <v>24</v>
      </c>
      <c r="M363" s="30" t="s">
        <v>21</v>
      </c>
      <c r="N363" s="33">
        <f t="shared" si="29"/>
        <v>0.42857142857142855</v>
      </c>
    </row>
    <row r="364" spans="1:14">
      <c r="A364" t="str">
        <f t="shared" si="26"/>
        <v>2011-09</v>
      </c>
      <c r="B364" s="9">
        <v>40803.162905092591</v>
      </c>
      <c r="C364" s="10">
        <v>100</v>
      </c>
      <c r="D364" s="11" t="s">
        <v>40</v>
      </c>
      <c r="E364" s="10">
        <v>79</v>
      </c>
      <c r="F364" s="12">
        <v>8</v>
      </c>
      <c r="G364" s="12">
        <f t="shared" si="25"/>
        <v>632</v>
      </c>
      <c r="H364" s="13">
        <v>4</v>
      </c>
      <c r="I364" s="13">
        <f t="shared" si="27"/>
        <v>316</v>
      </c>
      <c r="J364" s="8">
        <f t="shared" si="28"/>
        <v>316</v>
      </c>
      <c r="K364" s="10">
        <v>95</v>
      </c>
      <c r="L364" s="11" t="s">
        <v>34</v>
      </c>
      <c r="M364" s="30" t="s">
        <v>25</v>
      </c>
      <c r="N364" s="33">
        <f t="shared" si="29"/>
        <v>0.5</v>
      </c>
    </row>
    <row r="365" spans="1:14">
      <c r="A365" t="str">
        <f t="shared" si="26"/>
        <v>2011-09</v>
      </c>
      <c r="B365" s="9">
        <v>40804.039594907408</v>
      </c>
      <c r="C365" s="10">
        <v>4</v>
      </c>
      <c r="D365" s="11" t="s">
        <v>44</v>
      </c>
      <c r="E365" s="10">
        <v>70</v>
      </c>
      <c r="F365" s="12">
        <v>9</v>
      </c>
      <c r="G365" s="12">
        <f t="shared" si="25"/>
        <v>630</v>
      </c>
      <c r="H365" s="13">
        <v>7</v>
      </c>
      <c r="I365" s="13">
        <f t="shared" si="27"/>
        <v>490</v>
      </c>
      <c r="J365" s="8">
        <f t="shared" si="28"/>
        <v>140</v>
      </c>
      <c r="K365" s="10">
        <v>23</v>
      </c>
      <c r="L365" s="11" t="s">
        <v>32</v>
      </c>
      <c r="M365" s="30" t="s">
        <v>21</v>
      </c>
      <c r="N365" s="33">
        <f t="shared" si="29"/>
        <v>0.22222222222222221</v>
      </c>
    </row>
    <row r="366" spans="1:14">
      <c r="A366" t="str">
        <f t="shared" si="26"/>
        <v>2011-09</v>
      </c>
      <c r="B366" s="9">
        <v>40804.080231481479</v>
      </c>
      <c r="C366" s="10">
        <v>98</v>
      </c>
      <c r="D366" s="11" t="s">
        <v>58</v>
      </c>
      <c r="E366" s="10">
        <v>98</v>
      </c>
      <c r="F366" s="12">
        <v>18</v>
      </c>
      <c r="G366" s="12">
        <f t="shared" si="25"/>
        <v>1764</v>
      </c>
      <c r="H366" s="13">
        <v>8</v>
      </c>
      <c r="I366" s="13">
        <f t="shared" si="27"/>
        <v>784</v>
      </c>
      <c r="J366" s="8">
        <f t="shared" si="28"/>
        <v>980</v>
      </c>
      <c r="K366" s="10">
        <v>846</v>
      </c>
      <c r="L366" s="11" t="s">
        <v>35</v>
      </c>
      <c r="M366" s="30" t="s">
        <v>25</v>
      </c>
      <c r="N366" s="33">
        <f t="shared" si="29"/>
        <v>0.55555555555555558</v>
      </c>
    </row>
    <row r="367" spans="1:14">
      <c r="A367" t="str">
        <f t="shared" si="26"/>
        <v>2011-09</v>
      </c>
      <c r="B367" s="9">
        <v>40804.371805555558</v>
      </c>
      <c r="C367" s="10">
        <v>30</v>
      </c>
      <c r="D367" s="11" t="s">
        <v>23</v>
      </c>
      <c r="E367" s="10">
        <v>14</v>
      </c>
      <c r="F367" s="12">
        <v>12</v>
      </c>
      <c r="G367" s="12">
        <f t="shared" si="25"/>
        <v>168</v>
      </c>
      <c r="H367" s="13">
        <v>8</v>
      </c>
      <c r="I367" s="13">
        <f t="shared" si="27"/>
        <v>112</v>
      </c>
      <c r="J367" s="8">
        <f t="shared" si="28"/>
        <v>56</v>
      </c>
      <c r="K367" s="10">
        <v>95</v>
      </c>
      <c r="L367" s="11" t="s">
        <v>34</v>
      </c>
      <c r="M367" s="30" t="s">
        <v>25</v>
      </c>
      <c r="N367" s="33">
        <f t="shared" si="29"/>
        <v>0.33333333333333331</v>
      </c>
    </row>
    <row r="368" spans="1:14">
      <c r="A368" t="str">
        <f t="shared" si="26"/>
        <v>2011-09</v>
      </c>
      <c r="B368" s="9">
        <v>40805.231874999998</v>
      </c>
      <c r="C368" s="10">
        <v>4</v>
      </c>
      <c r="D368" s="11" t="s">
        <v>44</v>
      </c>
      <c r="E368" s="10">
        <v>59</v>
      </c>
      <c r="F368" s="12">
        <v>9</v>
      </c>
      <c r="G368" s="12">
        <f t="shared" si="25"/>
        <v>531</v>
      </c>
      <c r="H368" s="13">
        <v>7</v>
      </c>
      <c r="I368" s="13">
        <f t="shared" si="27"/>
        <v>413</v>
      </c>
      <c r="J368" s="8">
        <f t="shared" si="28"/>
        <v>118</v>
      </c>
      <c r="K368" s="10">
        <v>686</v>
      </c>
      <c r="L368" s="11" t="s">
        <v>56</v>
      </c>
      <c r="M368" s="30" t="s">
        <v>21</v>
      </c>
      <c r="N368" s="33">
        <f t="shared" si="29"/>
        <v>0.22222222222222221</v>
      </c>
    </row>
    <row r="369" spans="1:14">
      <c r="A369" t="str">
        <f t="shared" si="26"/>
        <v>2011-09</v>
      </c>
      <c r="B369" s="9">
        <v>40805.408136574071</v>
      </c>
      <c r="C369" s="10">
        <v>2</v>
      </c>
      <c r="D369" s="11" t="s">
        <v>30</v>
      </c>
      <c r="E369" s="10">
        <v>82</v>
      </c>
      <c r="F369" s="12">
        <v>12</v>
      </c>
      <c r="G369" s="12">
        <f t="shared" si="25"/>
        <v>984</v>
      </c>
      <c r="H369" s="13">
        <v>6</v>
      </c>
      <c r="I369" s="13">
        <f t="shared" si="27"/>
        <v>492</v>
      </c>
      <c r="J369" s="8">
        <f t="shared" si="28"/>
        <v>492</v>
      </c>
      <c r="K369" s="10">
        <v>572</v>
      </c>
      <c r="L369" s="11" t="s">
        <v>31</v>
      </c>
      <c r="M369" s="30" t="s">
        <v>25</v>
      </c>
      <c r="N369" s="33">
        <f t="shared" si="29"/>
        <v>0.5</v>
      </c>
    </row>
    <row r="370" spans="1:14">
      <c r="A370" t="str">
        <f t="shared" si="26"/>
        <v>2011-09</v>
      </c>
      <c r="B370" s="9">
        <v>40805.562893518516</v>
      </c>
      <c r="C370" s="10">
        <v>31</v>
      </c>
      <c r="D370" s="11" t="s">
        <v>46</v>
      </c>
      <c r="E370" s="10">
        <v>79</v>
      </c>
      <c r="F370" s="12">
        <v>21</v>
      </c>
      <c r="G370" s="12">
        <f t="shared" si="25"/>
        <v>1659</v>
      </c>
      <c r="H370" s="13">
        <v>12</v>
      </c>
      <c r="I370" s="13">
        <f t="shared" si="27"/>
        <v>948</v>
      </c>
      <c r="J370" s="8">
        <f t="shared" si="28"/>
        <v>711</v>
      </c>
      <c r="K370" s="10">
        <v>846</v>
      </c>
      <c r="L370" s="11" t="s">
        <v>35</v>
      </c>
      <c r="M370" s="30" t="s">
        <v>25</v>
      </c>
      <c r="N370" s="33">
        <f t="shared" si="29"/>
        <v>0.42857142857142855</v>
      </c>
    </row>
    <row r="371" spans="1:14">
      <c r="A371" t="str">
        <f t="shared" si="26"/>
        <v>2011-09</v>
      </c>
      <c r="B371" s="9">
        <v>40805.698738425926</v>
      </c>
      <c r="C371" s="10">
        <v>4</v>
      </c>
      <c r="D371" s="11" t="s">
        <v>44</v>
      </c>
      <c r="E371" s="10">
        <v>7</v>
      </c>
      <c r="F371" s="12">
        <v>9</v>
      </c>
      <c r="G371" s="12">
        <f t="shared" si="25"/>
        <v>63</v>
      </c>
      <c r="H371" s="13">
        <v>7</v>
      </c>
      <c r="I371" s="13">
        <f t="shared" si="27"/>
        <v>49</v>
      </c>
      <c r="J371" s="8">
        <f t="shared" si="28"/>
        <v>14</v>
      </c>
      <c r="K371" s="10">
        <v>6</v>
      </c>
      <c r="L371" s="11" t="s">
        <v>33</v>
      </c>
      <c r="M371" s="30" t="s">
        <v>25</v>
      </c>
      <c r="N371" s="33">
        <f t="shared" si="29"/>
        <v>0.22222222222222221</v>
      </c>
    </row>
    <row r="372" spans="1:14">
      <c r="A372" t="str">
        <f t="shared" si="26"/>
        <v>2011-09</v>
      </c>
      <c r="B372" s="9">
        <v>40805.942175925928</v>
      </c>
      <c r="C372" s="10">
        <v>30</v>
      </c>
      <c r="D372" s="11" t="s">
        <v>23</v>
      </c>
      <c r="E372" s="10">
        <v>48</v>
      </c>
      <c r="F372" s="12">
        <v>12</v>
      </c>
      <c r="G372" s="12">
        <f t="shared" si="25"/>
        <v>576</v>
      </c>
      <c r="H372" s="13">
        <v>8</v>
      </c>
      <c r="I372" s="13">
        <f t="shared" si="27"/>
        <v>384</v>
      </c>
      <c r="J372" s="8">
        <f t="shared" si="28"/>
        <v>192</v>
      </c>
      <c r="K372" s="10">
        <v>572</v>
      </c>
      <c r="L372" s="11" t="s">
        <v>31</v>
      </c>
      <c r="M372" s="30" t="s">
        <v>25</v>
      </c>
      <c r="N372" s="33">
        <f t="shared" si="29"/>
        <v>0.33333333333333331</v>
      </c>
    </row>
    <row r="373" spans="1:14">
      <c r="A373" t="str">
        <f t="shared" si="26"/>
        <v>2011-09</v>
      </c>
      <c r="B373" s="9">
        <v>40806.412361111114</v>
      </c>
      <c r="C373" s="10">
        <v>39</v>
      </c>
      <c r="D373" s="11" t="s">
        <v>37</v>
      </c>
      <c r="E373" s="10">
        <v>24</v>
      </c>
      <c r="F373" s="12">
        <v>33</v>
      </c>
      <c r="G373" s="12">
        <f t="shared" si="25"/>
        <v>792</v>
      </c>
      <c r="H373" s="13">
        <v>28</v>
      </c>
      <c r="I373" s="13">
        <f t="shared" si="27"/>
        <v>672</v>
      </c>
      <c r="J373" s="8">
        <f t="shared" si="28"/>
        <v>120</v>
      </c>
      <c r="K373" s="10">
        <v>23</v>
      </c>
      <c r="L373" s="11" t="s">
        <v>32</v>
      </c>
      <c r="M373" s="30" t="s">
        <v>21</v>
      </c>
      <c r="N373" s="33">
        <f t="shared" si="29"/>
        <v>0.15151515151515152</v>
      </c>
    </row>
    <row r="374" spans="1:14">
      <c r="A374" t="str">
        <f t="shared" si="26"/>
        <v>2011-09</v>
      </c>
      <c r="B374" s="9">
        <v>40806.504849537036</v>
      </c>
      <c r="C374" s="10">
        <v>22</v>
      </c>
      <c r="D374" s="11" t="s">
        <v>16</v>
      </c>
      <c r="E374" s="10">
        <v>49</v>
      </c>
      <c r="F374" s="12">
        <v>24</v>
      </c>
      <c r="G374" s="12">
        <f t="shared" si="25"/>
        <v>1176</v>
      </c>
      <c r="H374" s="13">
        <v>18</v>
      </c>
      <c r="I374" s="13">
        <f t="shared" si="27"/>
        <v>882</v>
      </c>
      <c r="J374" s="8">
        <f t="shared" si="28"/>
        <v>294</v>
      </c>
      <c r="K374" s="10">
        <v>572</v>
      </c>
      <c r="L374" s="11" t="s">
        <v>31</v>
      </c>
      <c r="M374" s="30" t="s">
        <v>25</v>
      </c>
      <c r="N374" s="33">
        <f t="shared" si="29"/>
        <v>0.25</v>
      </c>
    </row>
    <row r="375" spans="1:14">
      <c r="A375" t="str">
        <f t="shared" si="26"/>
        <v>2011-09</v>
      </c>
      <c r="B375" s="9">
        <v>40807.080671296295</v>
      </c>
      <c r="C375" s="10">
        <v>4</v>
      </c>
      <c r="D375" s="11" t="s">
        <v>44</v>
      </c>
      <c r="E375" s="10">
        <v>77</v>
      </c>
      <c r="F375" s="12">
        <v>9</v>
      </c>
      <c r="G375" s="12">
        <f t="shared" si="25"/>
        <v>693</v>
      </c>
      <c r="H375" s="13">
        <v>7</v>
      </c>
      <c r="I375" s="13">
        <f t="shared" si="27"/>
        <v>539</v>
      </c>
      <c r="J375" s="8">
        <f t="shared" si="28"/>
        <v>154</v>
      </c>
      <c r="K375" s="10">
        <v>572</v>
      </c>
      <c r="L375" s="11" t="s">
        <v>31</v>
      </c>
      <c r="M375" s="30" t="s">
        <v>21</v>
      </c>
      <c r="N375" s="33">
        <f t="shared" si="29"/>
        <v>0.22222222222222221</v>
      </c>
    </row>
    <row r="376" spans="1:14">
      <c r="A376" t="str">
        <f t="shared" si="26"/>
        <v>2011-09</v>
      </c>
      <c r="B376" s="9">
        <v>40807.214826388888</v>
      </c>
      <c r="C376" s="10">
        <v>100</v>
      </c>
      <c r="D376" s="11" t="s">
        <v>40</v>
      </c>
      <c r="E376" s="10">
        <v>61</v>
      </c>
      <c r="F376" s="12">
        <v>8</v>
      </c>
      <c r="G376" s="12">
        <f t="shared" si="25"/>
        <v>488</v>
      </c>
      <c r="H376" s="13">
        <v>4</v>
      </c>
      <c r="I376" s="13">
        <f t="shared" si="27"/>
        <v>244</v>
      </c>
      <c r="J376" s="8">
        <f t="shared" si="28"/>
        <v>244</v>
      </c>
      <c r="K376" s="10">
        <v>14</v>
      </c>
      <c r="L376" s="11" t="s">
        <v>27</v>
      </c>
      <c r="M376" s="30" t="s">
        <v>21</v>
      </c>
      <c r="N376" s="33">
        <f t="shared" si="29"/>
        <v>0.5</v>
      </c>
    </row>
    <row r="377" spans="1:14">
      <c r="A377" t="str">
        <f t="shared" si="26"/>
        <v>2011-09</v>
      </c>
      <c r="B377" s="9">
        <v>40807.349594907406</v>
      </c>
      <c r="C377" s="10">
        <v>16</v>
      </c>
      <c r="D377" s="11" t="s">
        <v>20</v>
      </c>
      <c r="E377" s="10">
        <v>24</v>
      </c>
      <c r="F377" s="12">
        <v>15</v>
      </c>
      <c r="G377" s="12">
        <f t="shared" si="25"/>
        <v>360</v>
      </c>
      <c r="H377" s="13">
        <v>14</v>
      </c>
      <c r="I377" s="13">
        <f t="shared" si="27"/>
        <v>336</v>
      </c>
      <c r="J377" s="8">
        <f t="shared" si="28"/>
        <v>24</v>
      </c>
      <c r="K377" s="10">
        <v>557</v>
      </c>
      <c r="L377" s="11" t="s">
        <v>36</v>
      </c>
      <c r="M377" s="30" t="s">
        <v>25</v>
      </c>
      <c r="N377" s="33">
        <f t="shared" si="29"/>
        <v>6.6666666666666666E-2</v>
      </c>
    </row>
    <row r="378" spans="1:14">
      <c r="A378" t="str">
        <f t="shared" si="26"/>
        <v>2011-09</v>
      </c>
      <c r="B378" s="9">
        <v>40809.566712962966</v>
      </c>
      <c r="C378" s="10">
        <v>16</v>
      </c>
      <c r="D378" s="11" t="s">
        <v>20</v>
      </c>
      <c r="E378" s="10">
        <v>64</v>
      </c>
      <c r="F378" s="12">
        <v>15</v>
      </c>
      <c r="G378" s="12">
        <f t="shared" si="25"/>
        <v>960</v>
      </c>
      <c r="H378" s="13">
        <v>14</v>
      </c>
      <c r="I378" s="13">
        <f t="shared" si="27"/>
        <v>896</v>
      </c>
      <c r="J378" s="8">
        <f t="shared" si="28"/>
        <v>64</v>
      </c>
      <c r="K378" s="10">
        <v>95</v>
      </c>
      <c r="L378" s="11" t="s">
        <v>34</v>
      </c>
      <c r="M378" s="30" t="s">
        <v>25</v>
      </c>
      <c r="N378" s="33">
        <f t="shared" si="29"/>
        <v>6.6666666666666666E-2</v>
      </c>
    </row>
    <row r="379" spans="1:14">
      <c r="A379" t="str">
        <f t="shared" si="26"/>
        <v>2011-09</v>
      </c>
      <c r="B379" s="9">
        <v>40810.195717592593</v>
      </c>
      <c r="C379" s="10">
        <v>4</v>
      </c>
      <c r="D379" s="11" t="s">
        <v>44</v>
      </c>
      <c r="E379" s="10">
        <v>37</v>
      </c>
      <c r="F379" s="12">
        <v>9</v>
      </c>
      <c r="G379" s="12">
        <f t="shared" si="25"/>
        <v>333</v>
      </c>
      <c r="H379" s="13">
        <v>7</v>
      </c>
      <c r="I379" s="13">
        <f t="shared" si="27"/>
        <v>259</v>
      </c>
      <c r="J379" s="8">
        <f t="shared" si="28"/>
        <v>74</v>
      </c>
      <c r="K379" s="10">
        <v>572</v>
      </c>
      <c r="L379" s="11" t="s">
        <v>31</v>
      </c>
      <c r="M379" s="30" t="s">
        <v>21</v>
      </c>
      <c r="N379" s="33">
        <f t="shared" si="29"/>
        <v>0.22222222222222221</v>
      </c>
    </row>
    <row r="380" spans="1:14">
      <c r="A380" t="str">
        <f t="shared" si="26"/>
        <v>2011-09</v>
      </c>
      <c r="B380" s="9">
        <v>40810.682511574072</v>
      </c>
      <c r="C380" s="10">
        <v>30</v>
      </c>
      <c r="D380" s="11" t="s">
        <v>23</v>
      </c>
      <c r="E380" s="10">
        <v>91</v>
      </c>
      <c r="F380" s="12">
        <v>12</v>
      </c>
      <c r="G380" s="12">
        <f t="shared" si="25"/>
        <v>1092</v>
      </c>
      <c r="H380" s="13">
        <v>8</v>
      </c>
      <c r="I380" s="13">
        <f t="shared" si="27"/>
        <v>728</v>
      </c>
      <c r="J380" s="8">
        <f t="shared" si="28"/>
        <v>364</v>
      </c>
      <c r="K380" s="10">
        <v>23</v>
      </c>
      <c r="L380" s="11" t="s">
        <v>32</v>
      </c>
      <c r="M380" s="30" t="s">
        <v>25</v>
      </c>
      <c r="N380" s="33">
        <f t="shared" si="29"/>
        <v>0.33333333333333331</v>
      </c>
    </row>
    <row r="381" spans="1:14">
      <c r="A381" t="str">
        <f t="shared" si="26"/>
        <v>2011-09</v>
      </c>
      <c r="B381" s="9">
        <v>40813.922175925924</v>
      </c>
      <c r="C381" s="10">
        <v>4</v>
      </c>
      <c r="D381" s="11" t="s">
        <v>44</v>
      </c>
      <c r="E381" s="10">
        <v>78</v>
      </c>
      <c r="F381" s="12">
        <v>9</v>
      </c>
      <c r="G381" s="12">
        <f t="shared" si="25"/>
        <v>702</v>
      </c>
      <c r="H381" s="13">
        <v>7</v>
      </c>
      <c r="I381" s="13">
        <f t="shared" si="27"/>
        <v>546</v>
      </c>
      <c r="J381" s="8">
        <f t="shared" si="28"/>
        <v>156</v>
      </c>
      <c r="K381" s="10">
        <v>14</v>
      </c>
      <c r="L381" s="11" t="s">
        <v>27</v>
      </c>
      <c r="M381" s="30" t="s">
        <v>21</v>
      </c>
      <c r="N381" s="33">
        <f t="shared" si="29"/>
        <v>0.22222222222222221</v>
      </c>
    </row>
    <row r="382" spans="1:14">
      <c r="A382" t="str">
        <f t="shared" si="26"/>
        <v>2011-09</v>
      </c>
      <c r="B382" s="9">
        <v>40815.47314814815</v>
      </c>
      <c r="C382" s="10">
        <v>30</v>
      </c>
      <c r="D382" s="11" t="s">
        <v>23</v>
      </c>
      <c r="E382" s="10">
        <v>95</v>
      </c>
      <c r="F382" s="12">
        <v>12</v>
      </c>
      <c r="G382" s="12">
        <f t="shared" si="25"/>
        <v>1140</v>
      </c>
      <c r="H382" s="13">
        <v>8</v>
      </c>
      <c r="I382" s="13">
        <f t="shared" si="27"/>
        <v>760</v>
      </c>
      <c r="J382" s="8">
        <f t="shared" si="28"/>
        <v>380</v>
      </c>
      <c r="K382" s="10">
        <v>23</v>
      </c>
      <c r="L382" s="11" t="s">
        <v>32</v>
      </c>
      <c r="M382" s="30" t="s">
        <v>25</v>
      </c>
      <c r="N382" s="33">
        <f t="shared" si="29"/>
        <v>0.33333333333333331</v>
      </c>
    </row>
    <row r="383" spans="1:14">
      <c r="A383" t="str">
        <f t="shared" si="26"/>
        <v>2011-09</v>
      </c>
      <c r="B383" s="9">
        <v>40816.131631944445</v>
      </c>
      <c r="C383" s="10">
        <v>30</v>
      </c>
      <c r="D383" s="11" t="s">
        <v>23</v>
      </c>
      <c r="E383" s="10">
        <v>46</v>
      </c>
      <c r="F383" s="12">
        <v>12</v>
      </c>
      <c r="G383" s="12">
        <f t="shared" si="25"/>
        <v>552</v>
      </c>
      <c r="H383" s="13">
        <v>8</v>
      </c>
      <c r="I383" s="13">
        <f t="shared" si="27"/>
        <v>368</v>
      </c>
      <c r="J383" s="8">
        <f t="shared" si="28"/>
        <v>184</v>
      </c>
      <c r="K383" s="10">
        <v>572</v>
      </c>
      <c r="L383" s="11" t="s">
        <v>31</v>
      </c>
      <c r="M383" s="30" t="s">
        <v>25</v>
      </c>
      <c r="N383" s="33">
        <f t="shared" si="29"/>
        <v>0.33333333333333331</v>
      </c>
    </row>
    <row r="384" spans="1:14">
      <c r="A384" t="str">
        <f t="shared" si="26"/>
        <v>2011-09</v>
      </c>
      <c r="B384" s="9">
        <v>40816.456724537034</v>
      </c>
      <c r="C384" s="10">
        <v>16</v>
      </c>
      <c r="D384" s="11" t="s">
        <v>20</v>
      </c>
      <c r="E384" s="10">
        <v>46</v>
      </c>
      <c r="F384" s="12">
        <v>15</v>
      </c>
      <c r="G384" s="12">
        <f t="shared" si="25"/>
        <v>690</v>
      </c>
      <c r="H384" s="13">
        <v>14</v>
      </c>
      <c r="I384" s="13">
        <f t="shared" si="27"/>
        <v>644</v>
      </c>
      <c r="J384" s="8">
        <f t="shared" si="28"/>
        <v>46</v>
      </c>
      <c r="K384" s="10">
        <v>557</v>
      </c>
      <c r="L384" s="11" t="s">
        <v>36</v>
      </c>
      <c r="M384" s="30" t="s">
        <v>25</v>
      </c>
      <c r="N384" s="33">
        <f t="shared" si="29"/>
        <v>6.6666666666666666E-2</v>
      </c>
    </row>
    <row r="385" spans="1:14">
      <c r="A385" t="str">
        <f t="shared" si="26"/>
        <v>2011-09</v>
      </c>
      <c r="B385" s="9">
        <v>40816.729953703703</v>
      </c>
      <c r="C385" s="10">
        <v>100</v>
      </c>
      <c r="D385" s="11" t="s">
        <v>40</v>
      </c>
      <c r="E385" s="10">
        <v>65</v>
      </c>
      <c r="F385" s="12">
        <v>8</v>
      </c>
      <c r="G385" s="12">
        <f t="shared" si="25"/>
        <v>520</v>
      </c>
      <c r="H385" s="13">
        <v>4</v>
      </c>
      <c r="I385" s="13">
        <f t="shared" si="27"/>
        <v>260</v>
      </c>
      <c r="J385" s="8">
        <f t="shared" si="28"/>
        <v>260</v>
      </c>
      <c r="K385" s="10">
        <v>846</v>
      </c>
      <c r="L385" s="11" t="s">
        <v>35</v>
      </c>
      <c r="M385" s="30" t="s">
        <v>18</v>
      </c>
      <c r="N385" s="33">
        <f t="shared" si="29"/>
        <v>0.5</v>
      </c>
    </row>
    <row r="386" spans="1:14">
      <c r="A386" t="str">
        <f t="shared" si="26"/>
        <v>2011-09</v>
      </c>
      <c r="B386" s="9">
        <v>40816.751168981478</v>
      </c>
      <c r="C386" s="10">
        <v>31</v>
      </c>
      <c r="D386" s="11" t="s">
        <v>46</v>
      </c>
      <c r="E386" s="10">
        <v>25</v>
      </c>
      <c r="F386" s="12">
        <v>21</v>
      </c>
      <c r="G386" s="12">
        <f t="shared" ref="G386:G449" si="30">E386*F386</f>
        <v>525</v>
      </c>
      <c r="H386" s="13">
        <v>12</v>
      </c>
      <c r="I386" s="13">
        <f t="shared" si="27"/>
        <v>300</v>
      </c>
      <c r="J386" s="8">
        <f t="shared" si="28"/>
        <v>225</v>
      </c>
      <c r="K386" s="10">
        <v>572</v>
      </c>
      <c r="L386" s="11" t="s">
        <v>31</v>
      </c>
      <c r="M386" s="30" t="s">
        <v>25</v>
      </c>
      <c r="N386" s="33">
        <f t="shared" si="29"/>
        <v>0.42857142857142855</v>
      </c>
    </row>
    <row r="387" spans="1:14">
      <c r="A387" t="str">
        <f t="shared" ref="A387:A450" si="31">TEXT(B387, "YYYY-MM")</f>
        <v>2011-10</v>
      </c>
      <c r="B387" s="9">
        <v>40818.047939814816</v>
      </c>
      <c r="C387" s="10">
        <v>98</v>
      </c>
      <c r="D387" s="11" t="s">
        <v>58</v>
      </c>
      <c r="E387" s="10">
        <v>60</v>
      </c>
      <c r="F387" s="12">
        <v>18</v>
      </c>
      <c r="G387" s="12">
        <f t="shared" si="30"/>
        <v>1080</v>
      </c>
      <c r="H387" s="13">
        <v>8</v>
      </c>
      <c r="I387" s="13">
        <f t="shared" ref="I387:I450" si="32">E387*H387</f>
        <v>480</v>
      </c>
      <c r="J387" s="8">
        <f t="shared" ref="J387:J450" si="33">G387-I387</f>
        <v>600</v>
      </c>
      <c r="K387" s="10">
        <v>6</v>
      </c>
      <c r="L387" s="11" t="s">
        <v>33</v>
      </c>
      <c r="M387" s="30" t="s">
        <v>21</v>
      </c>
      <c r="N387" s="33">
        <f t="shared" ref="N387:N450" si="34">J387/G387</f>
        <v>0.55555555555555558</v>
      </c>
    </row>
    <row r="388" spans="1:14">
      <c r="A388" t="str">
        <f t="shared" si="31"/>
        <v>2011-10</v>
      </c>
      <c r="B388" s="9">
        <v>40818.49391203704</v>
      </c>
      <c r="C388" s="10">
        <v>31</v>
      </c>
      <c r="D388" s="11" t="s">
        <v>46</v>
      </c>
      <c r="E388" s="10">
        <v>78</v>
      </c>
      <c r="F388" s="12">
        <v>21</v>
      </c>
      <c r="G388" s="12">
        <f t="shared" si="30"/>
        <v>1638</v>
      </c>
      <c r="H388" s="13">
        <v>12</v>
      </c>
      <c r="I388" s="13">
        <f t="shared" si="32"/>
        <v>936</v>
      </c>
      <c r="J388" s="8">
        <f t="shared" si="33"/>
        <v>702</v>
      </c>
      <c r="K388" s="10">
        <v>572</v>
      </c>
      <c r="L388" s="11" t="s">
        <v>31</v>
      </c>
      <c r="M388" s="30" t="s">
        <v>21</v>
      </c>
      <c r="N388" s="33">
        <f t="shared" si="34"/>
        <v>0.42857142857142855</v>
      </c>
    </row>
    <row r="389" spans="1:14">
      <c r="A389" t="str">
        <f t="shared" si="31"/>
        <v>2011-10</v>
      </c>
      <c r="B389" s="9">
        <v>40820.815775462965</v>
      </c>
      <c r="C389" s="10">
        <v>16</v>
      </c>
      <c r="D389" s="11" t="s">
        <v>20</v>
      </c>
      <c r="E389" s="10">
        <v>36</v>
      </c>
      <c r="F389" s="12">
        <v>15</v>
      </c>
      <c r="G389" s="12">
        <f t="shared" si="30"/>
        <v>540</v>
      </c>
      <c r="H389" s="13">
        <v>14</v>
      </c>
      <c r="I389" s="13">
        <f t="shared" si="32"/>
        <v>504</v>
      </c>
      <c r="J389" s="8">
        <f t="shared" si="33"/>
        <v>36</v>
      </c>
      <c r="K389" s="10">
        <v>686</v>
      </c>
      <c r="L389" s="11" t="s">
        <v>56</v>
      </c>
      <c r="M389" s="30" t="s">
        <v>21</v>
      </c>
      <c r="N389" s="33">
        <f t="shared" si="34"/>
        <v>6.6666666666666666E-2</v>
      </c>
    </row>
    <row r="390" spans="1:14">
      <c r="A390" t="str">
        <f t="shared" si="31"/>
        <v>2011-10</v>
      </c>
      <c r="B390" s="9">
        <v>40821.289560185185</v>
      </c>
      <c r="C390" s="10">
        <v>22</v>
      </c>
      <c r="D390" s="11" t="s">
        <v>16</v>
      </c>
      <c r="E390" s="10">
        <v>36</v>
      </c>
      <c r="F390" s="12">
        <v>24</v>
      </c>
      <c r="G390" s="12">
        <f t="shared" si="30"/>
        <v>864</v>
      </c>
      <c r="H390" s="13">
        <v>18</v>
      </c>
      <c r="I390" s="13">
        <f t="shared" si="32"/>
        <v>648</v>
      </c>
      <c r="J390" s="8">
        <f t="shared" si="33"/>
        <v>216</v>
      </c>
      <c r="K390" s="10">
        <v>95</v>
      </c>
      <c r="L390" s="11" t="s">
        <v>34</v>
      </c>
      <c r="M390" s="30" t="s">
        <v>18</v>
      </c>
      <c r="N390" s="33">
        <f t="shared" si="34"/>
        <v>0.25</v>
      </c>
    </row>
    <row r="391" spans="1:14">
      <c r="A391" t="str">
        <f t="shared" si="31"/>
        <v>2011-10</v>
      </c>
      <c r="B391" s="9">
        <v>40821.507777777777</v>
      </c>
      <c r="C391" s="10">
        <v>4</v>
      </c>
      <c r="D391" s="11" t="s">
        <v>44</v>
      </c>
      <c r="E391" s="10">
        <v>75</v>
      </c>
      <c r="F391" s="12">
        <v>9</v>
      </c>
      <c r="G391" s="12">
        <f t="shared" si="30"/>
        <v>675</v>
      </c>
      <c r="H391" s="13">
        <v>7</v>
      </c>
      <c r="I391" s="13">
        <f t="shared" si="32"/>
        <v>525</v>
      </c>
      <c r="J391" s="8">
        <f t="shared" si="33"/>
        <v>150</v>
      </c>
      <c r="K391" s="10">
        <v>6</v>
      </c>
      <c r="L391" s="11" t="s">
        <v>33</v>
      </c>
      <c r="M391" s="30" t="s">
        <v>25</v>
      </c>
      <c r="N391" s="33">
        <f t="shared" si="34"/>
        <v>0.22222222222222221</v>
      </c>
    </row>
    <row r="392" spans="1:14">
      <c r="A392" t="str">
        <f t="shared" si="31"/>
        <v>2011-10</v>
      </c>
      <c r="B392" s="9">
        <v>40822.272013888891</v>
      </c>
      <c r="C392" s="10">
        <v>16</v>
      </c>
      <c r="D392" s="11" t="s">
        <v>20</v>
      </c>
      <c r="E392" s="10">
        <v>91</v>
      </c>
      <c r="F392" s="12">
        <v>15</v>
      </c>
      <c r="G392" s="12">
        <f t="shared" si="30"/>
        <v>1365</v>
      </c>
      <c r="H392" s="13">
        <v>14</v>
      </c>
      <c r="I392" s="13">
        <f t="shared" si="32"/>
        <v>1274</v>
      </c>
      <c r="J392" s="8">
        <f t="shared" si="33"/>
        <v>91</v>
      </c>
      <c r="K392" s="10">
        <v>14</v>
      </c>
      <c r="L392" s="11" t="s">
        <v>27</v>
      </c>
      <c r="M392" s="30" t="s">
        <v>25</v>
      </c>
      <c r="N392" s="33">
        <f t="shared" si="34"/>
        <v>6.6666666666666666E-2</v>
      </c>
    </row>
    <row r="393" spans="1:14">
      <c r="A393" t="str">
        <f t="shared" si="31"/>
        <v>2011-10</v>
      </c>
      <c r="B393" s="9">
        <v>40823.469756944447</v>
      </c>
      <c r="C393" s="10">
        <v>4</v>
      </c>
      <c r="D393" s="11" t="s">
        <v>44</v>
      </c>
      <c r="E393" s="10">
        <v>74</v>
      </c>
      <c r="F393" s="12">
        <v>9</v>
      </c>
      <c r="G393" s="12">
        <f t="shared" si="30"/>
        <v>666</v>
      </c>
      <c r="H393" s="13">
        <v>7</v>
      </c>
      <c r="I393" s="13">
        <f t="shared" si="32"/>
        <v>518</v>
      </c>
      <c r="J393" s="8">
        <f t="shared" si="33"/>
        <v>148</v>
      </c>
      <c r="K393" s="10">
        <v>23</v>
      </c>
      <c r="L393" s="11" t="s">
        <v>32</v>
      </c>
      <c r="M393" s="30" t="s">
        <v>25</v>
      </c>
      <c r="N393" s="33">
        <f t="shared" si="34"/>
        <v>0.22222222222222221</v>
      </c>
    </row>
    <row r="394" spans="1:14">
      <c r="A394" t="str">
        <f t="shared" si="31"/>
        <v>2011-10</v>
      </c>
      <c r="B394" s="9">
        <v>40824.127314814818</v>
      </c>
      <c r="C394" s="10">
        <v>16</v>
      </c>
      <c r="D394" s="11" t="s">
        <v>20</v>
      </c>
      <c r="E394" s="10">
        <v>5</v>
      </c>
      <c r="F394" s="12">
        <v>15</v>
      </c>
      <c r="G394" s="12">
        <f t="shared" si="30"/>
        <v>75</v>
      </c>
      <c r="H394" s="13">
        <v>14</v>
      </c>
      <c r="I394" s="13">
        <f t="shared" si="32"/>
        <v>70</v>
      </c>
      <c r="J394" s="8">
        <f t="shared" si="33"/>
        <v>5</v>
      </c>
      <c r="K394" s="10">
        <v>6</v>
      </c>
      <c r="L394" s="11" t="s">
        <v>33</v>
      </c>
      <c r="M394" s="30" t="s">
        <v>25</v>
      </c>
      <c r="N394" s="33">
        <f t="shared" si="34"/>
        <v>6.6666666666666666E-2</v>
      </c>
    </row>
    <row r="395" spans="1:14">
      <c r="A395" t="str">
        <f t="shared" si="31"/>
        <v>2011-10</v>
      </c>
      <c r="B395" s="9">
        <v>40825.496041666665</v>
      </c>
      <c r="C395" s="10">
        <v>100</v>
      </c>
      <c r="D395" s="11" t="s">
        <v>40</v>
      </c>
      <c r="E395" s="10">
        <v>43</v>
      </c>
      <c r="F395" s="12">
        <v>8</v>
      </c>
      <c r="G395" s="12">
        <f t="shared" si="30"/>
        <v>344</v>
      </c>
      <c r="H395" s="13">
        <v>4</v>
      </c>
      <c r="I395" s="13">
        <f t="shared" si="32"/>
        <v>172</v>
      </c>
      <c r="J395" s="8">
        <f t="shared" si="33"/>
        <v>172</v>
      </c>
      <c r="K395" s="10">
        <v>14</v>
      </c>
      <c r="L395" s="11" t="s">
        <v>27</v>
      </c>
      <c r="M395" s="30" t="s">
        <v>21</v>
      </c>
      <c r="N395" s="33">
        <f t="shared" si="34"/>
        <v>0.5</v>
      </c>
    </row>
    <row r="396" spans="1:14">
      <c r="A396" t="str">
        <f t="shared" si="31"/>
        <v>2011-10</v>
      </c>
      <c r="B396" s="9">
        <v>40825.653900462959</v>
      </c>
      <c r="C396" s="10">
        <v>30</v>
      </c>
      <c r="D396" s="11" t="s">
        <v>23</v>
      </c>
      <c r="E396" s="10">
        <v>94</v>
      </c>
      <c r="F396" s="12">
        <v>12</v>
      </c>
      <c r="G396" s="12">
        <f t="shared" si="30"/>
        <v>1128</v>
      </c>
      <c r="H396" s="13">
        <v>8</v>
      </c>
      <c r="I396" s="13">
        <f t="shared" si="32"/>
        <v>752</v>
      </c>
      <c r="J396" s="8">
        <f t="shared" si="33"/>
        <v>376</v>
      </c>
      <c r="K396" s="10">
        <v>572</v>
      </c>
      <c r="L396" s="11" t="s">
        <v>31</v>
      </c>
      <c r="M396" s="30" t="s">
        <v>18</v>
      </c>
      <c r="N396" s="33">
        <f t="shared" si="34"/>
        <v>0.33333333333333331</v>
      </c>
    </row>
    <row r="397" spans="1:14">
      <c r="A397" t="str">
        <f t="shared" si="31"/>
        <v>2011-10</v>
      </c>
      <c r="B397" s="9">
        <v>40825.761469907404</v>
      </c>
      <c r="C397" s="10">
        <v>31</v>
      </c>
      <c r="D397" s="11" t="s">
        <v>46</v>
      </c>
      <c r="E397" s="10">
        <v>57</v>
      </c>
      <c r="F397" s="12">
        <v>21</v>
      </c>
      <c r="G397" s="12">
        <f t="shared" si="30"/>
        <v>1197</v>
      </c>
      <c r="H397" s="13">
        <v>12</v>
      </c>
      <c r="I397" s="13">
        <f t="shared" si="32"/>
        <v>684</v>
      </c>
      <c r="J397" s="8">
        <f t="shared" si="33"/>
        <v>513</v>
      </c>
      <c r="K397" s="10">
        <v>686</v>
      </c>
      <c r="L397" s="11" t="s">
        <v>56</v>
      </c>
      <c r="M397" s="30" t="s">
        <v>21</v>
      </c>
      <c r="N397" s="33">
        <f t="shared" si="34"/>
        <v>0.42857142857142855</v>
      </c>
    </row>
    <row r="398" spans="1:14">
      <c r="A398" t="str">
        <f t="shared" si="31"/>
        <v>2011-10</v>
      </c>
      <c r="B398" s="9">
        <v>40827.00712962963</v>
      </c>
      <c r="C398" s="10">
        <v>100</v>
      </c>
      <c r="D398" s="11" t="s">
        <v>40</v>
      </c>
      <c r="E398" s="10">
        <v>69</v>
      </c>
      <c r="F398" s="12">
        <v>8</v>
      </c>
      <c r="G398" s="12">
        <f t="shared" si="30"/>
        <v>552</v>
      </c>
      <c r="H398" s="13">
        <v>4</v>
      </c>
      <c r="I398" s="13">
        <f t="shared" si="32"/>
        <v>276</v>
      </c>
      <c r="J398" s="8">
        <f t="shared" si="33"/>
        <v>276</v>
      </c>
      <c r="K398" s="10">
        <v>6</v>
      </c>
      <c r="L398" s="11" t="s">
        <v>33</v>
      </c>
      <c r="M398" s="30" t="s">
        <v>21</v>
      </c>
      <c r="N398" s="33">
        <f t="shared" si="34"/>
        <v>0.5</v>
      </c>
    </row>
    <row r="399" spans="1:14">
      <c r="A399" t="str">
        <f t="shared" si="31"/>
        <v>2011-10</v>
      </c>
      <c r="B399" s="9">
        <v>40828.009131944447</v>
      </c>
      <c r="C399" s="10">
        <v>4</v>
      </c>
      <c r="D399" s="11" t="s">
        <v>44</v>
      </c>
      <c r="E399" s="10">
        <v>37</v>
      </c>
      <c r="F399" s="12">
        <v>9</v>
      </c>
      <c r="G399" s="12">
        <f t="shared" si="30"/>
        <v>333</v>
      </c>
      <c r="H399" s="13">
        <v>7</v>
      </c>
      <c r="I399" s="13">
        <f t="shared" si="32"/>
        <v>259</v>
      </c>
      <c r="J399" s="8">
        <f t="shared" si="33"/>
        <v>74</v>
      </c>
      <c r="K399" s="10">
        <v>846</v>
      </c>
      <c r="L399" s="11" t="s">
        <v>35</v>
      </c>
      <c r="M399" s="30" t="s">
        <v>25</v>
      </c>
      <c r="N399" s="33">
        <f t="shared" si="34"/>
        <v>0.22222222222222221</v>
      </c>
    </row>
    <row r="400" spans="1:14">
      <c r="A400" t="str">
        <f t="shared" si="31"/>
        <v>2011-10</v>
      </c>
      <c r="B400" s="9">
        <v>40829.728356481479</v>
      </c>
      <c r="C400" s="10">
        <v>16</v>
      </c>
      <c r="D400" s="11" t="s">
        <v>20</v>
      </c>
      <c r="E400" s="10">
        <v>90</v>
      </c>
      <c r="F400" s="12">
        <v>15</v>
      </c>
      <c r="G400" s="12">
        <f t="shared" si="30"/>
        <v>1350</v>
      </c>
      <c r="H400" s="13">
        <v>14</v>
      </c>
      <c r="I400" s="13">
        <f t="shared" si="32"/>
        <v>1260</v>
      </c>
      <c r="J400" s="8">
        <f t="shared" si="33"/>
        <v>90</v>
      </c>
      <c r="K400" s="10">
        <v>572</v>
      </c>
      <c r="L400" s="11" t="s">
        <v>31</v>
      </c>
      <c r="M400" s="30" t="s">
        <v>25</v>
      </c>
      <c r="N400" s="33">
        <f t="shared" si="34"/>
        <v>6.6666666666666666E-2</v>
      </c>
    </row>
    <row r="401" spans="1:14">
      <c r="A401" t="str">
        <f t="shared" si="31"/>
        <v>2011-10</v>
      </c>
      <c r="B401" s="9">
        <v>40830.033807870372</v>
      </c>
      <c r="C401" s="10">
        <v>31</v>
      </c>
      <c r="D401" s="11" t="s">
        <v>46</v>
      </c>
      <c r="E401" s="10">
        <v>7</v>
      </c>
      <c r="F401" s="12">
        <v>21</v>
      </c>
      <c r="G401" s="12">
        <f t="shared" si="30"/>
        <v>147</v>
      </c>
      <c r="H401" s="13">
        <v>12</v>
      </c>
      <c r="I401" s="13">
        <f t="shared" si="32"/>
        <v>84</v>
      </c>
      <c r="J401" s="8">
        <f t="shared" si="33"/>
        <v>63</v>
      </c>
      <c r="K401" s="10">
        <v>846</v>
      </c>
      <c r="L401" s="11" t="s">
        <v>35</v>
      </c>
      <c r="M401" s="30" t="s">
        <v>18</v>
      </c>
      <c r="N401" s="33">
        <f t="shared" si="34"/>
        <v>0.42857142857142855</v>
      </c>
    </row>
    <row r="402" spans="1:14">
      <c r="A402" t="str">
        <f t="shared" si="31"/>
        <v>2011-10</v>
      </c>
      <c r="B402" s="9">
        <v>40830.131782407407</v>
      </c>
      <c r="C402" s="10">
        <v>2</v>
      </c>
      <c r="D402" s="11" t="s">
        <v>30</v>
      </c>
      <c r="E402" s="10">
        <v>72</v>
      </c>
      <c r="F402" s="12">
        <v>12</v>
      </c>
      <c r="G402" s="12">
        <f t="shared" si="30"/>
        <v>864</v>
      </c>
      <c r="H402" s="13">
        <v>6</v>
      </c>
      <c r="I402" s="13">
        <f t="shared" si="32"/>
        <v>432</v>
      </c>
      <c r="J402" s="8">
        <f t="shared" si="33"/>
        <v>432</v>
      </c>
      <c r="K402" s="10">
        <v>686</v>
      </c>
      <c r="L402" s="11" t="s">
        <v>56</v>
      </c>
      <c r="M402" s="30" t="s">
        <v>21</v>
      </c>
      <c r="N402" s="33">
        <f t="shared" si="34"/>
        <v>0.5</v>
      </c>
    </row>
    <row r="403" spans="1:14">
      <c r="A403" t="str">
        <f t="shared" si="31"/>
        <v>2011-10</v>
      </c>
      <c r="B403" s="9">
        <v>40831.051099537035</v>
      </c>
      <c r="C403" s="10">
        <v>85</v>
      </c>
      <c r="D403" s="11" t="s">
        <v>38</v>
      </c>
      <c r="E403" s="10">
        <v>45</v>
      </c>
      <c r="F403" s="12">
        <v>53</v>
      </c>
      <c r="G403" s="12">
        <f t="shared" si="30"/>
        <v>2385</v>
      </c>
      <c r="H403" s="13">
        <v>35</v>
      </c>
      <c r="I403" s="13">
        <f t="shared" si="32"/>
        <v>1575</v>
      </c>
      <c r="J403" s="8">
        <f t="shared" si="33"/>
        <v>810</v>
      </c>
      <c r="K403" s="10">
        <v>14</v>
      </c>
      <c r="L403" s="11" t="s">
        <v>27</v>
      </c>
      <c r="M403" s="30" t="s">
        <v>21</v>
      </c>
      <c r="N403" s="33">
        <f t="shared" si="34"/>
        <v>0.33962264150943394</v>
      </c>
    </row>
    <row r="404" spans="1:14">
      <c r="A404" t="str">
        <f t="shared" si="31"/>
        <v>2011-10</v>
      </c>
      <c r="B404" s="9">
        <v>40831.410150462965</v>
      </c>
      <c r="C404" s="10">
        <v>6</v>
      </c>
      <c r="D404" s="11" t="s">
        <v>60</v>
      </c>
      <c r="E404" s="10">
        <v>52</v>
      </c>
      <c r="F404" s="12">
        <v>55</v>
      </c>
      <c r="G404" s="12">
        <f t="shared" si="30"/>
        <v>2860</v>
      </c>
      <c r="H404" s="13">
        <v>25</v>
      </c>
      <c r="I404" s="13">
        <f t="shared" si="32"/>
        <v>1300</v>
      </c>
      <c r="J404" s="8">
        <f t="shared" si="33"/>
        <v>1560</v>
      </c>
      <c r="K404" s="10">
        <v>14</v>
      </c>
      <c r="L404" s="11" t="s">
        <v>27</v>
      </c>
      <c r="M404" s="30" t="s">
        <v>25</v>
      </c>
      <c r="N404" s="33">
        <f t="shared" si="34"/>
        <v>0.54545454545454541</v>
      </c>
    </row>
    <row r="405" spans="1:14">
      <c r="A405" t="str">
        <f t="shared" si="31"/>
        <v>2011-10</v>
      </c>
      <c r="B405" s="9">
        <v>40833.022488425922</v>
      </c>
      <c r="C405" s="10">
        <v>16</v>
      </c>
      <c r="D405" s="11" t="s">
        <v>20</v>
      </c>
      <c r="E405" s="10">
        <v>92</v>
      </c>
      <c r="F405" s="12">
        <v>15</v>
      </c>
      <c r="G405" s="12">
        <f t="shared" si="30"/>
        <v>1380</v>
      </c>
      <c r="H405" s="13">
        <v>14</v>
      </c>
      <c r="I405" s="13">
        <f t="shared" si="32"/>
        <v>1288</v>
      </c>
      <c r="J405" s="8">
        <f t="shared" si="33"/>
        <v>92</v>
      </c>
      <c r="K405" s="10">
        <v>95</v>
      </c>
      <c r="L405" s="11" t="s">
        <v>34</v>
      </c>
      <c r="M405" s="30" t="s">
        <v>25</v>
      </c>
      <c r="N405" s="33">
        <f t="shared" si="34"/>
        <v>6.6666666666666666E-2</v>
      </c>
    </row>
    <row r="406" spans="1:14">
      <c r="A406" t="str">
        <f t="shared" si="31"/>
        <v>2011-10</v>
      </c>
      <c r="B406" s="9">
        <v>40833.624085648145</v>
      </c>
      <c r="C406" s="10">
        <v>100</v>
      </c>
      <c r="D406" s="11" t="s">
        <v>40</v>
      </c>
      <c r="E406" s="10">
        <v>55</v>
      </c>
      <c r="F406" s="12">
        <v>8</v>
      </c>
      <c r="G406" s="12">
        <f t="shared" si="30"/>
        <v>440</v>
      </c>
      <c r="H406" s="13">
        <v>4</v>
      </c>
      <c r="I406" s="13">
        <f t="shared" si="32"/>
        <v>220</v>
      </c>
      <c r="J406" s="8">
        <f t="shared" si="33"/>
        <v>220</v>
      </c>
      <c r="K406" s="10">
        <v>572</v>
      </c>
      <c r="L406" s="11" t="s">
        <v>31</v>
      </c>
      <c r="M406" s="30" t="s">
        <v>25</v>
      </c>
      <c r="N406" s="33">
        <f t="shared" si="34"/>
        <v>0.5</v>
      </c>
    </row>
    <row r="407" spans="1:14">
      <c r="A407" t="str">
        <f t="shared" si="31"/>
        <v>2011-10</v>
      </c>
      <c r="B407" s="9">
        <v>40834.27547453704</v>
      </c>
      <c r="C407" s="10">
        <v>31</v>
      </c>
      <c r="D407" s="11" t="s">
        <v>46</v>
      </c>
      <c r="E407" s="10">
        <v>72</v>
      </c>
      <c r="F407" s="12">
        <v>21</v>
      </c>
      <c r="G407" s="12">
        <f t="shared" si="30"/>
        <v>1512</v>
      </c>
      <c r="H407" s="13">
        <v>12</v>
      </c>
      <c r="I407" s="13">
        <f t="shared" si="32"/>
        <v>864</v>
      </c>
      <c r="J407" s="8">
        <f t="shared" si="33"/>
        <v>648</v>
      </c>
      <c r="K407" s="10">
        <v>95</v>
      </c>
      <c r="L407" s="11" t="s">
        <v>34</v>
      </c>
      <c r="M407" s="30" t="s">
        <v>18</v>
      </c>
      <c r="N407" s="33">
        <f t="shared" si="34"/>
        <v>0.42857142857142855</v>
      </c>
    </row>
    <row r="408" spans="1:14">
      <c r="A408" t="str">
        <f t="shared" si="31"/>
        <v>2011-10</v>
      </c>
      <c r="B408" s="9">
        <v>40835.273819444446</v>
      </c>
      <c r="C408" s="10">
        <v>31</v>
      </c>
      <c r="D408" s="11" t="s">
        <v>46</v>
      </c>
      <c r="E408" s="10">
        <v>66</v>
      </c>
      <c r="F408" s="12">
        <v>21</v>
      </c>
      <c r="G408" s="12">
        <f t="shared" si="30"/>
        <v>1386</v>
      </c>
      <c r="H408" s="13">
        <v>12</v>
      </c>
      <c r="I408" s="13">
        <f t="shared" si="32"/>
        <v>792</v>
      </c>
      <c r="J408" s="8">
        <f t="shared" si="33"/>
        <v>594</v>
      </c>
      <c r="K408" s="10">
        <v>6</v>
      </c>
      <c r="L408" s="11" t="s">
        <v>33</v>
      </c>
      <c r="M408" s="30" t="s">
        <v>21</v>
      </c>
      <c r="N408" s="33">
        <f t="shared" si="34"/>
        <v>0.42857142857142855</v>
      </c>
    </row>
    <row r="409" spans="1:14">
      <c r="A409" t="str">
        <f t="shared" si="31"/>
        <v>2011-10</v>
      </c>
      <c r="B409" s="9">
        <v>40836.018935185188</v>
      </c>
      <c r="C409" s="10">
        <v>22</v>
      </c>
      <c r="D409" s="11" t="s">
        <v>16</v>
      </c>
      <c r="E409" s="10">
        <v>27</v>
      </c>
      <c r="F409" s="12">
        <v>24</v>
      </c>
      <c r="G409" s="12">
        <f t="shared" si="30"/>
        <v>648</v>
      </c>
      <c r="H409" s="13">
        <v>18</v>
      </c>
      <c r="I409" s="13">
        <f t="shared" si="32"/>
        <v>486</v>
      </c>
      <c r="J409" s="8">
        <f t="shared" si="33"/>
        <v>162</v>
      </c>
      <c r="K409" s="10">
        <v>686</v>
      </c>
      <c r="L409" s="11" t="s">
        <v>56</v>
      </c>
      <c r="M409" s="30" t="s">
        <v>25</v>
      </c>
      <c r="N409" s="33">
        <f t="shared" si="34"/>
        <v>0.25</v>
      </c>
    </row>
    <row r="410" spans="1:14">
      <c r="A410" t="str">
        <f t="shared" si="31"/>
        <v>2011-10</v>
      </c>
      <c r="B410" s="9">
        <v>40836.52685185185</v>
      </c>
      <c r="C410" s="10">
        <v>31</v>
      </c>
      <c r="D410" s="11" t="s">
        <v>46</v>
      </c>
      <c r="E410" s="10">
        <v>86</v>
      </c>
      <c r="F410" s="12">
        <v>21</v>
      </c>
      <c r="G410" s="12">
        <f t="shared" si="30"/>
        <v>1806</v>
      </c>
      <c r="H410" s="13">
        <v>12</v>
      </c>
      <c r="I410" s="13">
        <f t="shared" si="32"/>
        <v>1032</v>
      </c>
      <c r="J410" s="8">
        <f t="shared" si="33"/>
        <v>774</v>
      </c>
      <c r="K410" s="10">
        <v>14</v>
      </c>
      <c r="L410" s="11" t="s">
        <v>27</v>
      </c>
      <c r="M410" s="30" t="s">
        <v>21</v>
      </c>
      <c r="N410" s="33">
        <f t="shared" si="34"/>
        <v>0.42857142857142855</v>
      </c>
    </row>
    <row r="411" spans="1:14">
      <c r="A411" t="str">
        <f t="shared" si="31"/>
        <v>2011-10</v>
      </c>
      <c r="B411" s="9">
        <v>40836.714918981481</v>
      </c>
      <c r="C411" s="10">
        <v>4</v>
      </c>
      <c r="D411" s="11" t="s">
        <v>44</v>
      </c>
      <c r="E411" s="10">
        <v>57</v>
      </c>
      <c r="F411" s="12">
        <v>9</v>
      </c>
      <c r="G411" s="12">
        <f t="shared" si="30"/>
        <v>513</v>
      </c>
      <c r="H411" s="13">
        <v>7</v>
      </c>
      <c r="I411" s="13">
        <f t="shared" si="32"/>
        <v>399</v>
      </c>
      <c r="J411" s="8">
        <f t="shared" si="33"/>
        <v>114</v>
      </c>
      <c r="K411" s="10">
        <v>572</v>
      </c>
      <c r="L411" s="11" t="s">
        <v>31</v>
      </c>
      <c r="M411" s="30" t="s">
        <v>25</v>
      </c>
      <c r="N411" s="33">
        <f t="shared" si="34"/>
        <v>0.22222222222222221</v>
      </c>
    </row>
    <row r="412" spans="1:14">
      <c r="A412" t="str">
        <f t="shared" si="31"/>
        <v>2011-10</v>
      </c>
      <c r="B412" s="9">
        <v>40838.058958333335</v>
      </c>
      <c r="C412" s="10">
        <v>19</v>
      </c>
      <c r="D412" s="11" t="s">
        <v>47</v>
      </c>
      <c r="E412" s="10">
        <v>49</v>
      </c>
      <c r="F412" s="12">
        <v>36</v>
      </c>
      <c r="G412" s="12">
        <f t="shared" si="30"/>
        <v>1764</v>
      </c>
      <c r="H412" s="13">
        <v>25</v>
      </c>
      <c r="I412" s="13">
        <f t="shared" si="32"/>
        <v>1225</v>
      </c>
      <c r="J412" s="8">
        <f t="shared" si="33"/>
        <v>539</v>
      </c>
      <c r="K412" s="10">
        <v>14</v>
      </c>
      <c r="L412" s="11" t="s">
        <v>27</v>
      </c>
      <c r="M412" s="30" t="s">
        <v>25</v>
      </c>
      <c r="N412" s="33">
        <f t="shared" si="34"/>
        <v>0.30555555555555558</v>
      </c>
    </row>
    <row r="413" spans="1:14">
      <c r="A413" t="str">
        <f t="shared" si="31"/>
        <v>2011-10</v>
      </c>
      <c r="B413" s="9">
        <v>40839.908935185187</v>
      </c>
      <c r="C413" s="10">
        <v>100</v>
      </c>
      <c r="D413" s="11" t="s">
        <v>40</v>
      </c>
      <c r="E413" s="10">
        <v>33</v>
      </c>
      <c r="F413" s="12">
        <v>8</v>
      </c>
      <c r="G413" s="12">
        <f t="shared" si="30"/>
        <v>264</v>
      </c>
      <c r="H413" s="13">
        <v>4</v>
      </c>
      <c r="I413" s="13">
        <f t="shared" si="32"/>
        <v>132</v>
      </c>
      <c r="J413" s="8">
        <f t="shared" si="33"/>
        <v>132</v>
      </c>
      <c r="K413" s="10">
        <v>572</v>
      </c>
      <c r="L413" s="11" t="s">
        <v>31</v>
      </c>
      <c r="M413" s="30" t="s">
        <v>21</v>
      </c>
      <c r="N413" s="33">
        <f t="shared" si="34"/>
        <v>0.5</v>
      </c>
    </row>
    <row r="414" spans="1:14">
      <c r="A414" t="str">
        <f t="shared" si="31"/>
        <v>2011-10</v>
      </c>
      <c r="B414" s="9">
        <v>40840.006354166668</v>
      </c>
      <c r="C414" s="10">
        <v>22</v>
      </c>
      <c r="D414" s="11" t="s">
        <v>16</v>
      </c>
      <c r="E414" s="10">
        <v>48</v>
      </c>
      <c r="F414" s="12">
        <v>24</v>
      </c>
      <c r="G414" s="12">
        <f t="shared" si="30"/>
        <v>1152</v>
      </c>
      <c r="H414" s="13">
        <v>18</v>
      </c>
      <c r="I414" s="13">
        <f t="shared" si="32"/>
        <v>864</v>
      </c>
      <c r="J414" s="8">
        <f t="shared" si="33"/>
        <v>288</v>
      </c>
      <c r="K414" s="10">
        <v>14</v>
      </c>
      <c r="L414" s="11" t="s">
        <v>27</v>
      </c>
      <c r="M414" s="30" t="s">
        <v>25</v>
      </c>
      <c r="N414" s="33">
        <f t="shared" si="34"/>
        <v>0.25</v>
      </c>
    </row>
    <row r="415" spans="1:14">
      <c r="A415" t="str">
        <f t="shared" si="31"/>
        <v>2011-10</v>
      </c>
      <c r="B415" s="9">
        <v>40840.106157407405</v>
      </c>
      <c r="C415" s="10">
        <v>22</v>
      </c>
      <c r="D415" s="11" t="s">
        <v>16</v>
      </c>
      <c r="E415" s="10">
        <v>97</v>
      </c>
      <c r="F415" s="12">
        <v>24</v>
      </c>
      <c r="G415" s="12">
        <f t="shared" si="30"/>
        <v>2328</v>
      </c>
      <c r="H415" s="13">
        <v>18</v>
      </c>
      <c r="I415" s="13">
        <f t="shared" si="32"/>
        <v>1746</v>
      </c>
      <c r="J415" s="8">
        <f t="shared" si="33"/>
        <v>582</v>
      </c>
      <c r="K415" s="10">
        <v>572</v>
      </c>
      <c r="L415" s="11" t="s">
        <v>31</v>
      </c>
      <c r="M415" s="30" t="s">
        <v>25</v>
      </c>
      <c r="N415" s="33">
        <f t="shared" si="34"/>
        <v>0.25</v>
      </c>
    </row>
    <row r="416" spans="1:14">
      <c r="A416" t="str">
        <f t="shared" si="31"/>
        <v>2011-10</v>
      </c>
      <c r="B416" s="9">
        <v>40840.487604166665</v>
      </c>
      <c r="C416" s="10">
        <v>4</v>
      </c>
      <c r="D416" s="11" t="s">
        <v>44</v>
      </c>
      <c r="E416" s="10">
        <v>67</v>
      </c>
      <c r="F416" s="12">
        <v>9</v>
      </c>
      <c r="G416" s="12">
        <f t="shared" si="30"/>
        <v>603</v>
      </c>
      <c r="H416" s="13">
        <v>7</v>
      </c>
      <c r="I416" s="13">
        <f t="shared" si="32"/>
        <v>469</v>
      </c>
      <c r="J416" s="8">
        <f t="shared" si="33"/>
        <v>134</v>
      </c>
      <c r="K416" s="10">
        <v>572</v>
      </c>
      <c r="L416" s="11" t="s">
        <v>31</v>
      </c>
      <c r="M416" s="30" t="s">
        <v>25</v>
      </c>
      <c r="N416" s="33">
        <f t="shared" si="34"/>
        <v>0.22222222222222221</v>
      </c>
    </row>
    <row r="417" spans="1:14">
      <c r="A417" t="str">
        <f t="shared" si="31"/>
        <v>2011-10</v>
      </c>
      <c r="B417" s="9">
        <v>40841.022210648145</v>
      </c>
      <c r="C417" s="10">
        <v>39</v>
      </c>
      <c r="D417" s="11" t="s">
        <v>37</v>
      </c>
      <c r="E417" s="10">
        <v>58</v>
      </c>
      <c r="F417" s="12">
        <v>33</v>
      </c>
      <c r="G417" s="12">
        <f t="shared" si="30"/>
        <v>1914</v>
      </c>
      <c r="H417" s="13">
        <v>28</v>
      </c>
      <c r="I417" s="13">
        <f t="shared" si="32"/>
        <v>1624</v>
      </c>
      <c r="J417" s="8">
        <f t="shared" si="33"/>
        <v>290</v>
      </c>
      <c r="K417" s="10">
        <v>233</v>
      </c>
      <c r="L417" s="11" t="s">
        <v>24</v>
      </c>
      <c r="M417" s="30" t="s">
        <v>21</v>
      </c>
      <c r="N417" s="33">
        <f t="shared" si="34"/>
        <v>0.15151515151515152</v>
      </c>
    </row>
    <row r="418" spans="1:14">
      <c r="A418" t="str">
        <f t="shared" si="31"/>
        <v>2011-10</v>
      </c>
      <c r="B418" s="9">
        <v>40841.464687500003</v>
      </c>
      <c r="C418" s="10">
        <v>31</v>
      </c>
      <c r="D418" s="11" t="s">
        <v>46</v>
      </c>
      <c r="E418" s="10">
        <v>75</v>
      </c>
      <c r="F418" s="12">
        <v>21</v>
      </c>
      <c r="G418" s="12">
        <f t="shared" si="30"/>
        <v>1575</v>
      </c>
      <c r="H418" s="13">
        <v>12</v>
      </c>
      <c r="I418" s="13">
        <f t="shared" si="32"/>
        <v>900</v>
      </c>
      <c r="J418" s="8">
        <f t="shared" si="33"/>
        <v>675</v>
      </c>
      <c r="K418" s="10">
        <v>6</v>
      </c>
      <c r="L418" s="11" t="s">
        <v>33</v>
      </c>
      <c r="M418" s="30" t="s">
        <v>25</v>
      </c>
      <c r="N418" s="33">
        <f t="shared" si="34"/>
        <v>0.42857142857142855</v>
      </c>
    </row>
    <row r="419" spans="1:14">
      <c r="A419" t="str">
        <f t="shared" si="31"/>
        <v>2011-10</v>
      </c>
      <c r="B419" s="9">
        <v>40841.537442129629</v>
      </c>
      <c r="C419" s="10">
        <v>6</v>
      </c>
      <c r="D419" s="11" t="s">
        <v>60</v>
      </c>
      <c r="E419" s="10">
        <v>41</v>
      </c>
      <c r="F419" s="12">
        <v>55</v>
      </c>
      <c r="G419" s="12">
        <f t="shared" si="30"/>
        <v>2255</v>
      </c>
      <c r="H419" s="13">
        <v>25</v>
      </c>
      <c r="I419" s="13">
        <f t="shared" si="32"/>
        <v>1025</v>
      </c>
      <c r="J419" s="8">
        <f t="shared" si="33"/>
        <v>1230</v>
      </c>
      <c r="K419" s="10">
        <v>14</v>
      </c>
      <c r="L419" s="11" t="s">
        <v>27</v>
      </c>
      <c r="M419" s="30" t="s">
        <v>25</v>
      </c>
      <c r="N419" s="33">
        <f t="shared" si="34"/>
        <v>0.54545454545454541</v>
      </c>
    </row>
    <row r="420" spans="1:14">
      <c r="A420" t="str">
        <f t="shared" si="31"/>
        <v>2011-10</v>
      </c>
      <c r="B420" s="9">
        <v>40843.649745370371</v>
      </c>
      <c r="C420" s="10">
        <v>4</v>
      </c>
      <c r="D420" s="11" t="s">
        <v>44</v>
      </c>
      <c r="E420" s="10">
        <v>83</v>
      </c>
      <c r="F420" s="12">
        <v>9</v>
      </c>
      <c r="G420" s="12">
        <f t="shared" si="30"/>
        <v>747</v>
      </c>
      <c r="H420" s="13">
        <v>7</v>
      </c>
      <c r="I420" s="13">
        <f t="shared" si="32"/>
        <v>581</v>
      </c>
      <c r="J420" s="8">
        <f t="shared" si="33"/>
        <v>166</v>
      </c>
      <c r="K420" s="10">
        <v>233</v>
      </c>
      <c r="L420" s="11" t="s">
        <v>24</v>
      </c>
      <c r="M420" s="30" t="s">
        <v>25</v>
      </c>
      <c r="N420" s="33">
        <f t="shared" si="34"/>
        <v>0.22222222222222221</v>
      </c>
    </row>
    <row r="421" spans="1:14">
      <c r="A421" t="str">
        <f t="shared" si="31"/>
        <v>2011-10</v>
      </c>
      <c r="B421" s="9">
        <v>40843.704884259256</v>
      </c>
      <c r="C421" s="10">
        <v>31</v>
      </c>
      <c r="D421" s="11" t="s">
        <v>46</v>
      </c>
      <c r="E421" s="10">
        <v>65</v>
      </c>
      <c r="F421" s="12">
        <v>21</v>
      </c>
      <c r="G421" s="12">
        <f t="shared" si="30"/>
        <v>1365</v>
      </c>
      <c r="H421" s="13">
        <v>12</v>
      </c>
      <c r="I421" s="13">
        <f t="shared" si="32"/>
        <v>780</v>
      </c>
      <c r="J421" s="8">
        <f t="shared" si="33"/>
        <v>585</v>
      </c>
      <c r="K421" s="10">
        <v>572</v>
      </c>
      <c r="L421" s="11" t="s">
        <v>31</v>
      </c>
      <c r="M421" s="30" t="s">
        <v>21</v>
      </c>
      <c r="N421" s="33">
        <f t="shared" si="34"/>
        <v>0.42857142857142855</v>
      </c>
    </row>
    <row r="422" spans="1:14">
      <c r="A422" t="str">
        <f t="shared" si="31"/>
        <v>2011-10</v>
      </c>
      <c r="B422" s="9">
        <v>40844.137314814812</v>
      </c>
      <c r="C422" s="10">
        <v>39</v>
      </c>
      <c r="D422" s="11" t="s">
        <v>37</v>
      </c>
      <c r="E422" s="10">
        <v>50</v>
      </c>
      <c r="F422" s="12">
        <v>33</v>
      </c>
      <c r="G422" s="12">
        <f t="shared" si="30"/>
        <v>1650</v>
      </c>
      <c r="H422" s="13">
        <v>28</v>
      </c>
      <c r="I422" s="13">
        <f t="shared" si="32"/>
        <v>1400</v>
      </c>
      <c r="J422" s="8">
        <f t="shared" si="33"/>
        <v>250</v>
      </c>
      <c r="K422" s="10">
        <v>6</v>
      </c>
      <c r="L422" s="11" t="s">
        <v>33</v>
      </c>
      <c r="M422" s="30" t="s">
        <v>21</v>
      </c>
      <c r="N422" s="33">
        <f t="shared" si="34"/>
        <v>0.15151515151515152</v>
      </c>
    </row>
    <row r="423" spans="1:14">
      <c r="A423" t="str">
        <f t="shared" si="31"/>
        <v>2011-10</v>
      </c>
      <c r="B423" s="9">
        <v>40844.548368055555</v>
      </c>
      <c r="C423" s="10">
        <v>16</v>
      </c>
      <c r="D423" s="11" t="s">
        <v>20</v>
      </c>
      <c r="E423" s="10">
        <v>1</v>
      </c>
      <c r="F423" s="12">
        <v>15</v>
      </c>
      <c r="G423" s="12">
        <f t="shared" si="30"/>
        <v>15</v>
      </c>
      <c r="H423" s="13">
        <v>14</v>
      </c>
      <c r="I423" s="13">
        <f t="shared" si="32"/>
        <v>14</v>
      </c>
      <c r="J423" s="8">
        <f t="shared" si="33"/>
        <v>1</v>
      </c>
      <c r="K423" s="10">
        <v>95</v>
      </c>
      <c r="L423" s="11" t="s">
        <v>34</v>
      </c>
      <c r="M423" s="30" t="s">
        <v>25</v>
      </c>
      <c r="N423" s="33">
        <f t="shared" si="34"/>
        <v>6.6666666666666666E-2</v>
      </c>
    </row>
    <row r="424" spans="1:14">
      <c r="A424" t="str">
        <f t="shared" si="31"/>
        <v>2011-10</v>
      </c>
      <c r="B424" s="9">
        <v>40844.808078703703</v>
      </c>
      <c r="C424" s="10">
        <v>16</v>
      </c>
      <c r="D424" s="11" t="s">
        <v>20</v>
      </c>
      <c r="E424" s="10">
        <v>6</v>
      </c>
      <c r="F424" s="12">
        <v>15</v>
      </c>
      <c r="G424" s="12">
        <f t="shared" si="30"/>
        <v>90</v>
      </c>
      <c r="H424" s="13">
        <v>14</v>
      </c>
      <c r="I424" s="13">
        <f t="shared" si="32"/>
        <v>84</v>
      </c>
      <c r="J424" s="8">
        <f t="shared" si="33"/>
        <v>6</v>
      </c>
      <c r="K424" s="10">
        <v>846</v>
      </c>
      <c r="L424" s="11" t="s">
        <v>35</v>
      </c>
      <c r="M424" s="30" t="s">
        <v>18</v>
      </c>
      <c r="N424" s="33">
        <f t="shared" si="34"/>
        <v>6.6666666666666666E-2</v>
      </c>
    </row>
    <row r="425" spans="1:14">
      <c r="A425" t="str">
        <f t="shared" si="31"/>
        <v>2011-10</v>
      </c>
      <c r="B425" s="9">
        <v>40845.531956018516</v>
      </c>
      <c r="C425" s="10">
        <v>16</v>
      </c>
      <c r="D425" s="11" t="s">
        <v>20</v>
      </c>
      <c r="E425" s="10">
        <v>87</v>
      </c>
      <c r="F425" s="12">
        <v>15</v>
      </c>
      <c r="G425" s="12">
        <f t="shared" si="30"/>
        <v>1305</v>
      </c>
      <c r="H425" s="13">
        <v>14</v>
      </c>
      <c r="I425" s="13">
        <f t="shared" si="32"/>
        <v>1218</v>
      </c>
      <c r="J425" s="8">
        <f t="shared" si="33"/>
        <v>87</v>
      </c>
      <c r="K425" s="10">
        <v>572</v>
      </c>
      <c r="L425" s="11" t="s">
        <v>31</v>
      </c>
      <c r="M425" s="30" t="s">
        <v>18</v>
      </c>
      <c r="N425" s="33">
        <f t="shared" si="34"/>
        <v>6.6666666666666666E-2</v>
      </c>
    </row>
    <row r="426" spans="1:14">
      <c r="A426" t="str">
        <f t="shared" si="31"/>
        <v>2011-10</v>
      </c>
      <c r="B426" s="9">
        <v>40845.580231481479</v>
      </c>
      <c r="C426" s="10">
        <v>100</v>
      </c>
      <c r="D426" s="11" t="s">
        <v>40</v>
      </c>
      <c r="E426" s="10">
        <v>78</v>
      </c>
      <c r="F426" s="12">
        <v>8</v>
      </c>
      <c r="G426" s="12">
        <f t="shared" si="30"/>
        <v>624</v>
      </c>
      <c r="H426" s="13">
        <v>4</v>
      </c>
      <c r="I426" s="13">
        <f t="shared" si="32"/>
        <v>312</v>
      </c>
      <c r="J426" s="8">
        <f t="shared" si="33"/>
        <v>312</v>
      </c>
      <c r="K426" s="10">
        <v>95</v>
      </c>
      <c r="L426" s="11" t="s">
        <v>34</v>
      </c>
      <c r="M426" s="30" t="s">
        <v>25</v>
      </c>
      <c r="N426" s="33">
        <f t="shared" si="34"/>
        <v>0.5</v>
      </c>
    </row>
    <row r="427" spans="1:14">
      <c r="A427" t="str">
        <f t="shared" si="31"/>
        <v>2011-10</v>
      </c>
      <c r="B427" s="9">
        <v>40845.789074074077</v>
      </c>
      <c r="C427" s="10">
        <v>16</v>
      </c>
      <c r="D427" s="11" t="s">
        <v>20</v>
      </c>
      <c r="E427" s="10">
        <v>66</v>
      </c>
      <c r="F427" s="12">
        <v>15</v>
      </c>
      <c r="G427" s="12">
        <f t="shared" si="30"/>
        <v>990</v>
      </c>
      <c r="H427" s="13">
        <v>14</v>
      </c>
      <c r="I427" s="13">
        <f t="shared" si="32"/>
        <v>924</v>
      </c>
      <c r="J427" s="8">
        <f t="shared" si="33"/>
        <v>66</v>
      </c>
      <c r="K427" s="10">
        <v>572</v>
      </c>
      <c r="L427" s="11" t="s">
        <v>31</v>
      </c>
      <c r="M427" s="30" t="s">
        <v>25</v>
      </c>
      <c r="N427" s="33">
        <f t="shared" si="34"/>
        <v>6.6666666666666666E-2</v>
      </c>
    </row>
    <row r="428" spans="1:14">
      <c r="A428" t="str">
        <f t="shared" si="31"/>
        <v>2011-10</v>
      </c>
      <c r="B428" s="9">
        <v>40846.222951388889</v>
      </c>
      <c r="C428" s="10">
        <v>2</v>
      </c>
      <c r="D428" s="11" t="s">
        <v>30</v>
      </c>
      <c r="E428" s="10">
        <v>38</v>
      </c>
      <c r="F428" s="12">
        <v>12</v>
      </c>
      <c r="G428" s="12">
        <f t="shared" si="30"/>
        <v>456</v>
      </c>
      <c r="H428" s="13">
        <v>6</v>
      </c>
      <c r="I428" s="13">
        <f t="shared" si="32"/>
        <v>228</v>
      </c>
      <c r="J428" s="8">
        <f t="shared" si="33"/>
        <v>228</v>
      </c>
      <c r="K428" s="10">
        <v>23</v>
      </c>
      <c r="L428" s="11" t="s">
        <v>32</v>
      </c>
      <c r="M428" s="30" t="s">
        <v>25</v>
      </c>
      <c r="N428" s="33">
        <f t="shared" si="34"/>
        <v>0.5</v>
      </c>
    </row>
    <row r="429" spans="1:14">
      <c r="A429" t="str">
        <f t="shared" si="31"/>
        <v>2011-10</v>
      </c>
      <c r="B429" s="9">
        <v>40846.902881944443</v>
      </c>
      <c r="C429" s="10">
        <v>30</v>
      </c>
      <c r="D429" s="11" t="s">
        <v>23</v>
      </c>
      <c r="E429" s="10">
        <v>55</v>
      </c>
      <c r="F429" s="12">
        <v>12</v>
      </c>
      <c r="G429" s="12">
        <f t="shared" si="30"/>
        <v>660</v>
      </c>
      <c r="H429" s="13">
        <v>8</v>
      </c>
      <c r="I429" s="13">
        <f t="shared" si="32"/>
        <v>440</v>
      </c>
      <c r="J429" s="8">
        <f t="shared" si="33"/>
        <v>220</v>
      </c>
      <c r="K429" s="10">
        <v>6</v>
      </c>
      <c r="L429" s="11" t="s">
        <v>33</v>
      </c>
      <c r="M429" s="30" t="s">
        <v>25</v>
      </c>
      <c r="N429" s="33">
        <f t="shared" si="34"/>
        <v>0.33333333333333331</v>
      </c>
    </row>
    <row r="430" spans="1:14">
      <c r="A430" t="str">
        <f t="shared" si="31"/>
        <v>2011-10</v>
      </c>
      <c r="B430" s="9">
        <v>40847.14162037037</v>
      </c>
      <c r="C430" s="10">
        <v>16</v>
      </c>
      <c r="D430" s="11" t="s">
        <v>20</v>
      </c>
      <c r="E430" s="10">
        <v>4</v>
      </c>
      <c r="F430" s="12">
        <v>15</v>
      </c>
      <c r="G430" s="12">
        <f t="shared" si="30"/>
        <v>60</v>
      </c>
      <c r="H430" s="13">
        <v>14</v>
      </c>
      <c r="I430" s="13">
        <f t="shared" si="32"/>
        <v>56</v>
      </c>
      <c r="J430" s="8">
        <f t="shared" si="33"/>
        <v>4</v>
      </c>
      <c r="K430" s="10">
        <v>686</v>
      </c>
      <c r="L430" s="11" t="s">
        <v>56</v>
      </c>
      <c r="M430" s="30" t="s">
        <v>25</v>
      </c>
      <c r="N430" s="33">
        <f t="shared" si="34"/>
        <v>6.6666666666666666E-2</v>
      </c>
    </row>
    <row r="431" spans="1:14">
      <c r="A431" t="str">
        <f t="shared" si="31"/>
        <v>2011-11</v>
      </c>
      <c r="B431" s="9">
        <v>40848.506412037037</v>
      </c>
      <c r="C431" s="10">
        <v>19</v>
      </c>
      <c r="D431" s="11" t="s">
        <v>47</v>
      </c>
      <c r="E431" s="10">
        <v>64</v>
      </c>
      <c r="F431" s="12">
        <v>36</v>
      </c>
      <c r="G431" s="12">
        <f t="shared" si="30"/>
        <v>2304</v>
      </c>
      <c r="H431" s="13">
        <v>25</v>
      </c>
      <c r="I431" s="13">
        <f t="shared" si="32"/>
        <v>1600</v>
      </c>
      <c r="J431" s="8">
        <f t="shared" si="33"/>
        <v>704</v>
      </c>
      <c r="K431" s="10">
        <v>6</v>
      </c>
      <c r="L431" s="11" t="s">
        <v>33</v>
      </c>
      <c r="M431" s="30" t="s">
        <v>25</v>
      </c>
      <c r="N431" s="33">
        <f t="shared" si="34"/>
        <v>0.30555555555555558</v>
      </c>
    </row>
    <row r="432" spans="1:14">
      <c r="A432" t="str">
        <f t="shared" si="31"/>
        <v>2011-11</v>
      </c>
      <c r="B432" s="9">
        <v>40850.349409722221</v>
      </c>
      <c r="C432" s="10">
        <v>31</v>
      </c>
      <c r="D432" s="11" t="s">
        <v>46</v>
      </c>
      <c r="E432" s="10">
        <v>93</v>
      </c>
      <c r="F432" s="12">
        <v>21</v>
      </c>
      <c r="G432" s="12">
        <f t="shared" si="30"/>
        <v>1953</v>
      </c>
      <c r="H432" s="13">
        <v>12</v>
      </c>
      <c r="I432" s="13">
        <f t="shared" si="32"/>
        <v>1116</v>
      </c>
      <c r="J432" s="8">
        <f t="shared" si="33"/>
        <v>837</v>
      </c>
      <c r="K432" s="10">
        <v>846</v>
      </c>
      <c r="L432" s="11" t="s">
        <v>35</v>
      </c>
      <c r="M432" s="30" t="s">
        <v>21</v>
      </c>
      <c r="N432" s="33">
        <f t="shared" si="34"/>
        <v>0.42857142857142855</v>
      </c>
    </row>
    <row r="433" spans="1:14">
      <c r="A433" t="str">
        <f t="shared" si="31"/>
        <v>2011-11</v>
      </c>
      <c r="B433" s="9">
        <v>40851.340381944443</v>
      </c>
      <c r="C433" s="10">
        <v>4</v>
      </c>
      <c r="D433" s="11" t="s">
        <v>44</v>
      </c>
      <c r="E433" s="10">
        <v>63</v>
      </c>
      <c r="F433" s="12">
        <v>9</v>
      </c>
      <c r="G433" s="12">
        <f t="shared" si="30"/>
        <v>567</v>
      </c>
      <c r="H433" s="13">
        <v>7</v>
      </c>
      <c r="I433" s="13">
        <f t="shared" si="32"/>
        <v>441</v>
      </c>
      <c r="J433" s="8">
        <f t="shared" si="33"/>
        <v>126</v>
      </c>
      <c r="K433" s="10">
        <v>95</v>
      </c>
      <c r="L433" s="11" t="s">
        <v>34</v>
      </c>
      <c r="M433" s="30" t="s">
        <v>25</v>
      </c>
      <c r="N433" s="33">
        <f t="shared" si="34"/>
        <v>0.22222222222222221</v>
      </c>
    </row>
    <row r="434" spans="1:14">
      <c r="A434" t="str">
        <f t="shared" si="31"/>
        <v>2011-11</v>
      </c>
      <c r="B434" s="9">
        <v>40853.423379629632</v>
      </c>
      <c r="C434" s="10">
        <v>16</v>
      </c>
      <c r="D434" s="11" t="s">
        <v>20</v>
      </c>
      <c r="E434" s="10">
        <v>44</v>
      </c>
      <c r="F434" s="12">
        <v>15</v>
      </c>
      <c r="G434" s="12">
        <f t="shared" si="30"/>
        <v>660</v>
      </c>
      <c r="H434" s="13">
        <v>14</v>
      </c>
      <c r="I434" s="13">
        <f t="shared" si="32"/>
        <v>616</v>
      </c>
      <c r="J434" s="8">
        <f t="shared" si="33"/>
        <v>44</v>
      </c>
      <c r="K434" s="10">
        <v>95</v>
      </c>
      <c r="L434" s="11" t="s">
        <v>34</v>
      </c>
      <c r="M434" s="30" t="s">
        <v>21</v>
      </c>
      <c r="N434" s="33">
        <f t="shared" si="34"/>
        <v>6.6666666666666666E-2</v>
      </c>
    </row>
    <row r="435" spans="1:14">
      <c r="A435" t="str">
        <f t="shared" si="31"/>
        <v>2011-11</v>
      </c>
      <c r="B435" s="9">
        <v>40853.949166666665</v>
      </c>
      <c r="C435" s="10">
        <v>4</v>
      </c>
      <c r="D435" s="11" t="s">
        <v>44</v>
      </c>
      <c r="E435" s="10">
        <v>56</v>
      </c>
      <c r="F435" s="12">
        <v>9</v>
      </c>
      <c r="G435" s="12">
        <f t="shared" si="30"/>
        <v>504</v>
      </c>
      <c r="H435" s="13">
        <v>7</v>
      </c>
      <c r="I435" s="13">
        <f t="shared" si="32"/>
        <v>392</v>
      </c>
      <c r="J435" s="8">
        <f t="shared" si="33"/>
        <v>112</v>
      </c>
      <c r="K435" s="10">
        <v>23</v>
      </c>
      <c r="L435" s="11" t="s">
        <v>32</v>
      </c>
      <c r="M435" s="30" t="s">
        <v>25</v>
      </c>
      <c r="N435" s="33">
        <f t="shared" si="34"/>
        <v>0.22222222222222221</v>
      </c>
    </row>
    <row r="436" spans="1:14">
      <c r="A436" t="str">
        <f t="shared" si="31"/>
        <v>2011-11</v>
      </c>
      <c r="B436" s="9">
        <v>40854.716863425929</v>
      </c>
      <c r="C436" s="10">
        <v>2</v>
      </c>
      <c r="D436" s="11" t="s">
        <v>30</v>
      </c>
      <c r="E436" s="10">
        <v>95</v>
      </c>
      <c r="F436" s="12">
        <v>12</v>
      </c>
      <c r="G436" s="12">
        <f t="shared" si="30"/>
        <v>1140</v>
      </c>
      <c r="H436" s="13">
        <v>6</v>
      </c>
      <c r="I436" s="13">
        <f t="shared" si="32"/>
        <v>570</v>
      </c>
      <c r="J436" s="8">
        <f t="shared" si="33"/>
        <v>570</v>
      </c>
      <c r="K436" s="10">
        <v>572</v>
      </c>
      <c r="L436" s="11" t="s">
        <v>31</v>
      </c>
      <c r="M436" s="30" t="s">
        <v>25</v>
      </c>
      <c r="N436" s="33">
        <f t="shared" si="34"/>
        <v>0.5</v>
      </c>
    </row>
    <row r="437" spans="1:14">
      <c r="A437" t="str">
        <f t="shared" si="31"/>
        <v>2011-11</v>
      </c>
      <c r="B437" s="9">
        <v>40855.07104166667</v>
      </c>
      <c r="C437" s="10">
        <v>4</v>
      </c>
      <c r="D437" s="11" t="s">
        <v>44</v>
      </c>
      <c r="E437" s="10">
        <v>54</v>
      </c>
      <c r="F437" s="12">
        <v>9</v>
      </c>
      <c r="G437" s="12">
        <f t="shared" si="30"/>
        <v>486</v>
      </c>
      <c r="H437" s="13">
        <v>7</v>
      </c>
      <c r="I437" s="13">
        <f t="shared" si="32"/>
        <v>378</v>
      </c>
      <c r="J437" s="8">
        <f t="shared" si="33"/>
        <v>108</v>
      </c>
      <c r="K437" s="10">
        <v>95</v>
      </c>
      <c r="L437" s="11" t="s">
        <v>34</v>
      </c>
      <c r="M437" s="30" t="s">
        <v>25</v>
      </c>
      <c r="N437" s="33">
        <f t="shared" si="34"/>
        <v>0.22222222222222221</v>
      </c>
    </row>
    <row r="438" spans="1:14">
      <c r="A438" t="str">
        <f t="shared" si="31"/>
        <v>2011-11</v>
      </c>
      <c r="B438" s="9">
        <v>40856.789340277777</v>
      </c>
      <c r="C438" s="10">
        <v>98</v>
      </c>
      <c r="D438" s="11" t="s">
        <v>58</v>
      </c>
      <c r="E438" s="10">
        <v>21</v>
      </c>
      <c r="F438" s="12">
        <v>18</v>
      </c>
      <c r="G438" s="12">
        <f t="shared" si="30"/>
        <v>378</v>
      </c>
      <c r="H438" s="13">
        <v>8</v>
      </c>
      <c r="I438" s="13">
        <f t="shared" si="32"/>
        <v>168</v>
      </c>
      <c r="J438" s="8">
        <f t="shared" si="33"/>
        <v>210</v>
      </c>
      <c r="K438" s="10">
        <v>14</v>
      </c>
      <c r="L438" s="11" t="s">
        <v>27</v>
      </c>
      <c r="M438" s="30" t="s">
        <v>21</v>
      </c>
      <c r="N438" s="33">
        <f t="shared" si="34"/>
        <v>0.55555555555555558</v>
      </c>
    </row>
    <row r="439" spans="1:14">
      <c r="A439" t="str">
        <f t="shared" si="31"/>
        <v>2011-11</v>
      </c>
      <c r="B439" s="9">
        <v>40857.647118055553</v>
      </c>
      <c r="C439" s="10">
        <v>39</v>
      </c>
      <c r="D439" s="11" t="s">
        <v>37</v>
      </c>
      <c r="E439" s="10">
        <v>5</v>
      </c>
      <c r="F439" s="12">
        <v>33</v>
      </c>
      <c r="G439" s="12">
        <f t="shared" si="30"/>
        <v>165</v>
      </c>
      <c r="H439" s="13">
        <v>28</v>
      </c>
      <c r="I439" s="13">
        <f t="shared" si="32"/>
        <v>140</v>
      </c>
      <c r="J439" s="8">
        <f t="shared" si="33"/>
        <v>25</v>
      </c>
      <c r="K439" s="10">
        <v>572</v>
      </c>
      <c r="L439" s="11" t="s">
        <v>31</v>
      </c>
      <c r="M439" s="30" t="s">
        <v>25</v>
      </c>
      <c r="N439" s="33">
        <f t="shared" si="34"/>
        <v>0.15151515151515152</v>
      </c>
    </row>
    <row r="440" spans="1:14">
      <c r="A440" t="str">
        <f t="shared" si="31"/>
        <v>2011-11</v>
      </c>
      <c r="B440" s="9">
        <v>40857.982303240744</v>
      </c>
      <c r="C440" s="10">
        <v>22</v>
      </c>
      <c r="D440" s="11" t="s">
        <v>16</v>
      </c>
      <c r="E440" s="10">
        <v>82</v>
      </c>
      <c r="F440" s="12">
        <v>24</v>
      </c>
      <c r="G440" s="12">
        <f t="shared" si="30"/>
        <v>1968</v>
      </c>
      <c r="H440" s="13">
        <v>18</v>
      </c>
      <c r="I440" s="13">
        <f t="shared" si="32"/>
        <v>1476</v>
      </c>
      <c r="J440" s="8">
        <f t="shared" si="33"/>
        <v>492</v>
      </c>
      <c r="K440" s="10">
        <v>14</v>
      </c>
      <c r="L440" s="11" t="s">
        <v>27</v>
      </c>
      <c r="M440" s="30" t="s">
        <v>21</v>
      </c>
      <c r="N440" s="33">
        <f t="shared" si="34"/>
        <v>0.25</v>
      </c>
    </row>
    <row r="441" spans="1:14">
      <c r="A441" t="str">
        <f t="shared" si="31"/>
        <v>2011-11</v>
      </c>
      <c r="B441" s="9">
        <v>40859.010636574072</v>
      </c>
      <c r="C441" s="10">
        <v>100</v>
      </c>
      <c r="D441" s="11" t="s">
        <v>40</v>
      </c>
      <c r="E441" s="10">
        <v>45</v>
      </c>
      <c r="F441" s="12">
        <v>8</v>
      </c>
      <c r="G441" s="12">
        <f t="shared" si="30"/>
        <v>360</v>
      </c>
      <c r="H441" s="13">
        <v>4</v>
      </c>
      <c r="I441" s="13">
        <f t="shared" si="32"/>
        <v>180</v>
      </c>
      <c r="J441" s="8">
        <f t="shared" si="33"/>
        <v>180</v>
      </c>
      <c r="K441" s="10">
        <v>846</v>
      </c>
      <c r="L441" s="11" t="s">
        <v>35</v>
      </c>
      <c r="M441" s="30" t="s">
        <v>25</v>
      </c>
      <c r="N441" s="33">
        <f t="shared" si="34"/>
        <v>0.5</v>
      </c>
    </row>
    <row r="442" spans="1:14">
      <c r="A442" t="str">
        <f t="shared" si="31"/>
        <v>2011-11</v>
      </c>
      <c r="B442" s="9">
        <v>40859.872233796297</v>
      </c>
      <c r="C442" s="10">
        <v>98</v>
      </c>
      <c r="D442" s="11" t="s">
        <v>58</v>
      </c>
      <c r="E442" s="10">
        <v>13</v>
      </c>
      <c r="F442" s="12">
        <v>18</v>
      </c>
      <c r="G442" s="12">
        <f t="shared" si="30"/>
        <v>234</v>
      </c>
      <c r="H442" s="13">
        <v>8</v>
      </c>
      <c r="I442" s="13">
        <f t="shared" si="32"/>
        <v>104</v>
      </c>
      <c r="J442" s="8">
        <f t="shared" si="33"/>
        <v>130</v>
      </c>
      <c r="K442" s="10">
        <v>14</v>
      </c>
      <c r="L442" s="11" t="s">
        <v>27</v>
      </c>
      <c r="M442" s="30" t="s">
        <v>21</v>
      </c>
      <c r="N442" s="33">
        <f t="shared" si="34"/>
        <v>0.55555555555555558</v>
      </c>
    </row>
    <row r="443" spans="1:14">
      <c r="A443" t="str">
        <f t="shared" si="31"/>
        <v>2011-11</v>
      </c>
      <c r="B443" s="9">
        <v>40860.659745370373</v>
      </c>
      <c r="C443" s="10">
        <v>22</v>
      </c>
      <c r="D443" s="11" t="s">
        <v>16</v>
      </c>
      <c r="E443" s="10">
        <v>72</v>
      </c>
      <c r="F443" s="12">
        <v>24</v>
      </c>
      <c r="G443" s="12">
        <f t="shared" si="30"/>
        <v>1728</v>
      </c>
      <c r="H443" s="13">
        <v>18</v>
      </c>
      <c r="I443" s="13">
        <f t="shared" si="32"/>
        <v>1296</v>
      </c>
      <c r="J443" s="8">
        <f t="shared" si="33"/>
        <v>432</v>
      </c>
      <c r="K443" s="10">
        <v>6</v>
      </c>
      <c r="L443" s="11" t="s">
        <v>33</v>
      </c>
      <c r="M443" s="30" t="s">
        <v>21</v>
      </c>
      <c r="N443" s="33">
        <f t="shared" si="34"/>
        <v>0.25</v>
      </c>
    </row>
    <row r="444" spans="1:14">
      <c r="A444" t="str">
        <f t="shared" si="31"/>
        <v>2011-11</v>
      </c>
      <c r="B444" s="9">
        <v>40862.410300925927</v>
      </c>
      <c r="C444" s="10">
        <v>2</v>
      </c>
      <c r="D444" s="11" t="s">
        <v>30</v>
      </c>
      <c r="E444" s="10">
        <v>32</v>
      </c>
      <c r="F444" s="12">
        <v>12</v>
      </c>
      <c r="G444" s="12">
        <f t="shared" si="30"/>
        <v>384</v>
      </c>
      <c r="H444" s="13">
        <v>6</v>
      </c>
      <c r="I444" s="13">
        <f t="shared" si="32"/>
        <v>192</v>
      </c>
      <c r="J444" s="8">
        <f t="shared" si="33"/>
        <v>192</v>
      </c>
      <c r="K444" s="10">
        <v>6</v>
      </c>
      <c r="L444" s="11" t="s">
        <v>33</v>
      </c>
      <c r="M444" s="30" t="s">
        <v>21</v>
      </c>
      <c r="N444" s="33">
        <f t="shared" si="34"/>
        <v>0.5</v>
      </c>
    </row>
    <row r="445" spans="1:14">
      <c r="A445" t="str">
        <f t="shared" si="31"/>
        <v>2011-11</v>
      </c>
      <c r="B445" s="9">
        <v>40862.997546296298</v>
      </c>
      <c r="C445" s="10">
        <v>31</v>
      </c>
      <c r="D445" s="11" t="s">
        <v>46</v>
      </c>
      <c r="E445" s="10">
        <v>92</v>
      </c>
      <c r="F445" s="12">
        <v>21</v>
      </c>
      <c r="G445" s="12">
        <f t="shared" si="30"/>
        <v>1932</v>
      </c>
      <c r="H445" s="13">
        <v>12</v>
      </c>
      <c r="I445" s="13">
        <f t="shared" si="32"/>
        <v>1104</v>
      </c>
      <c r="J445" s="8">
        <f t="shared" si="33"/>
        <v>828</v>
      </c>
      <c r="K445" s="10">
        <v>572</v>
      </c>
      <c r="L445" s="11" t="s">
        <v>31</v>
      </c>
      <c r="M445" s="30" t="s">
        <v>18</v>
      </c>
      <c r="N445" s="33">
        <f t="shared" si="34"/>
        <v>0.42857142857142855</v>
      </c>
    </row>
    <row r="446" spans="1:14">
      <c r="A446" t="str">
        <f t="shared" si="31"/>
        <v>2011-11</v>
      </c>
      <c r="B446" s="9">
        <v>40867.559398148151</v>
      </c>
      <c r="C446" s="10">
        <v>19</v>
      </c>
      <c r="D446" s="11" t="s">
        <v>47</v>
      </c>
      <c r="E446" s="10">
        <v>15</v>
      </c>
      <c r="F446" s="12">
        <v>36</v>
      </c>
      <c r="G446" s="12">
        <f t="shared" si="30"/>
        <v>540</v>
      </c>
      <c r="H446" s="13">
        <v>25</v>
      </c>
      <c r="I446" s="13">
        <f t="shared" si="32"/>
        <v>375</v>
      </c>
      <c r="J446" s="8">
        <f t="shared" si="33"/>
        <v>165</v>
      </c>
      <c r="K446" s="10">
        <v>23</v>
      </c>
      <c r="L446" s="11" t="s">
        <v>32</v>
      </c>
      <c r="M446" s="30" t="s">
        <v>21</v>
      </c>
      <c r="N446" s="33">
        <f t="shared" si="34"/>
        <v>0.30555555555555558</v>
      </c>
    </row>
    <row r="447" spans="1:14">
      <c r="A447" t="str">
        <f t="shared" si="31"/>
        <v>2011-11</v>
      </c>
      <c r="B447" s="9">
        <v>40867.675312500003</v>
      </c>
      <c r="C447" s="10">
        <v>31</v>
      </c>
      <c r="D447" s="11" t="s">
        <v>46</v>
      </c>
      <c r="E447" s="10">
        <v>4</v>
      </c>
      <c r="F447" s="12">
        <v>21</v>
      </c>
      <c r="G447" s="12">
        <f t="shared" si="30"/>
        <v>84</v>
      </c>
      <c r="H447" s="13">
        <v>12</v>
      </c>
      <c r="I447" s="13">
        <f t="shared" si="32"/>
        <v>48</v>
      </c>
      <c r="J447" s="8">
        <f t="shared" si="33"/>
        <v>36</v>
      </c>
      <c r="K447" s="10">
        <v>315</v>
      </c>
      <c r="L447" s="11" t="s">
        <v>17</v>
      </c>
      <c r="M447" s="30" t="s">
        <v>18</v>
      </c>
      <c r="N447" s="33">
        <f t="shared" si="34"/>
        <v>0.42857142857142855</v>
      </c>
    </row>
    <row r="448" spans="1:14">
      <c r="A448" t="str">
        <f t="shared" si="31"/>
        <v>2011-11</v>
      </c>
      <c r="B448" s="9">
        <v>40868.51489583333</v>
      </c>
      <c r="C448" s="10">
        <v>16</v>
      </c>
      <c r="D448" s="11" t="s">
        <v>20</v>
      </c>
      <c r="E448" s="10">
        <v>79</v>
      </c>
      <c r="F448" s="12">
        <v>15</v>
      </c>
      <c r="G448" s="12">
        <f t="shared" si="30"/>
        <v>1185</v>
      </c>
      <c r="H448" s="13">
        <v>14</v>
      </c>
      <c r="I448" s="13">
        <f t="shared" si="32"/>
        <v>1106</v>
      </c>
      <c r="J448" s="8">
        <f t="shared" si="33"/>
        <v>79</v>
      </c>
      <c r="K448" s="10">
        <v>6</v>
      </c>
      <c r="L448" s="11" t="s">
        <v>33</v>
      </c>
      <c r="M448" s="30" t="s">
        <v>21</v>
      </c>
      <c r="N448" s="33">
        <f t="shared" si="34"/>
        <v>6.6666666666666666E-2</v>
      </c>
    </row>
    <row r="449" spans="1:14">
      <c r="A449" t="str">
        <f t="shared" si="31"/>
        <v>2011-11</v>
      </c>
      <c r="B449" s="9">
        <v>40868.972986111112</v>
      </c>
      <c r="C449" s="10">
        <v>30</v>
      </c>
      <c r="D449" s="11" t="s">
        <v>23</v>
      </c>
      <c r="E449" s="10">
        <v>65</v>
      </c>
      <c r="F449" s="12">
        <v>12</v>
      </c>
      <c r="G449" s="12">
        <f t="shared" si="30"/>
        <v>780</v>
      </c>
      <c r="H449" s="13">
        <v>8</v>
      </c>
      <c r="I449" s="13">
        <f t="shared" si="32"/>
        <v>520</v>
      </c>
      <c r="J449" s="8">
        <f t="shared" si="33"/>
        <v>260</v>
      </c>
      <c r="K449" s="10">
        <v>846</v>
      </c>
      <c r="L449" s="11" t="s">
        <v>35</v>
      </c>
      <c r="M449" s="30" t="s">
        <v>25</v>
      </c>
      <c r="N449" s="33">
        <f t="shared" si="34"/>
        <v>0.33333333333333331</v>
      </c>
    </row>
    <row r="450" spans="1:14">
      <c r="A450" t="str">
        <f t="shared" si="31"/>
        <v>2011-11</v>
      </c>
      <c r="B450" s="9">
        <v>40869.280995370369</v>
      </c>
      <c r="C450" s="10">
        <v>4</v>
      </c>
      <c r="D450" s="11" t="s">
        <v>44</v>
      </c>
      <c r="E450" s="10">
        <v>39</v>
      </c>
      <c r="F450" s="12">
        <v>9</v>
      </c>
      <c r="G450" s="12">
        <f t="shared" ref="G450:G511" si="35">E450*F450</f>
        <v>351</v>
      </c>
      <c r="H450" s="13">
        <v>7</v>
      </c>
      <c r="I450" s="13">
        <f t="shared" si="32"/>
        <v>273</v>
      </c>
      <c r="J450" s="8">
        <f t="shared" si="33"/>
        <v>78</v>
      </c>
      <c r="K450" s="10">
        <v>6</v>
      </c>
      <c r="L450" s="11" t="s">
        <v>33</v>
      </c>
      <c r="M450" s="30" t="s">
        <v>21</v>
      </c>
      <c r="N450" s="33">
        <f t="shared" si="34"/>
        <v>0.22222222222222221</v>
      </c>
    </row>
    <row r="451" spans="1:14">
      <c r="A451" t="str">
        <f t="shared" ref="A451:A511" si="36">TEXT(B451, "YYYY-MM")</f>
        <v>2011-11</v>
      </c>
      <c r="B451" s="9">
        <v>40869.455775462964</v>
      </c>
      <c r="C451" s="10">
        <v>22</v>
      </c>
      <c r="D451" s="11" t="s">
        <v>16</v>
      </c>
      <c r="E451" s="10">
        <v>9</v>
      </c>
      <c r="F451" s="12">
        <v>24</v>
      </c>
      <c r="G451" s="12">
        <f t="shared" si="35"/>
        <v>216</v>
      </c>
      <c r="H451" s="13">
        <v>18</v>
      </c>
      <c r="I451" s="13">
        <f t="shared" ref="I451:I511" si="37">E451*H451</f>
        <v>162</v>
      </c>
      <c r="J451" s="8">
        <f t="shared" ref="J451:J511" si="38">G451-I451</f>
        <v>54</v>
      </c>
      <c r="K451" s="10">
        <v>557</v>
      </c>
      <c r="L451" s="11" t="s">
        <v>36</v>
      </c>
      <c r="M451" s="30" t="s">
        <v>18</v>
      </c>
      <c r="N451" s="33">
        <f t="shared" ref="N451:N511" si="39">J451/G451</f>
        <v>0.25</v>
      </c>
    </row>
    <row r="452" spans="1:14">
      <c r="A452" t="str">
        <f t="shared" si="36"/>
        <v>2011-11</v>
      </c>
      <c r="B452" s="9">
        <v>40873.817465277774</v>
      </c>
      <c r="C452" s="10">
        <v>31</v>
      </c>
      <c r="D452" s="11" t="s">
        <v>46</v>
      </c>
      <c r="E452" s="10">
        <v>60</v>
      </c>
      <c r="F452" s="12">
        <v>21</v>
      </c>
      <c r="G452" s="12">
        <f t="shared" si="35"/>
        <v>1260</v>
      </c>
      <c r="H452" s="13">
        <v>12</v>
      </c>
      <c r="I452" s="13">
        <f t="shared" si="37"/>
        <v>720</v>
      </c>
      <c r="J452" s="8">
        <f t="shared" si="38"/>
        <v>540</v>
      </c>
      <c r="K452" s="10">
        <v>14</v>
      </c>
      <c r="L452" s="11" t="s">
        <v>27</v>
      </c>
      <c r="M452" s="30" t="s">
        <v>21</v>
      </c>
      <c r="N452" s="33">
        <f t="shared" si="39"/>
        <v>0.42857142857142855</v>
      </c>
    </row>
    <row r="453" spans="1:14">
      <c r="A453" t="str">
        <f t="shared" si="36"/>
        <v>2011-11</v>
      </c>
      <c r="B453" s="9">
        <v>40874.834374999999</v>
      </c>
      <c r="C453" s="10">
        <v>98</v>
      </c>
      <c r="D453" s="11" t="s">
        <v>58</v>
      </c>
      <c r="E453" s="10">
        <v>93</v>
      </c>
      <c r="F453" s="12">
        <v>18</v>
      </c>
      <c r="G453" s="12">
        <f t="shared" si="35"/>
        <v>1674</v>
      </c>
      <c r="H453" s="13">
        <v>8</v>
      </c>
      <c r="I453" s="13">
        <f t="shared" si="37"/>
        <v>744</v>
      </c>
      <c r="J453" s="8">
        <f t="shared" si="38"/>
        <v>930</v>
      </c>
      <c r="K453" s="10">
        <v>572</v>
      </c>
      <c r="L453" s="11" t="s">
        <v>31</v>
      </c>
      <c r="M453" s="30" t="s">
        <v>25</v>
      </c>
      <c r="N453" s="33">
        <f t="shared" si="39"/>
        <v>0.55555555555555558</v>
      </c>
    </row>
    <row r="454" spans="1:14">
      <c r="A454" t="str">
        <f t="shared" si="36"/>
        <v>2011-11</v>
      </c>
      <c r="B454" s="9">
        <v>40875.782743055555</v>
      </c>
      <c r="C454" s="10">
        <v>19</v>
      </c>
      <c r="D454" s="11" t="s">
        <v>47</v>
      </c>
      <c r="E454" s="10">
        <v>6</v>
      </c>
      <c r="F454" s="12">
        <v>36</v>
      </c>
      <c r="G454" s="12">
        <f t="shared" si="35"/>
        <v>216</v>
      </c>
      <c r="H454" s="13">
        <v>25</v>
      </c>
      <c r="I454" s="13">
        <f t="shared" si="37"/>
        <v>150</v>
      </c>
      <c r="J454" s="8">
        <f t="shared" si="38"/>
        <v>66</v>
      </c>
      <c r="K454" s="10">
        <v>686</v>
      </c>
      <c r="L454" s="11" t="s">
        <v>56</v>
      </c>
      <c r="M454" s="30" t="s">
        <v>21</v>
      </c>
      <c r="N454" s="33">
        <f t="shared" si="39"/>
        <v>0.30555555555555558</v>
      </c>
    </row>
    <row r="455" spans="1:14">
      <c r="A455" t="str">
        <f t="shared" si="36"/>
        <v>2011-11</v>
      </c>
      <c r="B455" s="9">
        <v>40877.02484953704</v>
      </c>
      <c r="C455" s="10">
        <v>31</v>
      </c>
      <c r="D455" s="11" t="s">
        <v>46</v>
      </c>
      <c r="E455" s="10">
        <v>5</v>
      </c>
      <c r="F455" s="12">
        <v>21</v>
      </c>
      <c r="G455" s="12">
        <f t="shared" si="35"/>
        <v>105</v>
      </c>
      <c r="H455" s="13">
        <v>12</v>
      </c>
      <c r="I455" s="13">
        <f t="shared" si="37"/>
        <v>60</v>
      </c>
      <c r="J455" s="8">
        <f t="shared" si="38"/>
        <v>45</v>
      </c>
      <c r="K455" s="10">
        <v>23</v>
      </c>
      <c r="L455" s="11" t="s">
        <v>32</v>
      </c>
      <c r="M455" s="30" t="s">
        <v>21</v>
      </c>
      <c r="N455" s="33">
        <f t="shared" si="39"/>
        <v>0.42857142857142855</v>
      </c>
    </row>
    <row r="456" spans="1:14">
      <c r="A456" t="str">
        <f t="shared" si="36"/>
        <v>2011-11</v>
      </c>
      <c r="B456" s="9">
        <v>40877.107812499999</v>
      </c>
      <c r="C456" s="10">
        <v>19</v>
      </c>
      <c r="D456" s="11" t="s">
        <v>47</v>
      </c>
      <c r="E456" s="10">
        <v>51</v>
      </c>
      <c r="F456" s="12">
        <v>36</v>
      </c>
      <c r="G456" s="12">
        <f t="shared" si="35"/>
        <v>1836</v>
      </c>
      <c r="H456" s="13">
        <v>25</v>
      </c>
      <c r="I456" s="13">
        <f t="shared" si="37"/>
        <v>1275</v>
      </c>
      <c r="J456" s="8">
        <f t="shared" si="38"/>
        <v>561</v>
      </c>
      <c r="K456" s="10">
        <v>6</v>
      </c>
      <c r="L456" s="11" t="s">
        <v>33</v>
      </c>
      <c r="M456" s="30" t="s">
        <v>21</v>
      </c>
      <c r="N456" s="33">
        <f t="shared" si="39"/>
        <v>0.30555555555555558</v>
      </c>
    </row>
    <row r="457" spans="1:14">
      <c r="A457" t="str">
        <f t="shared" si="36"/>
        <v>2011-12</v>
      </c>
      <c r="B457" s="9">
        <v>40879.119641203702</v>
      </c>
      <c r="C457" s="10">
        <v>31</v>
      </c>
      <c r="D457" s="11" t="s">
        <v>46</v>
      </c>
      <c r="E457" s="10">
        <v>4</v>
      </c>
      <c r="F457" s="12">
        <v>21</v>
      </c>
      <c r="G457" s="12">
        <f t="shared" si="35"/>
        <v>84</v>
      </c>
      <c r="H457" s="13">
        <v>12</v>
      </c>
      <c r="I457" s="13">
        <f t="shared" si="37"/>
        <v>48</v>
      </c>
      <c r="J457" s="8">
        <f t="shared" si="38"/>
        <v>36</v>
      </c>
      <c r="K457" s="10">
        <v>315</v>
      </c>
      <c r="L457" s="11" t="s">
        <v>17</v>
      </c>
      <c r="M457" s="30" t="s">
        <v>21</v>
      </c>
      <c r="N457" s="33">
        <f t="shared" si="39"/>
        <v>0.42857142857142855</v>
      </c>
    </row>
    <row r="458" spans="1:14">
      <c r="A458" t="str">
        <f t="shared" si="36"/>
        <v>2011-12</v>
      </c>
      <c r="B458" s="9">
        <v>40879.282962962963</v>
      </c>
      <c r="C458" s="10">
        <v>22</v>
      </c>
      <c r="D458" s="11" t="s">
        <v>16</v>
      </c>
      <c r="E458" s="10">
        <v>92</v>
      </c>
      <c r="F458" s="12">
        <v>24</v>
      </c>
      <c r="G458" s="12">
        <f t="shared" si="35"/>
        <v>2208</v>
      </c>
      <c r="H458" s="13">
        <v>18</v>
      </c>
      <c r="I458" s="13">
        <f t="shared" si="37"/>
        <v>1656</v>
      </c>
      <c r="J458" s="8">
        <f t="shared" si="38"/>
        <v>552</v>
      </c>
      <c r="K458" s="10">
        <v>14</v>
      </c>
      <c r="L458" s="11" t="s">
        <v>27</v>
      </c>
      <c r="M458" s="30" t="s">
        <v>21</v>
      </c>
      <c r="N458" s="33">
        <f t="shared" si="39"/>
        <v>0.25</v>
      </c>
    </row>
    <row r="459" spans="1:14">
      <c r="A459" t="str">
        <f t="shared" si="36"/>
        <v>2011-12</v>
      </c>
      <c r="B459" s="9">
        <v>40880.361608796295</v>
      </c>
      <c r="C459" s="10">
        <v>100</v>
      </c>
      <c r="D459" s="11" t="s">
        <v>40</v>
      </c>
      <c r="E459" s="10">
        <v>48</v>
      </c>
      <c r="F459" s="12">
        <v>8</v>
      </c>
      <c r="G459" s="12">
        <f t="shared" si="35"/>
        <v>384</v>
      </c>
      <c r="H459" s="13">
        <v>4</v>
      </c>
      <c r="I459" s="13">
        <f t="shared" si="37"/>
        <v>192</v>
      </c>
      <c r="J459" s="8">
        <f t="shared" si="38"/>
        <v>192</v>
      </c>
      <c r="K459" s="10">
        <v>572</v>
      </c>
      <c r="L459" s="11" t="s">
        <v>31</v>
      </c>
      <c r="M459" s="30" t="s">
        <v>25</v>
      </c>
      <c r="N459" s="33">
        <f t="shared" si="39"/>
        <v>0.5</v>
      </c>
    </row>
    <row r="460" spans="1:14">
      <c r="A460" t="str">
        <f t="shared" si="36"/>
        <v>2011-12</v>
      </c>
      <c r="B460" s="9">
        <v>40880.499525462961</v>
      </c>
      <c r="C460" s="10">
        <v>22</v>
      </c>
      <c r="D460" s="11" t="s">
        <v>16</v>
      </c>
      <c r="E460" s="10">
        <v>63</v>
      </c>
      <c r="F460" s="12">
        <v>24</v>
      </c>
      <c r="G460" s="12">
        <f t="shared" si="35"/>
        <v>1512</v>
      </c>
      <c r="H460" s="13">
        <v>18</v>
      </c>
      <c r="I460" s="13">
        <f t="shared" si="37"/>
        <v>1134</v>
      </c>
      <c r="J460" s="8">
        <f t="shared" si="38"/>
        <v>378</v>
      </c>
      <c r="K460" s="10">
        <v>686</v>
      </c>
      <c r="L460" s="11" t="s">
        <v>56</v>
      </c>
      <c r="M460" s="30" t="s">
        <v>25</v>
      </c>
      <c r="N460" s="33">
        <f t="shared" si="39"/>
        <v>0.25</v>
      </c>
    </row>
    <row r="461" spans="1:14">
      <c r="A461" t="str">
        <f t="shared" si="36"/>
        <v>2011-12</v>
      </c>
      <c r="B461" s="9">
        <v>40880.95045138889</v>
      </c>
      <c r="C461" s="10">
        <v>4</v>
      </c>
      <c r="D461" s="11" t="s">
        <v>44</v>
      </c>
      <c r="E461" s="10">
        <v>24</v>
      </c>
      <c r="F461" s="12">
        <v>9</v>
      </c>
      <c r="G461" s="12">
        <f t="shared" si="35"/>
        <v>216</v>
      </c>
      <c r="H461" s="13">
        <v>7</v>
      </c>
      <c r="I461" s="13">
        <f t="shared" si="37"/>
        <v>168</v>
      </c>
      <c r="J461" s="8">
        <f t="shared" si="38"/>
        <v>48</v>
      </c>
      <c r="K461" s="10">
        <v>557</v>
      </c>
      <c r="L461" s="11" t="s">
        <v>36</v>
      </c>
      <c r="M461" s="30" t="s">
        <v>25</v>
      </c>
      <c r="N461" s="33">
        <f t="shared" si="39"/>
        <v>0.22222222222222221</v>
      </c>
    </row>
    <row r="462" spans="1:14">
      <c r="A462" t="str">
        <f t="shared" si="36"/>
        <v>2011-12</v>
      </c>
      <c r="B462" s="9">
        <v>40881.014837962961</v>
      </c>
      <c r="C462" s="10">
        <v>4</v>
      </c>
      <c r="D462" s="11" t="s">
        <v>44</v>
      </c>
      <c r="E462" s="10">
        <v>38</v>
      </c>
      <c r="F462" s="12">
        <v>9</v>
      </c>
      <c r="G462" s="12">
        <f t="shared" si="35"/>
        <v>342</v>
      </c>
      <c r="H462" s="13">
        <v>7</v>
      </c>
      <c r="I462" s="13">
        <f t="shared" si="37"/>
        <v>266</v>
      </c>
      <c r="J462" s="8">
        <f t="shared" si="38"/>
        <v>76</v>
      </c>
      <c r="K462" s="10">
        <v>846</v>
      </c>
      <c r="L462" s="11" t="s">
        <v>35</v>
      </c>
      <c r="M462" s="30" t="s">
        <v>25</v>
      </c>
      <c r="N462" s="33">
        <f t="shared" si="39"/>
        <v>0.22222222222222221</v>
      </c>
    </row>
    <row r="463" spans="1:14">
      <c r="A463" t="str">
        <f t="shared" si="36"/>
        <v>2011-12</v>
      </c>
      <c r="B463" s="9">
        <v>40881.222662037035</v>
      </c>
      <c r="C463" s="10">
        <v>98</v>
      </c>
      <c r="D463" s="11" t="s">
        <v>58</v>
      </c>
      <c r="E463" s="10">
        <v>68</v>
      </c>
      <c r="F463" s="12">
        <v>18</v>
      </c>
      <c r="G463" s="12">
        <f t="shared" si="35"/>
        <v>1224</v>
      </c>
      <c r="H463" s="13">
        <v>8</v>
      </c>
      <c r="I463" s="13">
        <f t="shared" si="37"/>
        <v>544</v>
      </c>
      <c r="J463" s="8">
        <f t="shared" si="38"/>
        <v>680</v>
      </c>
      <c r="K463" s="10">
        <v>95</v>
      </c>
      <c r="L463" s="11" t="s">
        <v>34</v>
      </c>
      <c r="M463" s="30" t="s">
        <v>25</v>
      </c>
      <c r="N463" s="33">
        <f t="shared" si="39"/>
        <v>0.55555555555555558</v>
      </c>
    </row>
    <row r="464" spans="1:14">
      <c r="A464" t="str">
        <f t="shared" si="36"/>
        <v>2011-12</v>
      </c>
      <c r="B464" s="9">
        <v>40881.582835648151</v>
      </c>
      <c r="C464" s="10">
        <v>30</v>
      </c>
      <c r="D464" s="11" t="s">
        <v>23</v>
      </c>
      <c r="E464" s="10">
        <v>64</v>
      </c>
      <c r="F464" s="12">
        <v>12</v>
      </c>
      <c r="G464" s="12">
        <f t="shared" si="35"/>
        <v>768</v>
      </c>
      <c r="H464" s="13">
        <v>8</v>
      </c>
      <c r="I464" s="13">
        <f t="shared" si="37"/>
        <v>512</v>
      </c>
      <c r="J464" s="8">
        <f t="shared" si="38"/>
        <v>256</v>
      </c>
      <c r="K464" s="10">
        <v>6</v>
      </c>
      <c r="L464" s="11" t="s">
        <v>33</v>
      </c>
      <c r="M464" s="30" t="s">
        <v>25</v>
      </c>
      <c r="N464" s="33">
        <f t="shared" si="39"/>
        <v>0.33333333333333331</v>
      </c>
    </row>
    <row r="465" spans="1:14">
      <c r="A465" t="str">
        <f t="shared" si="36"/>
        <v>2011-12</v>
      </c>
      <c r="B465" s="9">
        <v>40883.888344907406</v>
      </c>
      <c r="C465" s="10">
        <v>16</v>
      </c>
      <c r="D465" s="11" t="s">
        <v>20</v>
      </c>
      <c r="E465" s="10">
        <v>51</v>
      </c>
      <c r="F465" s="12">
        <v>15</v>
      </c>
      <c r="G465" s="12">
        <f t="shared" si="35"/>
        <v>765</v>
      </c>
      <c r="H465" s="13">
        <v>14</v>
      </c>
      <c r="I465" s="13">
        <f t="shared" si="37"/>
        <v>714</v>
      </c>
      <c r="J465" s="8">
        <f t="shared" si="38"/>
        <v>51</v>
      </c>
      <c r="K465" s="10">
        <v>23</v>
      </c>
      <c r="L465" s="11" t="s">
        <v>32</v>
      </c>
      <c r="M465" s="30" t="s">
        <v>21</v>
      </c>
      <c r="N465" s="33">
        <f t="shared" si="39"/>
        <v>6.6666666666666666E-2</v>
      </c>
    </row>
    <row r="466" spans="1:14">
      <c r="A466" t="str">
        <f t="shared" si="36"/>
        <v>2011-12</v>
      </c>
      <c r="B466" s="9">
        <v>40885.005694444444</v>
      </c>
      <c r="C466" s="10">
        <v>16</v>
      </c>
      <c r="D466" s="11" t="s">
        <v>20</v>
      </c>
      <c r="E466" s="10">
        <v>20</v>
      </c>
      <c r="F466" s="12">
        <v>15</v>
      </c>
      <c r="G466" s="12">
        <f t="shared" si="35"/>
        <v>300</v>
      </c>
      <c r="H466" s="13">
        <v>14</v>
      </c>
      <c r="I466" s="13">
        <f t="shared" si="37"/>
        <v>280</v>
      </c>
      <c r="J466" s="8">
        <f t="shared" si="38"/>
        <v>20</v>
      </c>
      <c r="K466" s="10">
        <v>14</v>
      </c>
      <c r="L466" s="11" t="s">
        <v>27</v>
      </c>
      <c r="M466" s="30" t="s">
        <v>21</v>
      </c>
      <c r="N466" s="33">
        <f t="shared" si="39"/>
        <v>6.6666666666666666E-2</v>
      </c>
    </row>
    <row r="467" spans="1:14">
      <c r="A467" t="str">
        <f t="shared" si="36"/>
        <v>2011-12</v>
      </c>
      <c r="B467" s="9">
        <v>40886.349965277775</v>
      </c>
      <c r="C467" s="10">
        <v>100</v>
      </c>
      <c r="D467" s="11" t="s">
        <v>40</v>
      </c>
      <c r="E467" s="10">
        <v>83</v>
      </c>
      <c r="F467" s="12">
        <v>8</v>
      </c>
      <c r="G467" s="12">
        <f t="shared" si="35"/>
        <v>664</v>
      </c>
      <c r="H467" s="13">
        <v>4</v>
      </c>
      <c r="I467" s="13">
        <f t="shared" si="37"/>
        <v>332</v>
      </c>
      <c r="J467" s="8">
        <f t="shared" si="38"/>
        <v>332</v>
      </c>
      <c r="K467" s="10">
        <v>572</v>
      </c>
      <c r="L467" s="11" t="s">
        <v>31</v>
      </c>
      <c r="M467" s="30" t="s">
        <v>18</v>
      </c>
      <c r="N467" s="33">
        <f t="shared" si="39"/>
        <v>0.5</v>
      </c>
    </row>
    <row r="468" spans="1:14">
      <c r="A468" t="str">
        <f t="shared" si="36"/>
        <v>2011-12</v>
      </c>
      <c r="B468" s="9">
        <v>40886.455370370371</v>
      </c>
      <c r="C468" s="10">
        <v>31</v>
      </c>
      <c r="D468" s="11" t="s">
        <v>46</v>
      </c>
      <c r="E468" s="10">
        <v>96</v>
      </c>
      <c r="F468" s="12">
        <v>21</v>
      </c>
      <c r="G468" s="12">
        <f t="shared" si="35"/>
        <v>2016</v>
      </c>
      <c r="H468" s="13">
        <v>12</v>
      </c>
      <c r="I468" s="13">
        <f t="shared" si="37"/>
        <v>1152</v>
      </c>
      <c r="J468" s="8">
        <f t="shared" si="38"/>
        <v>864</v>
      </c>
      <c r="K468" s="10">
        <v>572</v>
      </c>
      <c r="L468" s="11" t="s">
        <v>31</v>
      </c>
      <c r="M468" s="30" t="s">
        <v>18</v>
      </c>
      <c r="N468" s="33">
        <f t="shared" si="39"/>
        <v>0.42857142857142855</v>
      </c>
    </row>
    <row r="469" spans="1:14">
      <c r="A469" t="str">
        <f t="shared" si="36"/>
        <v>2011-12</v>
      </c>
      <c r="B469" s="9">
        <v>40886.846296296295</v>
      </c>
      <c r="C469" s="10">
        <v>30</v>
      </c>
      <c r="D469" s="11" t="s">
        <v>23</v>
      </c>
      <c r="E469" s="10">
        <v>28</v>
      </c>
      <c r="F469" s="12">
        <v>12</v>
      </c>
      <c r="G469" s="12">
        <f t="shared" si="35"/>
        <v>336</v>
      </c>
      <c r="H469" s="13">
        <v>8</v>
      </c>
      <c r="I469" s="13">
        <f t="shared" si="37"/>
        <v>224</v>
      </c>
      <c r="J469" s="8">
        <f t="shared" si="38"/>
        <v>112</v>
      </c>
      <c r="K469" s="10">
        <v>95</v>
      </c>
      <c r="L469" s="11" t="s">
        <v>34</v>
      </c>
      <c r="M469" s="30" t="s">
        <v>25</v>
      </c>
      <c r="N469" s="33">
        <f t="shared" si="39"/>
        <v>0.33333333333333331</v>
      </c>
    </row>
    <row r="470" spans="1:14">
      <c r="A470" t="str">
        <f t="shared" si="36"/>
        <v>2011-12</v>
      </c>
      <c r="B470" s="9">
        <v>40886.861678240741</v>
      </c>
      <c r="C470" s="10">
        <v>30</v>
      </c>
      <c r="D470" s="11" t="s">
        <v>23</v>
      </c>
      <c r="E470" s="10">
        <v>65</v>
      </c>
      <c r="F470" s="12">
        <v>12</v>
      </c>
      <c r="G470" s="12">
        <f t="shared" si="35"/>
        <v>780</v>
      </c>
      <c r="H470" s="13">
        <v>8</v>
      </c>
      <c r="I470" s="13">
        <f t="shared" si="37"/>
        <v>520</v>
      </c>
      <c r="J470" s="8">
        <f t="shared" si="38"/>
        <v>260</v>
      </c>
      <c r="K470" s="10">
        <v>846</v>
      </c>
      <c r="L470" s="11" t="s">
        <v>35</v>
      </c>
      <c r="M470" s="30" t="s">
        <v>25</v>
      </c>
      <c r="N470" s="33">
        <f t="shared" si="39"/>
        <v>0.33333333333333331</v>
      </c>
    </row>
    <row r="471" spans="1:14">
      <c r="A471" t="str">
        <f t="shared" si="36"/>
        <v>2011-12</v>
      </c>
      <c r="B471" s="9">
        <v>40886.955567129633</v>
      </c>
      <c r="C471" s="10">
        <v>30</v>
      </c>
      <c r="D471" s="11" t="s">
        <v>23</v>
      </c>
      <c r="E471" s="10">
        <v>12</v>
      </c>
      <c r="F471" s="12">
        <v>12</v>
      </c>
      <c r="G471" s="12">
        <f t="shared" si="35"/>
        <v>144</v>
      </c>
      <c r="H471" s="13">
        <v>8</v>
      </c>
      <c r="I471" s="13">
        <f t="shared" si="37"/>
        <v>96</v>
      </c>
      <c r="J471" s="8">
        <f t="shared" si="38"/>
        <v>48</v>
      </c>
      <c r="K471" s="10">
        <v>686</v>
      </c>
      <c r="L471" s="11" t="s">
        <v>56</v>
      </c>
      <c r="M471" s="30" t="s">
        <v>25</v>
      </c>
      <c r="N471" s="33">
        <f t="shared" si="39"/>
        <v>0.33333333333333331</v>
      </c>
    </row>
    <row r="472" spans="1:14">
      <c r="A472" t="str">
        <f t="shared" si="36"/>
        <v>2011-12</v>
      </c>
      <c r="B472" s="9">
        <v>40887.723460648151</v>
      </c>
      <c r="C472" s="10">
        <v>100</v>
      </c>
      <c r="D472" s="11" t="s">
        <v>40</v>
      </c>
      <c r="E472" s="10">
        <v>40</v>
      </c>
      <c r="F472" s="12">
        <v>8</v>
      </c>
      <c r="G472" s="12">
        <f t="shared" si="35"/>
        <v>320</v>
      </c>
      <c r="H472" s="13">
        <v>4</v>
      </c>
      <c r="I472" s="13">
        <f t="shared" si="37"/>
        <v>160</v>
      </c>
      <c r="J472" s="8">
        <f t="shared" si="38"/>
        <v>160</v>
      </c>
      <c r="K472" s="10">
        <v>95</v>
      </c>
      <c r="L472" s="11" t="s">
        <v>34</v>
      </c>
      <c r="M472" s="30" t="s">
        <v>21</v>
      </c>
      <c r="N472" s="33">
        <f t="shared" si="39"/>
        <v>0.5</v>
      </c>
    </row>
    <row r="473" spans="1:14">
      <c r="A473" t="str">
        <f t="shared" si="36"/>
        <v>2011-12</v>
      </c>
      <c r="B473" s="9">
        <v>40890.933437500003</v>
      </c>
      <c r="C473" s="10">
        <v>4</v>
      </c>
      <c r="D473" s="11" t="s">
        <v>44</v>
      </c>
      <c r="E473" s="10">
        <v>81</v>
      </c>
      <c r="F473" s="12">
        <v>9</v>
      </c>
      <c r="G473" s="12">
        <f t="shared" si="35"/>
        <v>729</v>
      </c>
      <c r="H473" s="13">
        <v>7</v>
      </c>
      <c r="I473" s="13">
        <f t="shared" si="37"/>
        <v>567</v>
      </c>
      <c r="J473" s="8">
        <f t="shared" si="38"/>
        <v>162</v>
      </c>
      <c r="K473" s="10">
        <v>6</v>
      </c>
      <c r="L473" s="11" t="s">
        <v>33</v>
      </c>
      <c r="M473" s="30" t="s">
        <v>25</v>
      </c>
      <c r="N473" s="33">
        <f t="shared" si="39"/>
        <v>0.22222222222222221</v>
      </c>
    </row>
    <row r="474" spans="1:14">
      <c r="A474" t="str">
        <f t="shared" si="36"/>
        <v>2011-12</v>
      </c>
      <c r="B474" s="9">
        <v>40892.797326388885</v>
      </c>
      <c r="C474" s="10">
        <v>19</v>
      </c>
      <c r="D474" s="11" t="s">
        <v>47</v>
      </c>
      <c r="E474" s="10">
        <v>31</v>
      </c>
      <c r="F474" s="12">
        <v>36</v>
      </c>
      <c r="G474" s="12">
        <f t="shared" si="35"/>
        <v>1116</v>
      </c>
      <c r="H474" s="13">
        <v>25</v>
      </c>
      <c r="I474" s="13">
        <f t="shared" si="37"/>
        <v>775</v>
      </c>
      <c r="J474" s="8">
        <f t="shared" si="38"/>
        <v>341</v>
      </c>
      <c r="K474" s="10">
        <v>572</v>
      </c>
      <c r="L474" s="11" t="s">
        <v>31</v>
      </c>
      <c r="M474" s="30" t="s">
        <v>25</v>
      </c>
      <c r="N474" s="33">
        <f t="shared" si="39"/>
        <v>0.30555555555555558</v>
      </c>
    </row>
    <row r="475" spans="1:14">
      <c r="A475" t="str">
        <f t="shared" si="36"/>
        <v>2011-12</v>
      </c>
      <c r="B475" s="9">
        <v>40893.01053240741</v>
      </c>
      <c r="C475" s="10">
        <v>16</v>
      </c>
      <c r="D475" s="11" t="s">
        <v>20</v>
      </c>
      <c r="E475" s="10">
        <v>90</v>
      </c>
      <c r="F475" s="12">
        <v>15</v>
      </c>
      <c r="G475" s="12">
        <f t="shared" si="35"/>
        <v>1350</v>
      </c>
      <c r="H475" s="13">
        <v>14</v>
      </c>
      <c r="I475" s="13">
        <f t="shared" si="37"/>
        <v>1260</v>
      </c>
      <c r="J475" s="8">
        <f t="shared" si="38"/>
        <v>90</v>
      </c>
      <c r="K475" s="10">
        <v>572</v>
      </c>
      <c r="L475" s="11" t="s">
        <v>31</v>
      </c>
      <c r="M475" s="30" t="s">
        <v>18</v>
      </c>
      <c r="N475" s="33">
        <f t="shared" si="39"/>
        <v>6.6666666666666666E-2</v>
      </c>
    </row>
    <row r="476" spans="1:14">
      <c r="A476" t="str">
        <f t="shared" si="36"/>
        <v>2011-12</v>
      </c>
      <c r="B476" s="9">
        <v>40893.703067129631</v>
      </c>
      <c r="C476" s="10">
        <v>22</v>
      </c>
      <c r="D476" s="11" t="s">
        <v>16</v>
      </c>
      <c r="E476" s="10">
        <v>66</v>
      </c>
      <c r="F476" s="12">
        <v>24</v>
      </c>
      <c r="G476" s="12">
        <f t="shared" si="35"/>
        <v>1584</v>
      </c>
      <c r="H476" s="13">
        <v>18</v>
      </c>
      <c r="I476" s="13">
        <f t="shared" si="37"/>
        <v>1188</v>
      </c>
      <c r="J476" s="8">
        <f t="shared" si="38"/>
        <v>396</v>
      </c>
      <c r="K476" s="10">
        <v>95</v>
      </c>
      <c r="L476" s="11" t="s">
        <v>34</v>
      </c>
      <c r="M476" s="30" t="s">
        <v>25</v>
      </c>
      <c r="N476" s="33">
        <f t="shared" si="39"/>
        <v>0.25</v>
      </c>
    </row>
    <row r="477" spans="1:14">
      <c r="A477" t="str">
        <f t="shared" si="36"/>
        <v>2011-12</v>
      </c>
      <c r="B477" s="9">
        <v>40894.612962962965</v>
      </c>
      <c r="C477" s="10">
        <v>16</v>
      </c>
      <c r="D477" s="11" t="s">
        <v>20</v>
      </c>
      <c r="E477" s="10">
        <v>25</v>
      </c>
      <c r="F477" s="12">
        <v>15</v>
      </c>
      <c r="G477" s="12">
        <f t="shared" si="35"/>
        <v>375</v>
      </c>
      <c r="H477" s="13">
        <v>14</v>
      </c>
      <c r="I477" s="13">
        <f t="shared" si="37"/>
        <v>350</v>
      </c>
      <c r="J477" s="8">
        <f t="shared" si="38"/>
        <v>25</v>
      </c>
      <c r="K477" s="10">
        <v>95</v>
      </c>
      <c r="L477" s="11" t="s">
        <v>34</v>
      </c>
      <c r="M477" s="30" t="s">
        <v>18</v>
      </c>
      <c r="N477" s="33">
        <f t="shared" si="39"/>
        <v>6.6666666666666666E-2</v>
      </c>
    </row>
    <row r="478" spans="1:14">
      <c r="A478" t="str">
        <f t="shared" si="36"/>
        <v>2011-12</v>
      </c>
      <c r="B478" s="9">
        <v>40894.644155092596</v>
      </c>
      <c r="C478" s="10">
        <v>39</v>
      </c>
      <c r="D478" s="11" t="s">
        <v>37</v>
      </c>
      <c r="E478" s="10">
        <v>98</v>
      </c>
      <c r="F478" s="12">
        <v>33</v>
      </c>
      <c r="G478" s="12">
        <f t="shared" si="35"/>
        <v>3234</v>
      </c>
      <c r="H478" s="13">
        <v>28</v>
      </c>
      <c r="I478" s="13">
        <f t="shared" si="37"/>
        <v>2744</v>
      </c>
      <c r="J478" s="8">
        <f t="shared" si="38"/>
        <v>490</v>
      </c>
      <c r="K478" s="10">
        <v>95</v>
      </c>
      <c r="L478" s="11" t="s">
        <v>34</v>
      </c>
      <c r="M478" s="30" t="s">
        <v>25</v>
      </c>
      <c r="N478" s="33">
        <f t="shared" si="39"/>
        <v>0.15151515151515152</v>
      </c>
    </row>
    <row r="479" spans="1:14">
      <c r="A479" t="str">
        <f t="shared" si="36"/>
        <v>2011-12</v>
      </c>
      <c r="B479" s="9">
        <v>40895.139097222222</v>
      </c>
      <c r="C479" s="10">
        <v>100</v>
      </c>
      <c r="D479" s="11" t="s">
        <v>40</v>
      </c>
      <c r="E479" s="10">
        <v>44</v>
      </c>
      <c r="F479" s="12">
        <v>8</v>
      </c>
      <c r="G479" s="12">
        <f t="shared" si="35"/>
        <v>352</v>
      </c>
      <c r="H479" s="13">
        <v>4</v>
      </c>
      <c r="I479" s="13">
        <f t="shared" si="37"/>
        <v>176</v>
      </c>
      <c r="J479" s="8">
        <f t="shared" si="38"/>
        <v>176</v>
      </c>
      <c r="K479" s="10">
        <v>6</v>
      </c>
      <c r="L479" s="11" t="s">
        <v>33</v>
      </c>
      <c r="M479" s="30" t="s">
        <v>21</v>
      </c>
      <c r="N479" s="33">
        <f t="shared" si="39"/>
        <v>0.5</v>
      </c>
    </row>
    <row r="480" spans="1:14">
      <c r="A480" t="str">
        <f t="shared" si="36"/>
        <v>2011-12</v>
      </c>
      <c r="B480" s="9">
        <v>40895.282384259262</v>
      </c>
      <c r="C480" s="10">
        <v>16</v>
      </c>
      <c r="D480" s="11" t="s">
        <v>20</v>
      </c>
      <c r="E480" s="10">
        <v>24</v>
      </c>
      <c r="F480" s="12">
        <v>15</v>
      </c>
      <c r="G480" s="12">
        <f t="shared" si="35"/>
        <v>360</v>
      </c>
      <c r="H480" s="13">
        <v>14</v>
      </c>
      <c r="I480" s="13">
        <f t="shared" si="37"/>
        <v>336</v>
      </c>
      <c r="J480" s="8">
        <f t="shared" si="38"/>
        <v>24</v>
      </c>
      <c r="K480" s="10">
        <v>23</v>
      </c>
      <c r="L480" s="11" t="s">
        <v>32</v>
      </c>
      <c r="M480" s="30" t="s">
        <v>21</v>
      </c>
      <c r="N480" s="33">
        <f t="shared" si="39"/>
        <v>6.6666666666666666E-2</v>
      </c>
    </row>
    <row r="481" spans="1:14">
      <c r="A481" t="str">
        <f t="shared" si="36"/>
        <v>2011-12</v>
      </c>
      <c r="B481" s="9">
        <v>40895.622372685182</v>
      </c>
      <c r="C481" s="10">
        <v>4</v>
      </c>
      <c r="D481" s="11" t="s">
        <v>44</v>
      </c>
      <c r="E481" s="10">
        <v>51</v>
      </c>
      <c r="F481" s="12">
        <v>9</v>
      </c>
      <c r="G481" s="12">
        <f t="shared" si="35"/>
        <v>459</v>
      </c>
      <c r="H481" s="13">
        <v>7</v>
      </c>
      <c r="I481" s="13">
        <f t="shared" si="37"/>
        <v>357</v>
      </c>
      <c r="J481" s="8">
        <f t="shared" si="38"/>
        <v>102</v>
      </c>
      <c r="K481" s="10">
        <v>14</v>
      </c>
      <c r="L481" s="11" t="s">
        <v>27</v>
      </c>
      <c r="M481" s="30" t="s">
        <v>25</v>
      </c>
      <c r="N481" s="33">
        <f t="shared" si="39"/>
        <v>0.22222222222222221</v>
      </c>
    </row>
    <row r="482" spans="1:14">
      <c r="A482" t="str">
        <f t="shared" si="36"/>
        <v>2011-12</v>
      </c>
      <c r="B482" s="9">
        <v>40896.000879629632</v>
      </c>
      <c r="C482" s="10">
        <v>30</v>
      </c>
      <c r="D482" s="11" t="s">
        <v>23</v>
      </c>
      <c r="E482" s="10">
        <v>85</v>
      </c>
      <c r="F482" s="12">
        <v>12</v>
      </c>
      <c r="G482" s="12">
        <f t="shared" si="35"/>
        <v>1020</v>
      </c>
      <c r="H482" s="13">
        <v>8</v>
      </c>
      <c r="I482" s="13">
        <f t="shared" si="37"/>
        <v>680</v>
      </c>
      <c r="J482" s="8">
        <f t="shared" si="38"/>
        <v>340</v>
      </c>
      <c r="K482" s="10">
        <v>6</v>
      </c>
      <c r="L482" s="11" t="s">
        <v>33</v>
      </c>
      <c r="M482" s="30" t="s">
        <v>25</v>
      </c>
      <c r="N482" s="33">
        <f t="shared" si="39"/>
        <v>0.33333333333333331</v>
      </c>
    </row>
    <row r="483" spans="1:14">
      <c r="A483" t="str">
        <f t="shared" si="36"/>
        <v>2011-12</v>
      </c>
      <c r="B483" s="9">
        <v>40896.823912037034</v>
      </c>
      <c r="C483" s="10">
        <v>16</v>
      </c>
      <c r="D483" s="11" t="s">
        <v>20</v>
      </c>
      <c r="E483" s="10">
        <v>45</v>
      </c>
      <c r="F483" s="12">
        <v>15</v>
      </c>
      <c r="G483" s="12">
        <f t="shared" si="35"/>
        <v>675</v>
      </c>
      <c r="H483" s="13">
        <v>14</v>
      </c>
      <c r="I483" s="13">
        <f t="shared" si="37"/>
        <v>630</v>
      </c>
      <c r="J483" s="8">
        <f t="shared" si="38"/>
        <v>45</v>
      </c>
      <c r="K483" s="10">
        <v>14</v>
      </c>
      <c r="L483" s="11" t="s">
        <v>27</v>
      </c>
      <c r="M483" s="30" t="s">
        <v>25</v>
      </c>
      <c r="N483" s="33">
        <f t="shared" si="39"/>
        <v>6.6666666666666666E-2</v>
      </c>
    </row>
    <row r="484" spans="1:14">
      <c r="A484" t="str">
        <f t="shared" si="36"/>
        <v>2011-12</v>
      </c>
      <c r="B484" s="9">
        <v>40898.846168981479</v>
      </c>
      <c r="C484" s="10">
        <v>2</v>
      </c>
      <c r="D484" s="11" t="s">
        <v>30</v>
      </c>
      <c r="E484" s="10">
        <v>92</v>
      </c>
      <c r="F484" s="12">
        <v>12</v>
      </c>
      <c r="G484" s="12">
        <f t="shared" si="35"/>
        <v>1104</v>
      </c>
      <c r="H484" s="13">
        <v>6</v>
      </c>
      <c r="I484" s="13">
        <f t="shared" si="37"/>
        <v>552</v>
      </c>
      <c r="J484" s="8">
        <f t="shared" si="38"/>
        <v>552</v>
      </c>
      <c r="K484" s="10">
        <v>6</v>
      </c>
      <c r="L484" s="11" t="s">
        <v>33</v>
      </c>
      <c r="M484" s="30" t="s">
        <v>21</v>
      </c>
      <c r="N484" s="33">
        <f t="shared" si="39"/>
        <v>0.5</v>
      </c>
    </row>
    <row r="485" spans="1:14">
      <c r="A485" t="str">
        <f t="shared" si="36"/>
        <v>2011-12</v>
      </c>
      <c r="B485" s="9">
        <v>40900.589618055557</v>
      </c>
      <c r="C485" s="10">
        <v>100</v>
      </c>
      <c r="D485" s="11" t="s">
        <v>40</v>
      </c>
      <c r="E485" s="10">
        <v>22</v>
      </c>
      <c r="F485" s="12">
        <v>8</v>
      </c>
      <c r="G485" s="12">
        <f t="shared" si="35"/>
        <v>176</v>
      </c>
      <c r="H485" s="13">
        <v>4</v>
      </c>
      <c r="I485" s="13">
        <f t="shared" si="37"/>
        <v>88</v>
      </c>
      <c r="J485" s="8">
        <f t="shared" si="38"/>
        <v>88</v>
      </c>
      <c r="K485" s="10">
        <v>14</v>
      </c>
      <c r="L485" s="11" t="s">
        <v>27</v>
      </c>
      <c r="M485" s="30" t="s">
        <v>25</v>
      </c>
      <c r="N485" s="33">
        <f t="shared" si="39"/>
        <v>0.5</v>
      </c>
    </row>
    <row r="486" spans="1:14">
      <c r="A486" t="str">
        <f t="shared" si="36"/>
        <v>2011-12</v>
      </c>
      <c r="B486" s="9">
        <v>40900.909317129626</v>
      </c>
      <c r="C486" s="10">
        <v>31</v>
      </c>
      <c r="D486" s="11" t="s">
        <v>46</v>
      </c>
      <c r="E486" s="10">
        <v>42</v>
      </c>
      <c r="F486" s="12">
        <v>21</v>
      </c>
      <c r="G486" s="12">
        <f t="shared" si="35"/>
        <v>882</v>
      </c>
      <c r="H486" s="13">
        <v>12</v>
      </c>
      <c r="I486" s="13">
        <f t="shared" si="37"/>
        <v>504</v>
      </c>
      <c r="J486" s="8">
        <f t="shared" si="38"/>
        <v>378</v>
      </c>
      <c r="K486" s="10">
        <v>315</v>
      </c>
      <c r="L486" s="11" t="s">
        <v>17</v>
      </c>
      <c r="M486" s="30" t="s">
        <v>25</v>
      </c>
      <c r="N486" s="33">
        <f t="shared" si="39"/>
        <v>0.42857142857142855</v>
      </c>
    </row>
    <row r="487" spans="1:14">
      <c r="A487" t="str">
        <f t="shared" si="36"/>
        <v>2011-12</v>
      </c>
      <c r="B487" s="9">
        <v>40902.544050925928</v>
      </c>
      <c r="C487" s="10">
        <v>6</v>
      </c>
      <c r="D487" s="11" t="s">
        <v>60</v>
      </c>
      <c r="E487" s="10">
        <v>49</v>
      </c>
      <c r="F487" s="12">
        <v>55</v>
      </c>
      <c r="G487" s="12">
        <f t="shared" si="35"/>
        <v>2695</v>
      </c>
      <c r="H487" s="13">
        <v>25</v>
      </c>
      <c r="I487" s="13">
        <f t="shared" si="37"/>
        <v>1225</v>
      </c>
      <c r="J487" s="8">
        <f t="shared" si="38"/>
        <v>1470</v>
      </c>
      <c r="K487" s="10">
        <v>23</v>
      </c>
      <c r="L487" s="11" t="s">
        <v>32</v>
      </c>
      <c r="M487" s="30" t="s">
        <v>25</v>
      </c>
      <c r="N487" s="33">
        <f t="shared" si="39"/>
        <v>0.54545454545454541</v>
      </c>
    </row>
    <row r="488" spans="1:14">
      <c r="A488" t="str">
        <f t="shared" si="36"/>
        <v>2011-12</v>
      </c>
      <c r="B488" s="9">
        <v>40902.612604166665</v>
      </c>
      <c r="C488" s="10">
        <v>30</v>
      </c>
      <c r="D488" s="11" t="s">
        <v>23</v>
      </c>
      <c r="E488" s="10">
        <v>79</v>
      </c>
      <c r="F488" s="12">
        <v>12</v>
      </c>
      <c r="G488" s="12">
        <f t="shared" si="35"/>
        <v>948</v>
      </c>
      <c r="H488" s="13">
        <v>8</v>
      </c>
      <c r="I488" s="13">
        <f t="shared" si="37"/>
        <v>632</v>
      </c>
      <c r="J488" s="8">
        <f t="shared" si="38"/>
        <v>316</v>
      </c>
      <c r="K488" s="10">
        <v>846</v>
      </c>
      <c r="L488" s="11" t="s">
        <v>35</v>
      </c>
      <c r="M488" s="30" t="s">
        <v>18</v>
      </c>
      <c r="N488" s="33">
        <f t="shared" si="39"/>
        <v>0.33333333333333331</v>
      </c>
    </row>
    <row r="489" spans="1:14">
      <c r="A489" t="str">
        <f t="shared" si="36"/>
        <v>2011-12</v>
      </c>
      <c r="B489" s="9">
        <v>40903.723969907405</v>
      </c>
      <c r="C489" s="10">
        <v>16</v>
      </c>
      <c r="D489" s="11" t="s">
        <v>20</v>
      </c>
      <c r="E489" s="10">
        <v>31</v>
      </c>
      <c r="F489" s="12">
        <v>15</v>
      </c>
      <c r="G489" s="12">
        <f t="shared" si="35"/>
        <v>465</v>
      </c>
      <c r="H489" s="13">
        <v>14</v>
      </c>
      <c r="I489" s="13">
        <f t="shared" si="37"/>
        <v>434</v>
      </c>
      <c r="J489" s="8">
        <f t="shared" si="38"/>
        <v>31</v>
      </c>
      <c r="K489" s="10">
        <v>846</v>
      </c>
      <c r="L489" s="11" t="s">
        <v>35</v>
      </c>
      <c r="M489" s="30" t="s">
        <v>25</v>
      </c>
      <c r="N489" s="33">
        <f t="shared" si="39"/>
        <v>6.6666666666666666E-2</v>
      </c>
    </row>
    <row r="490" spans="1:14">
      <c r="A490" t="str">
        <f t="shared" si="36"/>
        <v>2011-12</v>
      </c>
      <c r="B490" s="9">
        <v>40904.879189814812</v>
      </c>
      <c r="C490" s="10">
        <v>39</v>
      </c>
      <c r="D490" s="11" t="s">
        <v>37</v>
      </c>
      <c r="E490" s="10">
        <v>43</v>
      </c>
      <c r="F490" s="12">
        <v>33</v>
      </c>
      <c r="G490" s="12">
        <f t="shared" si="35"/>
        <v>1419</v>
      </c>
      <c r="H490" s="13">
        <v>28</v>
      </c>
      <c r="I490" s="13">
        <f t="shared" si="37"/>
        <v>1204</v>
      </c>
      <c r="J490" s="8">
        <f t="shared" si="38"/>
        <v>215</v>
      </c>
      <c r="K490" s="10">
        <v>14</v>
      </c>
      <c r="L490" s="11" t="s">
        <v>27</v>
      </c>
      <c r="M490" s="30" t="s">
        <v>21</v>
      </c>
      <c r="N490" s="33">
        <f t="shared" si="39"/>
        <v>0.15151515151515152</v>
      </c>
    </row>
    <row r="491" spans="1:14">
      <c r="A491" t="str">
        <f t="shared" si="36"/>
        <v>2011-12</v>
      </c>
      <c r="B491" s="9">
        <v>40905.011365740742</v>
      </c>
      <c r="C491" s="10">
        <v>16</v>
      </c>
      <c r="D491" s="11" t="s">
        <v>20</v>
      </c>
      <c r="E491" s="10">
        <v>1</v>
      </c>
      <c r="F491" s="12">
        <v>15</v>
      </c>
      <c r="G491" s="12">
        <f t="shared" si="35"/>
        <v>15</v>
      </c>
      <c r="H491" s="13">
        <v>14</v>
      </c>
      <c r="I491" s="13">
        <f t="shared" si="37"/>
        <v>14</v>
      </c>
      <c r="J491" s="8">
        <f t="shared" si="38"/>
        <v>1</v>
      </c>
      <c r="K491" s="10">
        <v>846</v>
      </c>
      <c r="L491" s="11" t="s">
        <v>35</v>
      </c>
      <c r="M491" s="30" t="s">
        <v>25</v>
      </c>
      <c r="N491" s="33">
        <f t="shared" si="39"/>
        <v>6.6666666666666666E-2</v>
      </c>
    </row>
    <row r="492" spans="1:14">
      <c r="A492" t="str">
        <f t="shared" si="36"/>
        <v>2011-12</v>
      </c>
      <c r="B492" s="9">
        <v>40905.126087962963</v>
      </c>
      <c r="C492" s="10">
        <v>30</v>
      </c>
      <c r="D492" s="11" t="s">
        <v>23</v>
      </c>
      <c r="E492" s="10">
        <v>31</v>
      </c>
      <c r="F492" s="12">
        <v>12</v>
      </c>
      <c r="G492" s="12">
        <f t="shared" si="35"/>
        <v>372</v>
      </c>
      <c r="H492" s="13">
        <v>8</v>
      </c>
      <c r="I492" s="13">
        <f t="shared" si="37"/>
        <v>248</v>
      </c>
      <c r="J492" s="8">
        <f t="shared" si="38"/>
        <v>124</v>
      </c>
      <c r="K492" s="10">
        <v>95</v>
      </c>
      <c r="L492" s="11" t="s">
        <v>34</v>
      </c>
      <c r="M492" s="30" t="s">
        <v>18</v>
      </c>
      <c r="N492" s="33">
        <f t="shared" si="39"/>
        <v>0.33333333333333331</v>
      </c>
    </row>
    <row r="493" spans="1:14">
      <c r="A493" t="str">
        <f t="shared" si="36"/>
        <v>2011-12</v>
      </c>
      <c r="B493" s="9">
        <v>40905.200914351852</v>
      </c>
      <c r="C493" s="10">
        <v>4</v>
      </c>
      <c r="D493" s="11" t="s">
        <v>44</v>
      </c>
      <c r="E493" s="10">
        <v>84</v>
      </c>
      <c r="F493" s="12">
        <v>9</v>
      </c>
      <c r="G493" s="12">
        <f t="shared" si="35"/>
        <v>756</v>
      </c>
      <c r="H493" s="13">
        <v>7</v>
      </c>
      <c r="I493" s="13">
        <f t="shared" si="37"/>
        <v>588</v>
      </c>
      <c r="J493" s="8">
        <f t="shared" si="38"/>
        <v>168</v>
      </c>
      <c r="K493" s="10">
        <v>686</v>
      </c>
      <c r="L493" s="11" t="s">
        <v>56</v>
      </c>
      <c r="M493" s="30" t="s">
        <v>25</v>
      </c>
      <c r="N493" s="33">
        <f t="shared" si="39"/>
        <v>0.22222222222222221</v>
      </c>
    </row>
    <row r="494" spans="1:14">
      <c r="A494" t="str">
        <f t="shared" si="36"/>
        <v>2011-12</v>
      </c>
      <c r="B494" s="9">
        <v>40905.682986111111</v>
      </c>
      <c r="C494" s="10">
        <v>2</v>
      </c>
      <c r="D494" s="11" t="s">
        <v>30</v>
      </c>
      <c r="E494" s="10">
        <v>9</v>
      </c>
      <c r="F494" s="12">
        <v>12</v>
      </c>
      <c r="G494" s="12">
        <f t="shared" si="35"/>
        <v>108</v>
      </c>
      <c r="H494" s="13">
        <v>6</v>
      </c>
      <c r="I494" s="13">
        <f t="shared" si="37"/>
        <v>54</v>
      </c>
      <c r="J494" s="8">
        <f t="shared" si="38"/>
        <v>54</v>
      </c>
      <c r="K494" s="10">
        <v>14</v>
      </c>
      <c r="L494" s="11" t="s">
        <v>27</v>
      </c>
      <c r="M494" s="30" t="s">
        <v>25</v>
      </c>
      <c r="N494" s="33">
        <f t="shared" si="39"/>
        <v>0.5</v>
      </c>
    </row>
    <row r="495" spans="1:14">
      <c r="A495" t="str">
        <f t="shared" si="36"/>
        <v>2011-12</v>
      </c>
      <c r="B495" s="9">
        <v>40906.187152777777</v>
      </c>
      <c r="C495" s="10">
        <v>98</v>
      </c>
      <c r="D495" s="11" t="s">
        <v>58</v>
      </c>
      <c r="E495" s="10">
        <v>45</v>
      </c>
      <c r="F495" s="12">
        <v>18</v>
      </c>
      <c r="G495" s="12">
        <f t="shared" si="35"/>
        <v>810</v>
      </c>
      <c r="H495" s="13">
        <v>8</v>
      </c>
      <c r="I495" s="13">
        <f t="shared" si="37"/>
        <v>360</v>
      </c>
      <c r="J495" s="8">
        <f t="shared" si="38"/>
        <v>450</v>
      </c>
      <c r="K495" s="10">
        <v>233</v>
      </c>
      <c r="L495" s="11" t="s">
        <v>24</v>
      </c>
      <c r="M495" s="30" t="s">
        <v>21</v>
      </c>
      <c r="N495" s="33">
        <f t="shared" si="39"/>
        <v>0.55555555555555558</v>
      </c>
    </row>
    <row r="496" spans="1:14">
      <c r="A496" t="str">
        <f t="shared" si="36"/>
        <v>2011-12</v>
      </c>
      <c r="B496" s="9">
        <v>40907.1721875</v>
      </c>
      <c r="C496" s="10">
        <v>4</v>
      </c>
      <c r="D496" s="11" t="s">
        <v>44</v>
      </c>
      <c r="E496" s="10">
        <v>68</v>
      </c>
      <c r="F496" s="12">
        <v>9</v>
      </c>
      <c r="G496" s="12">
        <f t="shared" si="35"/>
        <v>612</v>
      </c>
      <c r="H496" s="13">
        <v>7</v>
      </c>
      <c r="I496" s="13">
        <f t="shared" si="37"/>
        <v>476</v>
      </c>
      <c r="J496" s="8">
        <f t="shared" si="38"/>
        <v>136</v>
      </c>
      <c r="K496" s="10">
        <v>6</v>
      </c>
      <c r="L496" s="11" t="s">
        <v>33</v>
      </c>
      <c r="M496" s="30" t="s">
        <v>21</v>
      </c>
      <c r="N496" s="33">
        <f t="shared" si="39"/>
        <v>0.22222222222222221</v>
      </c>
    </row>
    <row r="497" spans="1:14">
      <c r="A497" t="str">
        <f t="shared" si="36"/>
        <v>2011-12</v>
      </c>
      <c r="B497" s="9">
        <v>40907.608865740738</v>
      </c>
      <c r="C497" s="10">
        <v>16</v>
      </c>
      <c r="D497" s="11" t="s">
        <v>20</v>
      </c>
      <c r="E497" s="10">
        <v>8</v>
      </c>
      <c r="F497" s="12">
        <v>15</v>
      </c>
      <c r="G497" s="12">
        <f t="shared" si="35"/>
        <v>120</v>
      </c>
      <c r="H497" s="13">
        <v>14</v>
      </c>
      <c r="I497" s="13">
        <f t="shared" si="37"/>
        <v>112</v>
      </c>
      <c r="J497" s="8">
        <f t="shared" si="38"/>
        <v>8</v>
      </c>
      <c r="K497" s="10">
        <v>572</v>
      </c>
      <c r="L497" s="11" t="s">
        <v>31</v>
      </c>
      <c r="M497" s="30" t="s">
        <v>25</v>
      </c>
      <c r="N497" s="33">
        <f t="shared" si="39"/>
        <v>6.6666666666666666E-2</v>
      </c>
    </row>
    <row r="498" spans="1:14">
      <c r="A498" t="str">
        <f t="shared" si="36"/>
        <v>2011-12</v>
      </c>
      <c r="B498" s="9">
        <v>40908.479849537034</v>
      </c>
      <c r="C498" s="10">
        <v>2</v>
      </c>
      <c r="D498" s="11" t="s">
        <v>30</v>
      </c>
      <c r="E498" s="10">
        <v>42</v>
      </c>
      <c r="F498" s="12">
        <v>12</v>
      </c>
      <c r="G498" s="12">
        <f t="shared" si="35"/>
        <v>504</v>
      </c>
      <c r="H498" s="13">
        <v>6</v>
      </c>
      <c r="I498" s="13">
        <f t="shared" si="37"/>
        <v>252</v>
      </c>
      <c r="J498" s="8">
        <f t="shared" si="38"/>
        <v>252</v>
      </c>
      <c r="K498" s="10">
        <v>14</v>
      </c>
      <c r="L498" s="11" t="s">
        <v>27</v>
      </c>
      <c r="M498" s="30" t="s">
        <v>21</v>
      </c>
      <c r="N498" s="33">
        <f t="shared" si="39"/>
        <v>0.5</v>
      </c>
    </row>
    <row r="499" spans="1:14">
      <c r="A499" t="str">
        <f t="shared" si="36"/>
        <v>2011-12</v>
      </c>
      <c r="B499" s="9">
        <v>40908.567372685182</v>
      </c>
      <c r="C499" s="10">
        <v>16</v>
      </c>
      <c r="D499" s="11" t="s">
        <v>20</v>
      </c>
      <c r="E499" s="10">
        <v>72</v>
      </c>
      <c r="F499" s="12">
        <v>15</v>
      </c>
      <c r="G499" s="12">
        <f t="shared" si="35"/>
        <v>1080</v>
      </c>
      <c r="H499" s="13">
        <v>14</v>
      </c>
      <c r="I499" s="13">
        <f t="shared" si="37"/>
        <v>1008</v>
      </c>
      <c r="J499" s="8">
        <f t="shared" si="38"/>
        <v>72</v>
      </c>
      <c r="K499" s="10">
        <v>95</v>
      </c>
      <c r="L499" s="11" t="s">
        <v>34</v>
      </c>
      <c r="M499" s="30" t="s">
        <v>25</v>
      </c>
      <c r="N499" s="33">
        <f t="shared" si="39"/>
        <v>6.6666666666666666E-2</v>
      </c>
    </row>
    <row r="500" spans="1:14">
      <c r="A500" t="str">
        <f t="shared" si="36"/>
        <v>2010-01</v>
      </c>
      <c r="B500" s="9">
        <v>40179.515370370369</v>
      </c>
      <c r="C500" s="10">
        <v>2</v>
      </c>
      <c r="D500" s="11" t="s">
        <v>30</v>
      </c>
      <c r="E500" s="10">
        <v>50</v>
      </c>
      <c r="F500" s="12">
        <v>12</v>
      </c>
      <c r="G500" s="12">
        <f t="shared" si="35"/>
        <v>600</v>
      </c>
      <c r="H500" s="13">
        <v>6</v>
      </c>
      <c r="I500" s="13">
        <f t="shared" si="37"/>
        <v>300</v>
      </c>
      <c r="J500" s="8">
        <f t="shared" si="38"/>
        <v>300</v>
      </c>
      <c r="K500" s="10">
        <v>686</v>
      </c>
      <c r="L500" s="11" t="s">
        <v>56</v>
      </c>
      <c r="M500" s="30" t="s">
        <v>25</v>
      </c>
      <c r="N500" s="33">
        <f t="shared" si="39"/>
        <v>0.5</v>
      </c>
    </row>
    <row r="501" spans="1:14">
      <c r="A501" t="str">
        <f t="shared" si="36"/>
        <v>2010-01</v>
      </c>
      <c r="B501" s="9">
        <v>40179.908622685187</v>
      </c>
      <c r="C501" s="10">
        <v>2</v>
      </c>
      <c r="D501" s="11" t="s">
        <v>30</v>
      </c>
      <c r="E501" s="10">
        <v>5</v>
      </c>
      <c r="F501" s="12">
        <v>12</v>
      </c>
      <c r="G501" s="12">
        <f t="shared" si="35"/>
        <v>60</v>
      </c>
      <c r="H501" s="13">
        <v>6</v>
      </c>
      <c r="I501" s="13">
        <f t="shared" si="37"/>
        <v>30</v>
      </c>
      <c r="J501" s="8">
        <f t="shared" si="38"/>
        <v>30</v>
      </c>
      <c r="K501" s="10">
        <v>14</v>
      </c>
      <c r="L501" s="11" t="s">
        <v>27</v>
      </c>
      <c r="M501" s="30" t="s">
        <v>25</v>
      </c>
      <c r="N501" s="33">
        <f t="shared" si="39"/>
        <v>0.5</v>
      </c>
    </row>
    <row r="502" spans="1:14">
      <c r="A502" t="str">
        <f t="shared" si="36"/>
        <v>2010-01</v>
      </c>
      <c r="B502" s="9">
        <v>40180.131874999999</v>
      </c>
      <c r="C502" s="10">
        <v>31</v>
      </c>
      <c r="D502" s="11" t="s">
        <v>46</v>
      </c>
      <c r="E502" s="10">
        <v>31</v>
      </c>
      <c r="F502" s="12">
        <v>21</v>
      </c>
      <c r="G502" s="12">
        <f t="shared" si="35"/>
        <v>651</v>
      </c>
      <c r="H502" s="13">
        <v>12</v>
      </c>
      <c r="I502" s="13">
        <f t="shared" si="37"/>
        <v>372</v>
      </c>
      <c r="J502" s="8">
        <f t="shared" si="38"/>
        <v>279</v>
      </c>
      <c r="K502" s="10">
        <v>686</v>
      </c>
      <c r="L502" s="11" t="s">
        <v>56</v>
      </c>
      <c r="M502" s="30" t="s">
        <v>25</v>
      </c>
      <c r="N502" s="33">
        <f t="shared" si="39"/>
        <v>0.42857142857142855</v>
      </c>
    </row>
    <row r="503" spans="1:14">
      <c r="A503" t="str">
        <f t="shared" si="36"/>
        <v>2010-01</v>
      </c>
      <c r="B503" s="9">
        <v>40190.432835648149</v>
      </c>
      <c r="C503" s="10">
        <v>4</v>
      </c>
      <c r="D503" s="11" t="s">
        <v>44</v>
      </c>
      <c r="E503" s="10">
        <v>76</v>
      </c>
      <c r="F503" s="12">
        <v>9</v>
      </c>
      <c r="G503" s="12">
        <f t="shared" si="35"/>
        <v>684</v>
      </c>
      <c r="H503" s="13">
        <v>7</v>
      </c>
      <c r="I503" s="13">
        <f t="shared" si="37"/>
        <v>532</v>
      </c>
      <c r="J503" s="8">
        <f t="shared" si="38"/>
        <v>152</v>
      </c>
      <c r="K503" s="10">
        <v>14</v>
      </c>
      <c r="L503" s="11" t="s">
        <v>27</v>
      </c>
      <c r="M503" s="30" t="s">
        <v>25</v>
      </c>
      <c r="N503" s="33">
        <f t="shared" si="39"/>
        <v>0.22222222222222221</v>
      </c>
    </row>
    <row r="504" spans="1:14">
      <c r="A504" t="str">
        <f t="shared" si="36"/>
        <v>2010-01</v>
      </c>
      <c r="B504" s="9">
        <v>40190.432835648149</v>
      </c>
      <c r="C504" s="10">
        <v>2</v>
      </c>
      <c r="D504" s="11" t="s">
        <v>30</v>
      </c>
      <c r="E504" s="10">
        <v>50</v>
      </c>
      <c r="F504" s="12">
        <v>12</v>
      </c>
      <c r="G504" s="12">
        <f t="shared" si="35"/>
        <v>600</v>
      </c>
      <c r="H504" s="13">
        <v>6</v>
      </c>
      <c r="I504" s="13">
        <f t="shared" si="37"/>
        <v>300</v>
      </c>
      <c r="J504" s="8">
        <f t="shared" si="38"/>
        <v>300</v>
      </c>
      <c r="K504" s="10">
        <v>686</v>
      </c>
      <c r="L504" s="11" t="s">
        <v>56</v>
      </c>
      <c r="M504" s="30" t="s">
        <v>25</v>
      </c>
      <c r="N504" s="33">
        <f t="shared" si="39"/>
        <v>0.5</v>
      </c>
    </row>
    <row r="505" spans="1:14">
      <c r="A505" t="str">
        <f t="shared" si="36"/>
        <v>2010-01</v>
      </c>
      <c r="B505" s="9">
        <v>40190.432835648149</v>
      </c>
      <c r="C505" s="10">
        <v>2</v>
      </c>
      <c r="D505" s="11" t="s">
        <v>30</v>
      </c>
      <c r="E505" s="10">
        <v>5</v>
      </c>
      <c r="F505" s="12">
        <v>12</v>
      </c>
      <c r="G505" s="12">
        <f t="shared" si="35"/>
        <v>60</v>
      </c>
      <c r="H505" s="13">
        <v>6</v>
      </c>
      <c r="I505" s="13">
        <f t="shared" si="37"/>
        <v>30</v>
      </c>
      <c r="J505" s="8">
        <f t="shared" si="38"/>
        <v>30</v>
      </c>
      <c r="K505" s="10">
        <v>14</v>
      </c>
      <c r="L505" s="11" t="s">
        <v>27</v>
      </c>
      <c r="M505" s="30" t="s">
        <v>25</v>
      </c>
      <c r="N505" s="33">
        <f t="shared" si="39"/>
        <v>0.5</v>
      </c>
    </row>
    <row r="506" spans="1:14">
      <c r="A506" t="str">
        <f t="shared" si="36"/>
        <v>2010-01</v>
      </c>
      <c r="B506" s="9">
        <v>40180.131874999999</v>
      </c>
      <c r="C506" s="10">
        <v>31</v>
      </c>
      <c r="D506" s="11" t="s">
        <v>46</v>
      </c>
      <c r="E506" s="10">
        <v>31</v>
      </c>
      <c r="F506" s="12">
        <v>21</v>
      </c>
      <c r="G506" s="12">
        <f t="shared" si="35"/>
        <v>651</v>
      </c>
      <c r="H506" s="13">
        <v>12</v>
      </c>
      <c r="I506" s="13">
        <f t="shared" si="37"/>
        <v>372</v>
      </c>
      <c r="J506" s="8">
        <f t="shared" si="38"/>
        <v>279</v>
      </c>
      <c r="K506" s="10">
        <v>686</v>
      </c>
      <c r="L506" s="11" t="s">
        <v>56</v>
      </c>
      <c r="M506" s="30" t="s">
        <v>25</v>
      </c>
      <c r="N506" s="33">
        <f t="shared" si="39"/>
        <v>0.42857142857142855</v>
      </c>
    </row>
    <row r="507" spans="1:14">
      <c r="A507" t="str">
        <f t="shared" si="36"/>
        <v>2010-01</v>
      </c>
      <c r="B507" s="9">
        <v>40180.432835648149</v>
      </c>
      <c r="C507" s="10">
        <v>4</v>
      </c>
      <c r="D507" s="11" t="s">
        <v>44</v>
      </c>
      <c r="E507" s="10">
        <v>76</v>
      </c>
      <c r="F507" s="12">
        <v>9</v>
      </c>
      <c r="G507" s="12">
        <f t="shared" si="35"/>
        <v>684</v>
      </c>
      <c r="H507" s="13">
        <v>7</v>
      </c>
      <c r="I507" s="13">
        <f t="shared" si="37"/>
        <v>532</v>
      </c>
      <c r="J507" s="8">
        <f t="shared" si="38"/>
        <v>152</v>
      </c>
      <c r="K507" s="10">
        <v>14</v>
      </c>
      <c r="L507" s="11" t="s">
        <v>27</v>
      </c>
      <c r="M507" s="30" t="s">
        <v>25</v>
      </c>
      <c r="N507" s="33">
        <f t="shared" si="39"/>
        <v>0.22222222222222221</v>
      </c>
    </row>
    <row r="508" spans="1:14">
      <c r="A508" t="str">
        <f t="shared" si="36"/>
        <v>2010-01</v>
      </c>
      <c r="B508" s="9">
        <v>40199.515370370369</v>
      </c>
      <c r="C508" s="10">
        <v>2</v>
      </c>
      <c r="D508" s="11" t="s">
        <v>30</v>
      </c>
      <c r="E508" s="10">
        <v>50</v>
      </c>
      <c r="F508" s="12">
        <v>12</v>
      </c>
      <c r="G508" s="12">
        <f t="shared" si="35"/>
        <v>600</v>
      </c>
      <c r="H508" s="13">
        <v>6</v>
      </c>
      <c r="I508" s="13">
        <f t="shared" si="37"/>
        <v>300</v>
      </c>
      <c r="J508" s="8">
        <f t="shared" si="38"/>
        <v>300</v>
      </c>
      <c r="K508" s="10">
        <v>686</v>
      </c>
      <c r="L508" s="11" t="s">
        <v>56</v>
      </c>
      <c r="M508" s="30" t="s">
        <v>25</v>
      </c>
      <c r="N508" s="33">
        <f t="shared" si="39"/>
        <v>0.5</v>
      </c>
    </row>
    <row r="509" spans="1:14">
      <c r="A509" t="str">
        <f t="shared" si="36"/>
        <v>2010-01</v>
      </c>
      <c r="B509" s="9">
        <v>40199.515370370369</v>
      </c>
      <c r="C509" s="10">
        <v>2</v>
      </c>
      <c r="D509" s="11" t="s">
        <v>30</v>
      </c>
      <c r="E509" s="10">
        <v>5</v>
      </c>
      <c r="F509" s="12">
        <v>12</v>
      </c>
      <c r="G509" s="12">
        <f t="shared" si="35"/>
        <v>60</v>
      </c>
      <c r="H509" s="13">
        <v>6</v>
      </c>
      <c r="I509" s="13">
        <f t="shared" si="37"/>
        <v>30</v>
      </c>
      <c r="J509" s="8">
        <f t="shared" si="38"/>
        <v>30</v>
      </c>
      <c r="K509" s="10">
        <v>14</v>
      </c>
      <c r="L509" s="11" t="s">
        <v>27</v>
      </c>
      <c r="M509" s="30" t="s">
        <v>25</v>
      </c>
      <c r="N509" s="33">
        <f t="shared" si="39"/>
        <v>0.5</v>
      </c>
    </row>
    <row r="510" spans="1:14">
      <c r="A510" t="str">
        <f t="shared" si="36"/>
        <v>2010-01</v>
      </c>
      <c r="B510" s="9">
        <v>40199.515370370369</v>
      </c>
      <c r="C510" s="10">
        <v>31</v>
      </c>
      <c r="D510" s="11" t="s">
        <v>46</v>
      </c>
      <c r="E510" s="10">
        <v>31</v>
      </c>
      <c r="F510" s="12">
        <v>21</v>
      </c>
      <c r="G510" s="12">
        <f t="shared" si="35"/>
        <v>651</v>
      </c>
      <c r="H510" s="13">
        <v>12</v>
      </c>
      <c r="I510" s="13">
        <f t="shared" si="37"/>
        <v>372</v>
      </c>
      <c r="J510" s="8">
        <f t="shared" si="38"/>
        <v>279</v>
      </c>
      <c r="K510" s="10">
        <v>686</v>
      </c>
      <c r="L510" s="11" t="s">
        <v>56</v>
      </c>
      <c r="M510" s="30" t="s">
        <v>25</v>
      </c>
      <c r="N510" s="33">
        <f t="shared" si="39"/>
        <v>0.42857142857142855</v>
      </c>
    </row>
    <row r="511" spans="1:14">
      <c r="A511" t="str">
        <f t="shared" si="36"/>
        <v>2010-01</v>
      </c>
      <c r="B511" s="14">
        <v>40199.515370370369</v>
      </c>
      <c r="C511" s="15">
        <v>4</v>
      </c>
      <c r="D511" s="16" t="s">
        <v>44</v>
      </c>
      <c r="E511" s="15">
        <v>76</v>
      </c>
      <c r="F511" s="12">
        <v>9</v>
      </c>
      <c r="G511" s="17">
        <f t="shared" si="35"/>
        <v>684</v>
      </c>
      <c r="H511" s="13">
        <v>7</v>
      </c>
      <c r="I511" s="18">
        <f t="shared" si="37"/>
        <v>532</v>
      </c>
      <c r="J511" s="8">
        <f t="shared" si="38"/>
        <v>152</v>
      </c>
      <c r="K511" s="15">
        <v>14</v>
      </c>
      <c r="L511" s="16" t="s">
        <v>27</v>
      </c>
      <c r="M511" s="31" t="s">
        <v>25</v>
      </c>
      <c r="N511" s="33">
        <f t="shared" si="39"/>
        <v>0.22222222222222221</v>
      </c>
    </row>
  </sheetData>
  <autoFilter ref="B1:N511" xr:uid="{00000000-0001-0000-0000-000000000000}"/>
  <mergeCells count="4">
    <mergeCell ref="V119:AA119"/>
    <mergeCell ref="V125:AA125"/>
    <mergeCell ref="R81:W81"/>
    <mergeCell ref="AF38:AH42"/>
  </mergeCells>
  <phoneticPr fontId="3" type="noConversion"/>
  <pageMargins left="0.24" right="0.16" top="0.38" bottom="1" header="0.5" footer="0.5"/>
  <pageSetup orientation="landscape"/>
  <headerFooter alignWithMargins="0"/>
  <drawing r:id="rId7"/>
  <extLst>
    <ext xmlns:x14="http://schemas.microsoft.com/office/spreadsheetml/2009/9/main" uri="{78C0D931-6437-407d-A8EE-F0AAD7539E65}">
      <x14:conditionalFormattings>
        <x14:conditionalFormatting xmlns:xm="http://schemas.microsoft.com/office/excel/2006/main" pivot="1">
          <x14:cfRule type="iconSet" priority="1" id="{5437A918-2B8B-4446-A801-E77D89BA095D}">
            <x14:iconSet iconSet="3Triangles">
              <x14:cfvo type="percent">
                <xm:f>0</xm:f>
              </x14:cfvo>
              <x14:cfvo type="percent">
                <xm:f>33</xm:f>
              </x14:cfvo>
              <x14:cfvo type="percent">
                <xm:f>67</xm:f>
              </x14:cfvo>
            </x14:iconSet>
          </x14:cfRule>
          <xm:sqref>AC21:AC32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01FC7ADD27A134B92D0C21C975B5030" ma:contentTypeVersion="8" ma:contentTypeDescription="Create a new document." ma:contentTypeScope="" ma:versionID="29b2d8f5016614ee7db90ae61d94d5a1">
  <xsd:schema xmlns:xsd="http://www.w3.org/2001/XMLSchema" xmlns:xs="http://www.w3.org/2001/XMLSchema" xmlns:p="http://schemas.microsoft.com/office/2006/metadata/properties" xmlns:ns2="89c7a8c3-a03a-420b-ac21-90cd38a91df7" targetNamespace="http://schemas.microsoft.com/office/2006/metadata/properties" ma:root="true" ma:fieldsID="230fff80464bdb34158622049499dd70" ns2:_="">
    <xsd:import namespace="89c7a8c3-a03a-420b-ac21-90cd38a91d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c7a8c3-a03a-420b-ac21-90cd38a91d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30A6E2-06EE-4EBA-AECD-C28CF879C6B7}"/>
</file>

<file path=customXml/itemProps2.xml><?xml version="1.0" encoding="utf-8"?>
<ds:datastoreItem xmlns:ds="http://schemas.openxmlformats.org/officeDocument/2006/customXml" ds:itemID="{46785B2B-51C9-4571-93A4-A6BD885B27BD}"/>
</file>

<file path=customXml/itemProps3.xml><?xml version="1.0" encoding="utf-8"?>
<ds:datastoreItem xmlns:ds="http://schemas.openxmlformats.org/officeDocument/2006/customXml" ds:itemID="{2CA71D11-95AD-4DBD-AA99-1A03554855B3}"/>
</file>

<file path=docProps/app.xml><?xml version="1.0" encoding="utf-8"?>
<Properties xmlns="http://schemas.openxmlformats.org/officeDocument/2006/extended-properties" xmlns:vt="http://schemas.openxmlformats.org/officeDocument/2006/docPropsVTypes">
  <Application>Microsoft Excel Online</Application>
  <Manager/>
  <Company>University of Denver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PBaltzan</dc:creator>
  <cp:keywords/>
  <dc:description/>
  <cp:lastModifiedBy/>
  <cp:revision/>
  <dcterms:created xsi:type="dcterms:W3CDTF">2002-09-23T17:32:03Z</dcterms:created>
  <dcterms:modified xsi:type="dcterms:W3CDTF">2025-03-16T06:52:02Z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0x010100501FC7ADD27A134B92D0C21C975B5030</vt:lpwstr>
  </property>
</Properties>
</file>