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2/Final/Exersice/Lecture 11 Classification/"/>
    </mc:Choice>
  </mc:AlternateContent>
  <xr:revisionPtr revIDLastSave="648" documentId="13_ncr:1_{B3B69D59-D2A5-AE49-9D32-73455108271A}" xr6:coauthVersionLast="47" xr6:coauthVersionMax="47" xr10:uidLastSave="{AC4FBFB5-9CB2-49E7-9F3A-B1E981769D4D}"/>
  <bookViews>
    <workbookView xWindow="-28920" yWindow="-120" windowWidth="29040" windowHeight="15840" activeTab="2" xr2:uid="{FFA7491D-21C3-A443-9978-CD16E2A52A8A}"/>
  </bookViews>
  <sheets>
    <sheet name="Simple kNN" sheetId="1" r:id="rId1"/>
    <sheet name="kNN with Validation" sheetId="2" r:id="rId2"/>
    <sheet name="Confustion Matrix" sheetId="3" r:id="rId3"/>
  </sheets>
  <definedNames>
    <definedName name="_xlnm._FilterDatabase" localSheetId="0" hidden="1">'Simple kNN'!$B$32:$G$35</definedName>
    <definedName name="_xlnm.Print_Area" localSheetId="1">'kNN with Validation'!$A$1:$L$162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" l="1"/>
  <c r="G24" i="3"/>
  <c r="E131" i="2"/>
  <c r="E130" i="2"/>
  <c r="E132" i="2"/>
  <c r="E133" i="2"/>
  <c r="E134" i="2"/>
  <c r="E135" i="2"/>
  <c r="F97" i="2"/>
  <c r="F98" i="2"/>
  <c r="F99" i="2"/>
  <c r="F96" i="2"/>
  <c r="E97" i="2"/>
  <c r="E98" i="2"/>
  <c r="E99" i="2"/>
  <c r="E96" i="2"/>
  <c r="F49" i="2"/>
  <c r="F50" i="2"/>
  <c r="F51" i="2"/>
  <c r="E49" i="2"/>
  <c r="E50" i="2"/>
  <c r="E51" i="2"/>
  <c r="F48" i="2"/>
  <c r="E48" i="2"/>
  <c r="E122" i="2"/>
  <c r="E121" i="2"/>
  <c r="C20" i="3"/>
  <c r="C19" i="3"/>
  <c r="B20" i="3"/>
  <c r="B19" i="3"/>
  <c r="C26" i="3" s="1"/>
  <c r="E73" i="2"/>
  <c r="F73" i="2"/>
  <c r="E74" i="2"/>
  <c r="F74" i="2"/>
  <c r="E75" i="2"/>
  <c r="F75" i="2"/>
  <c r="F72" i="2"/>
  <c r="E72" i="2"/>
  <c r="F34" i="1"/>
  <c r="F32" i="1"/>
  <c r="F35" i="1"/>
  <c r="F33" i="1"/>
  <c r="F20" i="3"/>
  <c r="G32" i="1"/>
  <c r="F121" i="2"/>
  <c r="G96" i="2"/>
  <c r="G72" i="2"/>
  <c r="G48" i="2"/>
  <c r="G49" i="2"/>
  <c r="G50" i="2"/>
  <c r="F134" i="2"/>
  <c r="H50" i="2"/>
  <c r="H97" i="2"/>
  <c r="H75" i="2"/>
  <c r="G35" i="1"/>
  <c r="D29" i="3"/>
  <c r="F19" i="3"/>
  <c r="F131" i="2"/>
  <c r="G97" i="2"/>
  <c r="G73" i="2"/>
  <c r="H98" i="2"/>
  <c r="D19" i="3"/>
  <c r="H51" i="2"/>
  <c r="F122" i="2"/>
  <c r="H72" i="2"/>
  <c r="H25" i="3"/>
  <c r="D20" i="3"/>
  <c r="F132" i="2"/>
  <c r="G98" i="2"/>
  <c r="H73" i="2"/>
  <c r="H49" i="2"/>
  <c r="D21" i="3"/>
  <c r="F133" i="2"/>
  <c r="G74" i="2"/>
  <c r="G99" i="2"/>
  <c r="H74" i="2"/>
  <c r="G34" i="1"/>
  <c r="H96" i="2"/>
  <c r="H24" i="3"/>
  <c r="D25" i="3"/>
  <c r="D26" i="3"/>
  <c r="G33" i="1"/>
  <c r="F135" i="2"/>
  <c r="H99" i="2"/>
  <c r="G75" i="2"/>
  <c r="G51" i="2"/>
  <c r="D27" i="3"/>
  <c r="F130" i="2"/>
  <c r="H48" i="2"/>
  <c r="D24" i="3"/>
  <c r="B21" i="3" l="1"/>
  <c r="C25" i="3"/>
  <c r="C29" i="3" s="1" a="1"/>
  <c r="C29" i="3" s="1"/>
  <c r="C21" i="3"/>
  <c r="C24" i="3"/>
  <c r="C2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<sst xmlns="http://schemas.openxmlformats.org/spreadsheetml/2006/main" count="387" uniqueCount="179">
  <si>
    <t>Business Example:</t>
  </si>
  <si>
    <t>Suppose you have customer data based on two attributes: Age and Annual Spending (in thousands of dollars). You want to classify a new customer (e.g., classify as High spender or Low spender) based on existing customers.</t>
  </si>
  <si>
    <t>Customer</t>
  </si>
  <si>
    <t>Age</t>
  </si>
  <si>
    <t>Annual Spending ($K)</t>
  </si>
  <si>
    <t>Class</t>
  </si>
  <si>
    <t>กำหนดclass ของข้อมูล โดยgroup ตามAge และ Annual spending</t>
  </si>
  <si>
    <t>A</t>
  </si>
  <si>
    <t>Low spender</t>
  </si>
  <si>
    <t>B</t>
  </si>
  <si>
    <t>High spender</t>
  </si>
  <si>
    <t>C</t>
  </si>
  <si>
    <t>D</t>
  </si>
  <si>
    <t>New customer to classify: Age = 28, Annual Spending = 55.</t>
  </si>
  <si>
    <t>ตอบให้ได้ว่า customer อายุ28 ใช้จ่าย 55 Customer จะอยุ่classไหน</t>
  </si>
  <si>
    <t>Approach 1: Simple model (No validation)</t>
  </si>
  <si>
    <t>Procedure to compute kNN (k=3) in Excel</t>
  </si>
  <si>
    <t>กำหนดค่าK</t>
  </si>
  <si>
    <t>Step 1: Arrange data</t>
  </si>
  <si>
    <t>Training data</t>
  </si>
  <si>
    <t>ข้อมูล Input</t>
  </si>
  <si>
    <t>lebel,target</t>
  </si>
  <si>
    <t xml:space="preserve"> </t>
  </si>
  <si>
    <t>Testing data</t>
  </si>
  <si>
    <t>ผลข้อการทดสอบ</t>
  </si>
  <si>
    <t>Step 2: Compute distance from the Testing data to all the training data</t>
  </si>
  <si>
    <t>Spending</t>
  </si>
  <si>
    <t>Euclidean Distance</t>
  </si>
  <si>
    <t>ต้องเรียง Euclidean Distance น้อยไปมาก</t>
  </si>
  <si>
    <t>k=1(5.39)</t>
  </si>
  <si>
    <t>k=2(5.39,15.30)</t>
  </si>
  <si>
    <t>k=3(5.39,15.30,16.55)</t>
  </si>
  <si>
    <t>k=4(5.39,15.30,16.55,27.73)</t>
  </si>
  <si>
    <t>เลือกclassที่มีเยอะที่สุด ตามค่าK เช่น k=3 จะได้ Low 2,High 1 ให้เลือก Low เพราะLow มีเยอะกว่า</t>
  </si>
  <si>
    <t>แต่ถ้าเลือก k=4 จะได้ Low 2,High 2 ทำให้ไม่สามารถเลือกได้เพราะเท่ากัน ให้ไปเลือก Euclidean Distance ต่ำสุด</t>
  </si>
  <si>
    <t>ตอบ class Low spender</t>
  </si>
  <si>
    <t>Step 3: Sort by Distance</t>
  </si>
  <si>
    <t xml:space="preserve">Select the entire range </t>
  </si>
  <si>
    <t>Use Excel's sorting feature:</t>
  </si>
  <si>
    <r>
      <t>Go to </t>
    </r>
    <r>
      <rPr>
        <b/>
        <sz val="12"/>
        <color rgb="FF000000"/>
        <rFont val="Tahoma"/>
        <family val="2"/>
        <scheme val="minor"/>
      </rPr>
      <t>Data → Sort</t>
    </r>
    <r>
      <rPr>
        <sz val="12"/>
        <color rgb="FF000000"/>
        <rFont val="Tahoma"/>
        <family val="2"/>
        <scheme val="minor"/>
      </rPr>
      <t>.</t>
    </r>
  </si>
  <si>
    <r>
      <t>Sort by the </t>
    </r>
    <r>
      <rPr>
        <b/>
        <sz val="12"/>
        <color rgb="FF000000"/>
        <rFont val="Tahoma"/>
        <family val="2"/>
        <scheme val="minor"/>
      </rPr>
      <t>Distance</t>
    </r>
    <r>
      <rPr>
        <sz val="12"/>
        <color rgb="FF000000"/>
        <rFont val="Tahoma"/>
        <family val="2"/>
        <scheme val="minor"/>
      </rPr>
      <t> column (column F), </t>
    </r>
    <r>
      <rPr>
        <b/>
        <sz val="12"/>
        <color rgb="FF000000"/>
        <rFont val="Tahoma"/>
        <family val="2"/>
        <scheme val="minor"/>
      </rPr>
      <t>Smallest to Largest</t>
    </r>
    <r>
      <rPr>
        <sz val="12"/>
        <color rgb="FF000000"/>
        <rFont val="Tahoma"/>
        <family val="2"/>
        <scheme val="minor"/>
      </rPr>
      <t>.</t>
    </r>
  </si>
  <si>
    <t>Step 4: Identify the k-Nearest Neighbors (k=3)</t>
  </si>
  <si>
    <t>The top 3 closest neighbors are:</t>
  </si>
  <si>
    <t>Customer C: Low spender</t>
  </si>
  <si>
    <t>Customer A: Low spender</t>
  </si>
  <si>
    <t>Customer B: High spender</t>
  </si>
  <si>
    <t>Step 5: Classify the New Customer</t>
  </si>
  <si>
    <r>
      <t>Majority vote</t>
    </r>
    <r>
      <rPr>
        <sz val="12"/>
        <color rgb="FF000000"/>
        <rFont val="Tahoma"/>
        <family val="2"/>
        <scheme val="minor"/>
      </rPr>
      <t> from the three nearest neighbors:</t>
    </r>
  </si>
  <si>
    <r>
      <t>Low spender: </t>
    </r>
    <r>
      <rPr>
        <b/>
        <sz val="12"/>
        <color rgb="FF000000"/>
        <rFont val="Tahoma"/>
        <family val="2"/>
        <scheme val="minor"/>
      </rPr>
      <t>2 votes</t>
    </r>
    <r>
      <rPr>
        <sz val="12"/>
        <color rgb="FF000000"/>
        <rFont val="Tahoma"/>
        <family val="2"/>
        <scheme val="minor"/>
      </rPr>
      <t> (C, A)</t>
    </r>
  </si>
  <si>
    <t>High spender: 1 vote (B)</t>
  </si>
  <si>
    <r>
      <t>Thus, the </t>
    </r>
    <r>
      <rPr>
        <b/>
        <sz val="12"/>
        <color rgb="FF000000"/>
        <rFont val="Tahoma"/>
        <family val="2"/>
        <scheme val="minor"/>
      </rPr>
      <t>new customer is classified as a Low spender</t>
    </r>
    <r>
      <rPr>
        <sz val="12"/>
        <color rgb="FF000000"/>
        <rFont val="Tahoma"/>
        <family val="2"/>
        <scheme val="minor"/>
      </rPr>
      <t>.</t>
    </r>
  </si>
  <si>
    <t>⚡ Consideration</t>
  </si>
  <si>
    <r>
      <t>Adjust </t>
    </r>
    <r>
      <rPr>
        <sz val="10"/>
        <color rgb="FF000000"/>
        <rFont val="Arial Unicode MS"/>
        <family val="2"/>
      </rPr>
      <t>k</t>
    </r>
    <r>
      <rPr>
        <sz val="12"/>
        <color rgb="FF000000"/>
        <rFont val="Tahoma"/>
        <family val="2"/>
        <scheme val="minor"/>
      </rPr>
      <t> value by selecting more or fewer neighbors.</t>
    </r>
  </si>
  <si>
    <t>ควรเลือกค่าKเป็นเลขคี่</t>
  </si>
  <si>
    <t>1,3,5,7,…</t>
  </si>
  <si>
    <r>
      <t>You have customer data with two features (Age, Annual Spending), and you want to validate your model to determine the optimal value of </t>
    </r>
    <r>
      <rPr>
        <b/>
        <sz val="12"/>
        <color theme="1"/>
        <rFont val="Tahoma"/>
        <family val="2"/>
        <scheme val="minor"/>
      </rPr>
      <t>k</t>
    </r>
    <r>
      <rPr>
        <sz val="12"/>
        <color theme="1"/>
        <rFont val="Tahoma"/>
        <family val="2"/>
        <scheme val="minor"/>
      </rPr>
      <t> for classification (</t>
    </r>
    <r>
      <rPr>
        <b/>
        <sz val="12"/>
        <color theme="1"/>
        <rFont val="Tahoma"/>
        <family val="2"/>
        <scheme val="minor"/>
      </rPr>
      <t>Low spender vs. High spender</t>
    </r>
    <r>
      <rPr>
        <sz val="12"/>
        <color theme="1"/>
        <rFont val="Tahoma"/>
        <family val="2"/>
        <scheme val="minor"/>
      </rPr>
      <t>).</t>
    </r>
  </si>
  <si>
    <r>
      <t>Here's an extended example with 6 customers to perform </t>
    </r>
    <r>
      <rPr>
        <b/>
        <sz val="12"/>
        <color theme="1"/>
        <rFont val="Tahoma"/>
        <family val="2"/>
        <scheme val="minor"/>
      </rPr>
      <t>3-fold cross-validation</t>
    </r>
    <r>
      <rPr>
        <sz val="12"/>
        <color theme="1"/>
        <rFont val="Tahoma"/>
        <family val="2"/>
        <scheme val="minor"/>
      </rPr>
      <t> clearly:</t>
    </r>
  </si>
  <si>
    <t>Spending ($K)</t>
  </si>
  <si>
    <t>E</t>
  </si>
  <si>
    <t>F</t>
  </si>
  <si>
    <r>
      <t>You want to validate your model to pick the best </t>
    </r>
    <r>
      <rPr>
        <b/>
        <sz val="12"/>
        <color theme="1"/>
        <rFont val="Tahoma"/>
        <family val="2"/>
        <scheme val="minor"/>
      </rPr>
      <t>k</t>
    </r>
    <r>
      <rPr>
        <sz val="12"/>
        <color theme="1"/>
        <rFont val="Tahoma"/>
        <family val="2"/>
        <scheme val="minor"/>
      </rPr>
      <t> from (1, 3).</t>
    </r>
  </si>
  <si>
    <t>Procedure: k-fold Cross-validation for kNN (3-fold) แบ่งกลุ่ม3กลุ่ม โดยแต่ละกลุ่มจะมี ทั้งหมด/3(แบ่งกี่กลุ่มก็หารเท่านั้น)</t>
  </si>
  <si>
    <t>✅ Step 1: Divide your Data into 3 Folds</t>
  </si>
  <si>
    <t>Randomly split your dataset into 3 equally-sized groups: 6 Customer แบ่ง3กลุ่ม ได้กลุ่มละ2คน</t>
  </si>
  <si>
    <r>
      <t>Fold 1:</t>
    </r>
    <r>
      <rPr>
        <sz val="12"/>
        <color theme="1"/>
        <rFont val="Tahoma"/>
        <family val="2"/>
        <scheme val="minor"/>
      </rPr>
      <t> A, B</t>
    </r>
  </si>
  <si>
    <r>
      <t>Fold 2:</t>
    </r>
    <r>
      <rPr>
        <sz val="12"/>
        <color theme="1"/>
        <rFont val="Tahoma"/>
        <family val="2"/>
        <scheme val="minor"/>
      </rPr>
      <t> C, D</t>
    </r>
  </si>
  <si>
    <r>
      <t>Fold 3:</t>
    </r>
    <r>
      <rPr>
        <sz val="12"/>
        <color theme="1"/>
        <rFont val="Tahoma"/>
        <family val="2"/>
        <scheme val="minor"/>
      </rPr>
      <t> E, F</t>
    </r>
  </si>
  <si>
    <t>✅ Step 2: Cross-Validation Process</t>
  </si>
  <si>
    <r>
      <t>Run </t>
    </r>
    <r>
      <rPr>
        <b/>
        <sz val="12"/>
        <color theme="1"/>
        <rFont val="Tahoma"/>
        <family val="2"/>
        <scheme val="minor"/>
      </rPr>
      <t>3 rounds</t>
    </r>
    <r>
      <rPr>
        <sz val="12"/>
        <color theme="1"/>
        <rFont val="Tahoma"/>
        <family val="2"/>
        <scheme val="minor"/>
      </rPr>
      <t> of validation. For each round:</t>
    </r>
  </si>
  <si>
    <r>
      <t>Pick </t>
    </r>
    <r>
      <rPr>
        <b/>
        <sz val="12"/>
        <color theme="1"/>
        <rFont val="Tahoma"/>
        <family val="2"/>
        <scheme val="minor"/>
      </rPr>
      <t>1 fold as validation data</t>
    </r>
    <r>
      <rPr>
        <sz val="12"/>
        <color theme="1"/>
        <rFont val="Tahoma"/>
        <family val="2"/>
        <scheme val="minor"/>
      </rPr>
      <t> and the </t>
    </r>
    <r>
      <rPr>
        <b/>
        <sz val="12"/>
        <color theme="1"/>
        <rFont val="Tahoma"/>
        <family val="2"/>
        <scheme val="minor"/>
      </rPr>
      <t>remaining 2 folds as training data</t>
    </r>
    <r>
      <rPr>
        <sz val="12"/>
        <color theme="1"/>
        <rFont val="Tahoma"/>
        <family val="2"/>
        <scheme val="minor"/>
      </rPr>
      <t>.</t>
    </r>
  </si>
  <si>
    <t>Compute classification accuracy.</t>
  </si>
  <si>
    <r>
      <t>Repeat for each candidate </t>
    </r>
    <r>
      <rPr>
        <b/>
        <sz val="12"/>
        <color theme="1"/>
        <rFont val="Tahoma"/>
        <family val="2"/>
        <scheme val="minor"/>
      </rPr>
      <t>k</t>
    </r>
    <r>
      <rPr>
        <sz val="12"/>
        <color theme="1"/>
        <rFont val="Tahoma"/>
        <family val="2"/>
        <scheme val="minor"/>
      </rPr>
      <t> (e.g., k=1,3,5).</t>
    </r>
  </si>
  <si>
    <t>ใช้เป็นตัวสอน</t>
  </si>
  <si>
    <t>ใช้เป็นตัวทดสอบ(จำนวนสมาชิกในกลุ่ม=ทั้งหมด/กลุ่ม)</t>
  </si>
  <si>
    <t>Round</t>
  </si>
  <si>
    <t>Training Set</t>
  </si>
  <si>
    <t>Validation Set</t>
  </si>
  <si>
    <t>C,D,E,F</t>
  </si>
  <si>
    <t>A,B</t>
  </si>
  <si>
    <t>A,B,E,F</t>
  </si>
  <si>
    <t>C,D</t>
  </si>
  <si>
    <t>A,B,C,D</t>
  </si>
  <si>
    <t>E,F</t>
  </si>
  <si>
    <t>Round 1: Validation set (A, B)</t>
  </si>
  <si>
    <t>Step A:</t>
  </si>
  <si>
    <t>Compute Euclidean distance from Vlidattion point A(25,40) and B(35, 70) for each training point</t>
  </si>
  <si>
    <t>Distance to A</t>
  </si>
  <si>
    <t>Distance to B</t>
  </si>
  <si>
    <t>Step B:</t>
  </si>
  <si>
    <r>
      <t>Sort training points by distance and choose the majority class for </t>
    </r>
    <r>
      <rPr>
        <b/>
        <sz val="12"/>
        <color theme="1"/>
        <rFont val="Tahoma"/>
        <family val="2"/>
        <scheme val="minor"/>
      </rPr>
      <t>k=1 and 3</t>
    </r>
    <r>
      <rPr>
        <sz val="12"/>
        <color theme="1"/>
        <rFont val="Tahoma"/>
        <family val="2"/>
        <scheme val="minor"/>
      </rPr>
      <t> nearest neighbors to A(25, 40)</t>
    </r>
  </si>
  <si>
    <t>Repeat the same for Validation point B (35, 70)</t>
  </si>
  <si>
    <t>k_value</t>
  </si>
  <si>
    <t>Validating Customer</t>
  </si>
  <si>
    <t>Actual Class</t>
  </si>
  <si>
    <t>Predicted Class</t>
  </si>
  <si>
    <t>Correct?</t>
  </si>
  <si>
    <t>Yes</t>
  </si>
  <si>
    <t>Class Distance A น้อยสุด</t>
  </si>
  <si>
    <t>Class Distance B น้อยสุด</t>
  </si>
  <si>
    <t>Distance A น้อยสุด3ตัว จำนวนสมาชิกclassนั้นเยอะสุด</t>
  </si>
  <si>
    <t>Distance B น้อยสุด3ตัว จำนวนสมาชิกclassนั้นเยอะสุด</t>
  </si>
  <si>
    <t xml:space="preserve">Accuracy </t>
  </si>
  <si>
    <t>(Round 1, k=1): 2/2 = 100%</t>
  </si>
  <si>
    <t>correct2 จากทั้งหมด2</t>
  </si>
  <si>
    <t>(Round 1, k=3): 2/2 = 100%</t>
  </si>
  <si>
    <t>correct2 จากทั้งหมด3</t>
  </si>
  <si>
    <t>Round 2: Validation set (C, D)</t>
  </si>
  <si>
    <t>Compute Euclidean distance from Vlidattion point A(30,50) and B(40, 80) for each training point</t>
  </si>
  <si>
    <t>Distance to C</t>
  </si>
  <si>
    <t>Distance to D</t>
  </si>
  <si>
    <t>(Round 2, k=1): 2/2 = 100%</t>
  </si>
  <si>
    <t>(Round 2, k=3): 2/2 = 100%</t>
  </si>
  <si>
    <t>Round 3: Validation set (E, F)</t>
  </si>
  <si>
    <t>Compute Euclidean distance from Vlidattion point A(45,85) and B(23, 35) for each training point</t>
  </si>
  <si>
    <t>Distance to E</t>
  </si>
  <si>
    <t>Distance to F</t>
  </si>
  <si>
    <t>No</t>
  </si>
  <si>
    <t>(Round 3, k=1): 1/2 = 50%</t>
  </si>
  <si>
    <t>(Round 3, k=3): 1/2 = 50%</t>
  </si>
  <si>
    <t>✅ Step 3: Aggregate Results and Select Best k</t>
  </si>
  <si>
    <t>After performing cross-validation, summarize your accuracy clearly in Excel:</t>
  </si>
  <si>
    <t>k-value</t>
  </si>
  <si>
    <t>Round 1</t>
  </si>
  <si>
    <t>Round 2</t>
  </si>
  <si>
    <t>Round 3</t>
  </si>
  <si>
    <t>Avg. Accuracy</t>
  </si>
  <si>
    <t>เลือกK ที่ได้ Avg.Accuracy สูงสุดแต่ถ้าเท่ากันให้เลือกค่าK เยอะ
เพราะให้ผลเท่ากันแต่ เสถียรกว่าและปลอดภัยกว่า ในการใช้งานจริงโดยเฉพาะเมื่อข้อมูลมีโอกาส noise หรือคลาสไม่แยกชัดเจน</t>
  </si>
  <si>
    <t>The best k is 1 or 3 (highest average accuracy).</t>
  </si>
  <si>
    <t>K=3</t>
  </si>
  <si>
    <t>หาclassลูกค้าใหม่</t>
  </si>
  <si>
    <t>Distance</t>
  </si>
  <si>
    <t>เพราะDistanceต่ำสุด3ตัวแรกคือ A,B,C =&gt; low,high,low</t>
  </si>
  <si>
    <t>low มากกว่า high</t>
  </si>
  <si>
    <t>Practical considerations:</t>
  </si>
  <si>
    <r>
      <t>Use more data</t>
    </r>
    <r>
      <rPr>
        <sz val="12"/>
        <color theme="1"/>
        <rFont val="Tahoma"/>
        <family val="2"/>
        <scheme val="minor"/>
      </rPr>
      <t> for reliable results (real-world requires larger datasets).</t>
    </r>
  </si>
  <si>
    <r>
      <t>In practice, typically use </t>
    </r>
    <r>
      <rPr>
        <b/>
        <sz val="12"/>
        <color theme="1"/>
        <rFont val="Tahoma"/>
        <family val="2"/>
        <scheme val="minor"/>
      </rPr>
      <t>5-fold</t>
    </r>
    <r>
      <rPr>
        <sz val="12"/>
        <color theme="1"/>
        <rFont val="Tahoma"/>
        <family val="2"/>
        <scheme val="minor"/>
      </rPr>
      <t> or </t>
    </r>
    <r>
      <rPr>
        <b/>
        <sz val="12"/>
        <color theme="1"/>
        <rFont val="Tahoma"/>
        <family val="2"/>
        <scheme val="minor"/>
      </rPr>
      <t>10-fold</t>
    </r>
    <r>
      <rPr>
        <sz val="12"/>
        <color theme="1"/>
        <rFont val="Tahoma"/>
        <family val="2"/>
        <scheme val="minor"/>
      </rPr>
      <t> validation, but 3-fold is fine for demonstration.</t>
    </r>
  </si>
  <si>
    <t>Note:</t>
  </si>
  <si>
    <t>If using k = even number, e.g. 2, 4, ….</t>
  </si>
  <si>
    <t>There is a concern where the nearest neiboughs are tied, then there are possible strategy to break the tie.</t>
  </si>
  <si>
    <t xml:space="preserve">Strategy A (Distance-based tie-breaker) </t>
  </si>
  <si>
    <r>
      <t>k = 4</t>
    </r>
    <r>
      <rPr>
        <sz val="12"/>
        <color rgb="FF000000"/>
        <rFont val="Tahoma"/>
        <family val="2"/>
        <scheme val="minor"/>
      </rPr>
      <t>, and votes are tied 2-2:</t>
    </r>
  </si>
  <si>
    <t>Neighbors (Sorted by Distance):</t>
  </si>
  <si>
    <t>1st closest: Class A</t>
  </si>
  <si>
    <t>--&gt;</t>
  </si>
  <si>
    <t>Choose class A (based on the 1st closet)</t>
  </si>
  <si>
    <t>2nd closest: Class B</t>
  </si>
  <si>
    <t>3rd closest: Class B</t>
  </si>
  <si>
    <t>4th closest: Class A</t>
  </si>
  <si>
    <t>Strategy B (Weighted voting) where weight = 1/distance</t>
  </si>
  <si>
    <t>#1: Class A, Distance = 1 (weight = 1/1)</t>
  </si>
  <si>
    <t>#2: Class B, Distance = 2 (weight = 1/2)</t>
  </si>
  <si>
    <t>#3: Class B, Distance = 3 (weight = 1/3)</t>
  </si>
  <si>
    <t>#4: Class A, Distance = 4 (weight = 1/4)</t>
  </si>
  <si>
    <t>Class A total weight: 1 + 0.25 = 1.25</t>
  </si>
  <si>
    <t>Class B total weight: 0.5 + 0.33 = 0.83</t>
  </si>
  <si>
    <t>Test</t>
  </si>
  <si>
    <t>Actual</t>
  </si>
  <si>
    <t>Predict</t>
  </si>
  <si>
    <t>Low Spender</t>
  </si>
  <si>
    <t>High Spender</t>
  </si>
  <si>
    <t>Predicted class</t>
  </si>
  <si>
    <t>SUM</t>
  </si>
  <si>
    <t>G19+G20</t>
  </si>
  <si>
    <r>
      <t xml:space="preserve">Given, </t>
    </r>
    <r>
      <rPr>
        <b/>
        <sz val="12"/>
        <color theme="1"/>
        <rFont val="Tahoma"/>
        <family val="2"/>
        <scheme val="minor"/>
      </rPr>
      <t>Low Spender</t>
    </r>
    <r>
      <rPr>
        <sz val="12"/>
        <color theme="1"/>
        <rFont val="Tahoma"/>
        <family val="2"/>
        <scheme val="minor"/>
      </rPr>
      <t xml:space="preserve"> as class of interest, or True)</t>
    </r>
  </si>
  <si>
    <t>Accuracy</t>
  </si>
  <si>
    <t>จำนวนครั้งที่ทายถูก</t>
  </si>
  <si>
    <t>Misclassify</t>
  </si>
  <si>
    <t>จำนวนครั้งที่ทายผิด</t>
  </si>
  <si>
    <t>Sensitivity (or Recall)</t>
  </si>
  <si>
    <t>จำนวนครั้งที่ทายกว่าถูกจากจำนวนที่ถูกจริง สนใจLow Spender</t>
  </si>
  <si>
    <t>Specificity</t>
  </si>
  <si>
    <t>Precision</t>
  </si>
  <si>
    <t>จำนวนครั้งที่ทายไว้เป็นจริงกี่ครั้ง สนใจLow Spender</t>
  </si>
  <si>
    <t>F1-Score</t>
  </si>
  <si>
    <t>ค่าที่ได้จากการเอาค่า precision และ recall มาคำนวณรวมกัน (F1 สร้างขึ้นมาเพื่อเป็น single metric ที่วัดความสามารถของโมเดล ไม่ต้องเลือกระหว่าง precision, recall เพราะเฉลี่ยให้แล้ว)</t>
  </si>
  <si>
    <t>ยิ่งสูงยิ่งดี ควรเกิน0.5</t>
  </si>
  <si>
    <t>average</t>
  </si>
  <si>
    <r>
      <t>Precision:</t>
    </r>
    <r>
      <rPr>
        <sz val="12"/>
        <color rgb="FF000000"/>
        <rFont val="Tahoma"/>
        <family val="2"/>
        <scheme val="minor"/>
      </rPr>
      <t> "How many predicted positives are actually positive?"</t>
    </r>
  </si>
  <si>
    <r>
      <t>Recall:</t>
    </r>
    <r>
      <rPr>
        <sz val="12"/>
        <color rgb="FF000000"/>
        <rFont val="Tahoma"/>
        <family val="2"/>
        <scheme val="minor"/>
      </rPr>
      <t> "How many actual positives were correctly identified?"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</si>
</sst>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b/>
      <sz val="13.5"/>
      <color rgb="FF000000"/>
      <name val="Tahoma"/>
      <family val="2"/>
      <scheme val="minor"/>
    </font>
    <font>
      <sz val="12"/>
      <color rgb="FF000000"/>
      <name val="Tahoma"/>
      <family val="2"/>
      <scheme val="minor"/>
    </font>
    <font>
      <b/>
      <sz val="18"/>
      <color rgb="FF000000"/>
      <name val="Tahoma"/>
      <family val="2"/>
      <scheme val="minor"/>
    </font>
    <font>
      <sz val="10"/>
      <color rgb="FF000000"/>
      <name val="Arial Unicode MS"/>
      <family val="2"/>
    </font>
    <font>
      <b/>
      <sz val="12"/>
      <color rgb="FF000000"/>
      <name val="Tahoma"/>
      <family val="2"/>
      <scheme val="minor"/>
    </font>
    <font>
      <b/>
      <sz val="18"/>
      <color theme="1"/>
      <name val="Tahoma"/>
      <family val="2"/>
      <scheme val="minor"/>
    </font>
    <font>
      <b/>
      <sz val="13.5"/>
      <color theme="1"/>
      <name val="Tahoma"/>
      <family val="2"/>
      <scheme val="minor"/>
    </font>
    <font>
      <sz val="10"/>
      <color theme="1"/>
      <name val="Arial Unicode MS"/>
      <family val="2"/>
    </font>
    <font>
      <sz val="12"/>
      <color theme="1"/>
      <name val="Tahoma"/>
      <family val="2"/>
      <scheme val="minor"/>
    </font>
    <font>
      <sz val="8"/>
      <name val="Tahoma"/>
      <family val="2"/>
      <scheme val="minor"/>
    </font>
    <font>
      <sz val="11"/>
      <color theme="1"/>
      <name val="Tahoma"/>
      <family val="2"/>
      <scheme val="minor"/>
    </font>
    <font>
      <sz val="9"/>
      <color theme="1"/>
      <name val="Tahoma"/>
      <family val="2"/>
      <scheme val="minor"/>
    </font>
    <font>
      <sz val="8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8"/>
      <color theme="1"/>
      <name val="Tahoma"/>
      <family val="2"/>
      <scheme val="minor"/>
    </font>
    <font>
      <sz val="9"/>
      <color rgb="FF000000"/>
      <name val="Tahoma"/>
      <family val="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2" fontId="0" fillId="2" borderId="0" xfId="0" applyNumberFormat="1" applyFill="1"/>
    <xf numFmtId="0" fontId="0" fillId="0" borderId="0" xfId="0" applyAlignment="1">
      <alignment wrapText="1"/>
    </xf>
    <xf numFmtId="2" fontId="0" fillId="3" borderId="0" xfId="0" applyNumberFormat="1" applyFill="1"/>
    <xf numFmtId="0" fontId="0" fillId="0" borderId="0" xfId="0" quotePrefix="1"/>
    <xf numFmtId="0" fontId="0" fillId="0" borderId="1" xfId="0" applyBorder="1"/>
    <xf numFmtId="0" fontId="14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12" fillId="0" borderId="0" xfId="0" applyFont="1"/>
    <xf numFmtId="0" fontId="16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14" fillId="0" borderId="0" xfId="1" applyFont="1"/>
    <xf numFmtId="0" fontId="0" fillId="0" borderId="0" xfId="1" applyNumberFormat="1" applyFont="1"/>
    <xf numFmtId="0" fontId="13" fillId="0" borderId="0" xfId="0" applyFont="1" applyAlignment="1">
      <alignment vertical="top" wrapText="1"/>
    </xf>
    <xf numFmtId="0" fontId="15" fillId="0" borderId="1" xfId="0" applyFont="1" applyBorder="1" applyAlignment="1">
      <alignment horizontal="center"/>
    </xf>
    <xf numFmtId="0" fontId="15" fillId="0" borderId="0" xfId="0" applyFont="1"/>
    <xf numFmtId="0" fontId="15" fillId="0" borderId="1" xfId="0" applyFont="1" applyBorder="1"/>
    <xf numFmtId="0" fontId="1" fillId="0" borderId="0" xfId="0" applyFont="1" applyAlignment="1">
      <alignment horizontal="left" vertical="center"/>
    </xf>
    <xf numFmtId="0" fontId="2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5" fillId="2" borderId="1" xfId="0" applyFont="1" applyFill="1" applyBorder="1"/>
    <xf numFmtId="0" fontId="0" fillId="2" borderId="1" xfId="0" applyFill="1" applyBorder="1" applyAlignment="1">
      <alignment horizontal="center"/>
    </xf>
    <xf numFmtId="0" fontId="1" fillId="0" borderId="1" xfId="0" applyFont="1" applyBorder="1"/>
    <xf numFmtId="2" fontId="0" fillId="2" borderId="1" xfId="0" applyNumberFormat="1" applyFill="1" applyBorder="1"/>
    <xf numFmtId="2" fontId="0" fillId="3" borderId="1" xfId="0" applyNumberFormat="1" applyFill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4" borderId="1" xfId="0" applyFill="1" applyBorder="1"/>
    <xf numFmtId="0" fontId="14" fillId="4" borderId="1" xfId="0" applyFont="1" applyFill="1" applyBorder="1"/>
    <xf numFmtId="9" fontId="0" fillId="0" borderId="1" xfId="0" applyNumberFormat="1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17" fillId="0" borderId="0" xfId="0" applyFont="1"/>
    <xf numFmtId="0" fontId="13" fillId="0" borderId="0" xfId="0" applyFont="1"/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18" fillId="0" borderId="1" xfId="0" applyNumberFormat="1" applyFont="1" applyBorder="1" applyAlignment="1">
      <alignment horizontal="left" vertical="top"/>
    </xf>
    <xf numFmtId="0" fontId="18" fillId="0" borderId="1" xfId="0" applyFont="1" applyBorder="1"/>
    <xf numFmtId="0" fontId="18" fillId="0" borderId="0" xfId="0" applyFont="1"/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left" vertical="top" wrapText="1"/>
    </xf>
    <xf numFmtId="9" fontId="13" fillId="0" borderId="0" xfId="1" applyFont="1"/>
    <xf numFmtId="0" fontId="18" fillId="0" borderId="1" xfId="0" applyFont="1" applyBorder="1" applyAlignment="1">
      <alignment horizontal="center"/>
    </xf>
    <xf numFmtId="9" fontId="18" fillId="0" borderId="0" xfId="1" applyFont="1"/>
    <xf numFmtId="9" fontId="18" fillId="0" borderId="0" xfId="1" applyFont="1" applyFill="1" applyBorder="1"/>
    <xf numFmtId="0" fontId="13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1152406</xdr:colOff>
      <xdr:row>5</xdr:row>
      <xdr:rowOff>164629</xdr:rowOff>
    </xdr:from>
    <xdr:ext cx="184731" cy="262572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3D19E67B-BE21-5C35-A980-0D0C354A5F7C}"/>
            </a:ext>
          </a:extLst>
        </xdr:cNvPr>
        <xdr:cNvSpPr txBox="1"/>
      </xdr:nvSpPr>
      <xdr:spPr>
        <a:xfrm>
          <a:off x="5726758" y="1140648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4</xdr:col>
      <xdr:colOff>955333</xdr:colOff>
      <xdr:row>40</xdr:row>
      <xdr:rowOff>170829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E6559D-4814-E5A2-6F87-68EC640BE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02400"/>
          <a:ext cx="5016500" cy="1403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7EF5-AECC-744F-A1A8-EEA39B76AC3D}">
  <sheetPr>
    <pageSetUpPr fitToPage="1"/>
  </sheetPr>
  <dimension ref="A2:I75"/>
  <sheetViews>
    <sheetView zoomScale="70" zoomScaleNormal="70" workbookViewId="0">
      <selection activeCell="M23" sqref="M23"/>
    </sheetView>
  </sheetViews>
  <sheetFormatPr defaultColWidth="11.54296875" defaultRowHeight="15" x14ac:dyDescent="0.25"/>
  <cols>
    <col min="1" max="1" width="15.6328125" customWidth="1"/>
    <col min="4" max="4" width="19.36328125" customWidth="1"/>
    <col min="5" max="5" width="13.36328125" customWidth="1"/>
    <col min="6" max="6" width="18.90625" customWidth="1"/>
  </cols>
  <sheetData>
    <row r="2" spans="2:6" ht="17.399999999999999" x14ac:dyDescent="0.3">
      <c r="B2" s="1" t="s">
        <v>0</v>
      </c>
    </row>
    <row r="4" spans="2:6" x14ac:dyDescent="0.25">
      <c r="B4" s="50" t="s">
        <v>1</v>
      </c>
    </row>
    <row r="5" spans="2:6" x14ac:dyDescent="0.25">
      <c r="B5" s="2"/>
    </row>
    <row r="6" spans="2:6" x14ac:dyDescent="0.25">
      <c r="B6" s="24" t="s">
        <v>2</v>
      </c>
      <c r="C6" s="24" t="s">
        <v>3</v>
      </c>
      <c r="D6" s="24" t="s">
        <v>4</v>
      </c>
      <c r="E6" s="24" t="s">
        <v>5</v>
      </c>
      <c r="F6" t="s">
        <v>6</v>
      </c>
    </row>
    <row r="7" spans="2:6" x14ac:dyDescent="0.25">
      <c r="B7" s="25" t="s">
        <v>7</v>
      </c>
      <c r="C7" s="25">
        <v>25</v>
      </c>
      <c r="D7" s="25">
        <v>40</v>
      </c>
      <c r="E7" s="25" t="s">
        <v>8</v>
      </c>
    </row>
    <row r="8" spans="2:6" x14ac:dyDescent="0.25">
      <c r="B8" s="25" t="s">
        <v>9</v>
      </c>
      <c r="C8" s="25">
        <v>35</v>
      </c>
      <c r="D8" s="25">
        <v>70</v>
      </c>
      <c r="E8" s="25" t="s">
        <v>10</v>
      </c>
    </row>
    <row r="9" spans="2:6" x14ac:dyDescent="0.25">
      <c r="B9" s="25" t="s">
        <v>11</v>
      </c>
      <c r="C9" s="25">
        <v>30</v>
      </c>
      <c r="D9" s="25">
        <v>50</v>
      </c>
      <c r="E9" s="25" t="s">
        <v>8</v>
      </c>
    </row>
    <row r="10" spans="2:6" x14ac:dyDescent="0.25">
      <c r="B10" s="25" t="s">
        <v>12</v>
      </c>
      <c r="C10" s="25">
        <v>40</v>
      </c>
      <c r="D10" s="25">
        <v>80</v>
      </c>
      <c r="E10" s="25" t="s">
        <v>10</v>
      </c>
    </row>
    <row r="12" spans="2:6" x14ac:dyDescent="0.25">
      <c r="B12" s="2" t="s">
        <v>13</v>
      </c>
      <c r="F12" t="s">
        <v>14</v>
      </c>
    </row>
    <row r="14" spans="2:6" x14ac:dyDescent="0.25">
      <c r="B14" t="s">
        <v>15</v>
      </c>
    </row>
    <row r="16" spans="2:6" ht="22.2" x14ac:dyDescent="0.35">
      <c r="B16" s="6" t="s">
        <v>16</v>
      </c>
      <c r="F16" t="s">
        <v>17</v>
      </c>
    </row>
    <row r="18" spans="1:9" ht="17.399999999999999" x14ac:dyDescent="0.3">
      <c r="B18" s="1" t="s">
        <v>18</v>
      </c>
    </row>
    <row r="20" spans="1:9" x14ac:dyDescent="0.25">
      <c r="B20" s="2" t="s">
        <v>19</v>
      </c>
      <c r="C20" t="s">
        <v>20</v>
      </c>
      <c r="E20" t="s">
        <v>21</v>
      </c>
    </row>
    <row r="21" spans="1:9" x14ac:dyDescent="0.25">
      <c r="B21" s="24" t="s">
        <v>2</v>
      </c>
      <c r="C21" s="24" t="s">
        <v>3</v>
      </c>
      <c r="D21" s="24" t="s">
        <v>4</v>
      </c>
      <c r="E21" s="24" t="s">
        <v>5</v>
      </c>
    </row>
    <row r="22" spans="1:9" x14ac:dyDescent="0.25">
      <c r="B22" s="25" t="s">
        <v>7</v>
      </c>
      <c r="C22" s="25">
        <v>25</v>
      </c>
      <c r="D22" s="25">
        <v>40</v>
      </c>
      <c r="E22" s="25" t="s">
        <v>8</v>
      </c>
    </row>
    <row r="23" spans="1:9" x14ac:dyDescent="0.25">
      <c r="B23" s="25" t="s">
        <v>9</v>
      </c>
      <c r="C23" s="25">
        <v>35</v>
      </c>
      <c r="D23" s="25">
        <v>70</v>
      </c>
      <c r="E23" s="25" t="s">
        <v>10</v>
      </c>
    </row>
    <row r="24" spans="1:9" x14ac:dyDescent="0.25">
      <c r="B24" s="25" t="s">
        <v>11</v>
      </c>
      <c r="C24" s="25">
        <v>30</v>
      </c>
      <c r="D24" s="25">
        <v>50</v>
      </c>
      <c r="E24" s="25" t="s">
        <v>8</v>
      </c>
    </row>
    <row r="25" spans="1:9" x14ac:dyDescent="0.25">
      <c r="B25" s="25" t="s">
        <v>12</v>
      </c>
      <c r="C25" s="25">
        <v>40</v>
      </c>
      <c r="D25" s="25">
        <v>80</v>
      </c>
      <c r="E25" s="25" t="s">
        <v>10</v>
      </c>
    </row>
    <row r="26" spans="1:9" ht="16.2" x14ac:dyDescent="0.35">
      <c r="B26" s="7" t="s">
        <v>22</v>
      </c>
      <c r="I26" t="s">
        <v>22</v>
      </c>
    </row>
    <row r="27" spans="1:9" ht="16.2" x14ac:dyDescent="0.35">
      <c r="B27" s="37" t="s">
        <v>23</v>
      </c>
      <c r="C27" s="38">
        <v>28</v>
      </c>
      <c r="D27" s="38">
        <v>55</v>
      </c>
      <c r="E27" s="38" t="s">
        <v>8</v>
      </c>
      <c r="F27" s="17" t="s">
        <v>24</v>
      </c>
    </row>
    <row r="28" spans="1:9" ht="16.2" x14ac:dyDescent="0.35">
      <c r="B28" s="7" t="s">
        <v>22</v>
      </c>
    </row>
    <row r="30" spans="1:9" ht="17.399999999999999" x14ac:dyDescent="0.3">
      <c r="B30" s="33" t="s">
        <v>25</v>
      </c>
      <c r="C30" s="17"/>
      <c r="D30" s="17"/>
      <c r="E30" s="17"/>
      <c r="F30" s="17"/>
      <c r="G30" s="17"/>
    </row>
    <row r="31" spans="1:9" x14ac:dyDescent="0.25">
      <c r="B31" s="34" t="s">
        <v>2</v>
      </c>
      <c r="C31" s="34" t="s">
        <v>3</v>
      </c>
      <c r="D31" s="34" t="s">
        <v>26</v>
      </c>
      <c r="E31" s="34" t="s">
        <v>5</v>
      </c>
      <c r="F31" s="34" t="s">
        <v>27</v>
      </c>
      <c r="G31" s="57" t="s">
        <v>28</v>
      </c>
    </row>
    <row r="32" spans="1:9" x14ac:dyDescent="0.25">
      <c r="A32" s="18" t="s">
        <v>29</v>
      </c>
      <c r="B32" s="35" t="s">
        <v>11</v>
      </c>
      <c r="C32" s="35">
        <v>30</v>
      </c>
      <c r="D32" s="35">
        <v>50</v>
      </c>
      <c r="E32" s="35" t="s">
        <v>8</v>
      </c>
      <c r="F32" s="36">
        <f>SQRT(($C$27-C32)^2+($D$27-D32)^2)</f>
        <v>5.3851648071345037</v>
      </c>
      <c r="G32" s="58" t="str">
        <f ca="1">_xlfn.FORMULATEXT(F32)</f>
        <v>=SQRT(($C$27-C32)^2+($D$27-D32)^2)</v>
      </c>
    </row>
    <row r="33" spans="1:7" x14ac:dyDescent="0.25">
      <c r="A33" s="18" t="s">
        <v>30</v>
      </c>
      <c r="B33" s="35" t="s">
        <v>7</v>
      </c>
      <c r="C33" s="35">
        <v>25</v>
      </c>
      <c r="D33" s="35">
        <v>40</v>
      </c>
      <c r="E33" s="35" t="s">
        <v>8</v>
      </c>
      <c r="F33" s="36">
        <f>SQRT(($C$27-C33)^2+($D$27-D33)^2)</f>
        <v>15.297058540778355</v>
      </c>
      <c r="G33" s="58" t="str">
        <f t="shared" ref="G33:G35" ca="1" si="0">_xlfn.FORMULATEXT(F33)</f>
        <v>=SQRT(($C$27-C33)^2+($D$27-D33)^2)</v>
      </c>
    </row>
    <row r="34" spans="1:7" x14ac:dyDescent="0.25">
      <c r="A34" s="18" t="s">
        <v>31</v>
      </c>
      <c r="B34" s="35" t="s">
        <v>9</v>
      </c>
      <c r="C34" s="35">
        <v>35</v>
      </c>
      <c r="D34" s="35">
        <v>70</v>
      </c>
      <c r="E34" s="35" t="s">
        <v>10</v>
      </c>
      <c r="F34" s="36">
        <f>SQRT(($C$27-C34)^2+($D$27-D34)^2)</f>
        <v>16.552945357246848</v>
      </c>
      <c r="G34" s="58" t="str">
        <f t="shared" ca="1" si="0"/>
        <v>=SQRT(($C$27-C34)^2+($D$27-D34)^2)</v>
      </c>
    </row>
    <row r="35" spans="1:7" x14ac:dyDescent="0.25">
      <c r="A35" s="18" t="s">
        <v>32</v>
      </c>
      <c r="B35" s="35" t="s">
        <v>12</v>
      </c>
      <c r="C35" s="35">
        <v>40</v>
      </c>
      <c r="D35" s="35">
        <v>80</v>
      </c>
      <c r="E35" s="35" t="s">
        <v>10</v>
      </c>
      <c r="F35" s="36">
        <f>SQRT(($C$27-C35)^2+($D$27-D35)^2)</f>
        <v>27.730849247724095</v>
      </c>
      <c r="G35" s="58" t="str">
        <f t="shared" ca="1" si="0"/>
        <v>=SQRT(($C$27-C35)^2+($D$27-D35)^2)</v>
      </c>
    </row>
    <row r="36" spans="1:7" x14ac:dyDescent="0.25">
      <c r="F36" s="59" t="s">
        <v>33</v>
      </c>
    </row>
    <row r="37" spans="1:7" x14ac:dyDescent="0.25">
      <c r="F37" s="59" t="s">
        <v>34</v>
      </c>
    </row>
    <row r="38" spans="1:7" x14ac:dyDescent="0.25">
      <c r="F38" s="59" t="s">
        <v>35</v>
      </c>
    </row>
    <row r="39" spans="1:7" ht="17.399999999999999" x14ac:dyDescent="0.3">
      <c r="B39" s="1" t="s">
        <v>36</v>
      </c>
    </row>
    <row r="41" spans="1:7" x14ac:dyDescent="0.25">
      <c r="B41" s="2" t="s">
        <v>37</v>
      </c>
    </row>
    <row r="43" spans="1:7" x14ac:dyDescent="0.25">
      <c r="B43" s="2" t="s">
        <v>38</v>
      </c>
    </row>
    <row r="45" spans="1:7" x14ac:dyDescent="0.25">
      <c r="B45" s="2" t="s">
        <v>39</v>
      </c>
    </row>
    <row r="47" spans="1:7" x14ac:dyDescent="0.25">
      <c r="B47" s="2" t="s">
        <v>40</v>
      </c>
    </row>
    <row r="50" spans="2:2" ht="17.399999999999999" x14ac:dyDescent="0.3">
      <c r="B50" s="1" t="s">
        <v>41</v>
      </c>
    </row>
    <row r="52" spans="2:2" x14ac:dyDescent="0.25">
      <c r="B52" s="2" t="s">
        <v>42</v>
      </c>
    </row>
    <row r="54" spans="2:2" x14ac:dyDescent="0.25">
      <c r="B54" s="2" t="s">
        <v>43</v>
      </c>
    </row>
    <row r="56" spans="2:2" x14ac:dyDescent="0.25">
      <c r="B56" s="2" t="s">
        <v>44</v>
      </c>
    </row>
    <row r="58" spans="2:2" x14ac:dyDescent="0.25">
      <c r="B58" s="2" t="s">
        <v>45</v>
      </c>
    </row>
    <row r="60" spans="2:2" ht="17.399999999999999" x14ac:dyDescent="0.3">
      <c r="B60" s="1" t="s">
        <v>46</v>
      </c>
    </row>
    <row r="62" spans="2:2" x14ac:dyDescent="0.25">
      <c r="B62" s="8" t="s">
        <v>47</v>
      </c>
    </row>
    <row r="64" spans="2:2" x14ac:dyDescent="0.25">
      <c r="B64" s="2" t="s">
        <v>48</v>
      </c>
    </row>
    <row r="66" spans="2:4" x14ac:dyDescent="0.25">
      <c r="B66" s="2" t="s">
        <v>49</v>
      </c>
    </row>
    <row r="68" spans="2:4" x14ac:dyDescent="0.25">
      <c r="B68" s="2" t="s">
        <v>50</v>
      </c>
    </row>
    <row r="72" spans="2:4" ht="17.399999999999999" x14ac:dyDescent="0.3">
      <c r="B72" s="1" t="s">
        <v>51</v>
      </c>
    </row>
    <row r="74" spans="2:4" ht="16.2" x14ac:dyDescent="0.35">
      <c r="B74" s="2" t="s">
        <v>52</v>
      </c>
    </row>
    <row r="75" spans="2:4" x14ac:dyDescent="0.25">
      <c r="B75" t="s">
        <v>53</v>
      </c>
      <c r="D75" t="s">
        <v>54</v>
      </c>
    </row>
  </sheetData>
  <sortState xmlns:xlrd2="http://schemas.microsoft.com/office/spreadsheetml/2017/richdata2" ref="B32:G35">
    <sortCondition ref="F32:F35"/>
  </sortState>
  <phoneticPr fontId="11" type="noConversion"/>
  <printOptions horizontalCentered="1" verticalCentered="1" headings="1"/>
  <pageMargins left="0.19685039370078741" right="7.874015748031496E-2" top="7.874015748031496E-2" bottom="7.874015748031496E-2" header="7.874015748031496E-2" footer="7.874015748031496E-2"/>
  <pageSetup paperSize="9" scale="52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A660-18BD-B04B-A268-F71CAE1ABB45}">
  <sheetPr>
    <pageSetUpPr fitToPage="1"/>
  </sheetPr>
  <dimension ref="A2:I162"/>
  <sheetViews>
    <sheetView zoomScale="70" zoomScaleNormal="70" workbookViewId="0">
      <selection activeCell="K152" sqref="K152"/>
    </sheetView>
  </sheetViews>
  <sheetFormatPr defaultColWidth="11.54296875" defaultRowHeight="15" x14ac:dyDescent="0.25"/>
  <cols>
    <col min="1" max="1" width="12.6328125" customWidth="1"/>
    <col min="2" max="2" width="12" customWidth="1"/>
    <col min="3" max="3" width="20.54296875" customWidth="1"/>
    <col min="4" max="4" width="13.453125" customWidth="1"/>
    <col min="5" max="6" width="12.453125" customWidth="1"/>
    <col min="7" max="7" width="24.1796875" bestFit="1" customWidth="1"/>
    <col min="8" max="8" width="18" bestFit="1" customWidth="1"/>
    <col min="9" max="9" width="12" bestFit="1" customWidth="1"/>
    <col min="10" max="10" width="13.453125" bestFit="1" customWidth="1"/>
  </cols>
  <sheetData>
    <row r="2" spans="1:4" x14ac:dyDescent="0.25">
      <c r="A2" t="s">
        <v>55</v>
      </c>
    </row>
    <row r="4" spans="1:4" x14ac:dyDescent="0.25">
      <c r="A4" t="s">
        <v>56</v>
      </c>
    </row>
    <row r="6" spans="1:4" x14ac:dyDescent="0.25">
      <c r="A6" s="24" t="s">
        <v>2</v>
      </c>
      <c r="B6" s="24" t="s">
        <v>3</v>
      </c>
      <c r="C6" s="24" t="s">
        <v>57</v>
      </c>
      <c r="D6" s="24" t="s">
        <v>5</v>
      </c>
    </row>
    <row r="7" spans="1:4" x14ac:dyDescent="0.25">
      <c r="A7" s="25" t="s">
        <v>7</v>
      </c>
      <c r="B7" s="25">
        <v>25</v>
      </c>
      <c r="C7" s="25">
        <v>40</v>
      </c>
      <c r="D7" s="25" t="s">
        <v>8</v>
      </c>
    </row>
    <row r="8" spans="1:4" x14ac:dyDescent="0.25">
      <c r="A8" s="25" t="s">
        <v>9</v>
      </c>
      <c r="B8" s="25">
        <v>35</v>
      </c>
      <c r="C8" s="25">
        <v>70</v>
      </c>
      <c r="D8" s="25" t="s">
        <v>10</v>
      </c>
    </row>
    <row r="9" spans="1:4" x14ac:dyDescent="0.25">
      <c r="A9" s="25" t="s">
        <v>11</v>
      </c>
      <c r="B9" s="25">
        <v>30</v>
      </c>
      <c r="C9" s="25">
        <v>50</v>
      </c>
      <c r="D9" s="25" t="s">
        <v>8</v>
      </c>
    </row>
    <row r="10" spans="1:4" x14ac:dyDescent="0.25">
      <c r="A10" s="25" t="s">
        <v>12</v>
      </c>
      <c r="B10" s="25">
        <v>40</v>
      </c>
      <c r="C10" s="25">
        <v>80</v>
      </c>
      <c r="D10" s="25" t="s">
        <v>10</v>
      </c>
    </row>
    <row r="11" spans="1:4" x14ac:dyDescent="0.25">
      <c r="A11" s="25" t="s">
        <v>58</v>
      </c>
      <c r="B11" s="25">
        <v>45</v>
      </c>
      <c r="C11" s="25">
        <v>85</v>
      </c>
      <c r="D11" s="25" t="s">
        <v>10</v>
      </c>
    </row>
    <row r="12" spans="1:4" x14ac:dyDescent="0.25">
      <c r="A12" s="25" t="s">
        <v>59</v>
      </c>
      <c r="B12" s="25">
        <v>23</v>
      </c>
      <c r="C12" s="25">
        <v>35</v>
      </c>
      <c r="D12" s="25" t="s">
        <v>8</v>
      </c>
    </row>
    <row r="14" spans="1:4" x14ac:dyDescent="0.25">
      <c r="A14" t="s">
        <v>60</v>
      </c>
    </row>
    <row r="16" spans="1:4" ht="22.2" x14ac:dyDescent="0.35">
      <c r="A16" s="10" t="s">
        <v>61</v>
      </c>
    </row>
    <row r="18" spans="1:1" ht="17.399999999999999" x14ac:dyDescent="0.3">
      <c r="A18" s="11" t="s">
        <v>62</v>
      </c>
    </row>
    <row r="20" spans="1:1" x14ac:dyDescent="0.25">
      <c r="A20" t="s">
        <v>63</v>
      </c>
    </row>
    <row r="22" spans="1:1" x14ac:dyDescent="0.25">
      <c r="A22" s="3" t="s">
        <v>64</v>
      </c>
    </row>
    <row r="24" spans="1:1" x14ac:dyDescent="0.25">
      <c r="A24" s="3" t="s">
        <v>65</v>
      </c>
    </row>
    <row r="26" spans="1:1" x14ac:dyDescent="0.25">
      <c r="A26" s="3" t="s">
        <v>66</v>
      </c>
    </row>
    <row r="28" spans="1:1" ht="17.399999999999999" x14ac:dyDescent="0.3">
      <c r="A28" s="11" t="s">
        <v>67</v>
      </c>
    </row>
    <row r="30" spans="1:1" x14ac:dyDescent="0.25">
      <c r="A30" t="s">
        <v>68</v>
      </c>
    </row>
    <row r="32" spans="1:1" x14ac:dyDescent="0.25">
      <c r="A32" t="s">
        <v>69</v>
      </c>
    </row>
    <row r="34" spans="1:9" x14ac:dyDescent="0.25">
      <c r="A34" t="s">
        <v>70</v>
      </c>
    </row>
    <row r="36" spans="1:9" x14ac:dyDescent="0.25">
      <c r="A36" t="s">
        <v>71</v>
      </c>
    </row>
    <row r="37" spans="1:9" x14ac:dyDescent="0.25">
      <c r="B37" t="s">
        <v>72</v>
      </c>
      <c r="C37" t="s">
        <v>73</v>
      </c>
    </row>
    <row r="38" spans="1:9" x14ac:dyDescent="0.25">
      <c r="A38" s="39" t="s">
        <v>74</v>
      </c>
      <c r="B38" s="39" t="s">
        <v>75</v>
      </c>
      <c r="C38" s="39" t="s">
        <v>76</v>
      </c>
    </row>
    <row r="39" spans="1:9" x14ac:dyDescent="0.25">
      <c r="A39" s="17">
        <v>1</v>
      </c>
      <c r="B39" s="17" t="s">
        <v>77</v>
      </c>
      <c r="C39" s="17" t="s">
        <v>78</v>
      </c>
    </row>
    <row r="40" spans="1:9" x14ac:dyDescent="0.25">
      <c r="A40" s="17">
        <v>2</v>
      </c>
      <c r="B40" s="17" t="s">
        <v>79</v>
      </c>
      <c r="C40" s="17" t="s">
        <v>80</v>
      </c>
      <c r="F40" s="21"/>
      <c r="G40" s="21"/>
      <c r="H40" s="21"/>
      <c r="I40" s="21"/>
    </row>
    <row r="41" spans="1:9" x14ac:dyDescent="0.25">
      <c r="A41" s="17">
        <v>3</v>
      </c>
      <c r="B41" s="17" t="s">
        <v>81</v>
      </c>
      <c r="C41" s="17" t="s">
        <v>82</v>
      </c>
      <c r="F41" s="23"/>
      <c r="G41" s="23"/>
      <c r="H41" s="23"/>
      <c r="I41" s="23"/>
    </row>
    <row r="42" spans="1:9" x14ac:dyDescent="0.25">
      <c r="F42" s="23"/>
      <c r="G42" s="23"/>
      <c r="H42" s="23"/>
      <c r="I42" s="23"/>
    </row>
    <row r="43" spans="1:9" x14ac:dyDescent="0.25">
      <c r="F43" s="23"/>
      <c r="G43" s="23"/>
      <c r="H43" s="23"/>
      <c r="I43" s="23"/>
    </row>
    <row r="44" spans="1:9" x14ac:dyDescent="0.25">
      <c r="A44" s="3" t="s">
        <v>83</v>
      </c>
      <c r="F44" s="23"/>
      <c r="G44" s="23"/>
      <c r="H44" s="23"/>
      <c r="I44" s="23"/>
    </row>
    <row r="45" spans="1:9" x14ac:dyDescent="0.25">
      <c r="A45" s="3" t="s">
        <v>84</v>
      </c>
      <c r="F45" s="23"/>
      <c r="G45" s="23"/>
      <c r="H45" s="23"/>
      <c r="I45" s="23"/>
    </row>
    <row r="46" spans="1:9" ht="16.2" x14ac:dyDescent="0.35">
      <c r="A46" s="12" t="s">
        <v>85</v>
      </c>
      <c r="F46" s="23"/>
      <c r="G46" s="23"/>
      <c r="H46" s="23"/>
      <c r="I46" s="23"/>
    </row>
    <row r="47" spans="1:9" x14ac:dyDescent="0.25">
      <c r="A47" s="24" t="s">
        <v>2</v>
      </c>
      <c r="B47" s="24" t="s">
        <v>3</v>
      </c>
      <c r="C47" s="24" t="s">
        <v>57</v>
      </c>
      <c r="D47" s="24" t="s">
        <v>5</v>
      </c>
      <c r="E47" s="24" t="s">
        <v>86</v>
      </c>
      <c r="F47" s="24" t="s">
        <v>87</v>
      </c>
      <c r="G47" s="60" t="s">
        <v>86</v>
      </c>
      <c r="H47" s="60" t="s">
        <v>87</v>
      </c>
    </row>
    <row r="48" spans="1:9" x14ac:dyDescent="0.25">
      <c r="A48" s="25" t="s">
        <v>11</v>
      </c>
      <c r="B48" s="25">
        <v>30</v>
      </c>
      <c r="C48" s="25">
        <v>50</v>
      </c>
      <c r="D48" s="25" t="s">
        <v>8</v>
      </c>
      <c r="E48" s="40">
        <f>SQRT((B48-25)^2+(C48-40)^2)</f>
        <v>11.180339887498949</v>
      </c>
      <c r="F48" s="41">
        <f>SQRT((B48-35)^2+(C48-70)^2)</f>
        <v>20.615528128088304</v>
      </c>
      <c r="G48" s="58" t="str">
        <f ca="1">_xlfn.FORMULATEXT(E48)</f>
        <v>=SQRT((B48-25)^2+(C48-40)^2)</v>
      </c>
      <c r="H48" s="58" t="str">
        <f ca="1">_xlfn.FORMULATEXT(F48)</f>
        <v>=SQRT((B48-35)^2+(C48-70)^2)</v>
      </c>
    </row>
    <row r="49" spans="1:8" x14ac:dyDescent="0.25">
      <c r="A49" s="25" t="s">
        <v>12</v>
      </c>
      <c r="B49" s="25">
        <v>40</v>
      </c>
      <c r="C49" s="25">
        <v>80</v>
      </c>
      <c r="D49" s="25" t="s">
        <v>10</v>
      </c>
      <c r="E49" s="40">
        <f>SQRT((B49-25)^2+(C49-40)^2)</f>
        <v>42.720018726587654</v>
      </c>
      <c r="F49" s="41">
        <f>SQRT((B49-35)^2+(C49-70)^2)</f>
        <v>11.180339887498949</v>
      </c>
      <c r="G49" s="58" t="str">
        <f t="shared" ref="G49:G51" ca="1" si="0">_xlfn.FORMULATEXT(E49)</f>
        <v>=SQRT((B49-25)^2+(C49-40)^2)</v>
      </c>
      <c r="H49" s="58" t="str">
        <f t="shared" ref="H49:H51" ca="1" si="1">_xlfn.FORMULATEXT(F49)</f>
        <v>=SQRT((B49-35)^2+(C49-70)^2)</v>
      </c>
    </row>
    <row r="50" spans="1:8" x14ac:dyDescent="0.25">
      <c r="A50" s="25" t="s">
        <v>58</v>
      </c>
      <c r="B50" s="25">
        <v>45</v>
      </c>
      <c r="C50" s="25">
        <v>85</v>
      </c>
      <c r="D50" s="25" t="s">
        <v>10</v>
      </c>
      <c r="E50" s="40">
        <f>SQRT((B50-25)^2+(C50-40)^2)</f>
        <v>49.244289008980523</v>
      </c>
      <c r="F50" s="41">
        <f>SQRT((B50-35)^2+(C50-70)^2)</f>
        <v>18.027756377319946</v>
      </c>
      <c r="G50" s="58" t="str">
        <f t="shared" ca="1" si="0"/>
        <v>=SQRT((B50-25)^2+(C50-40)^2)</v>
      </c>
      <c r="H50" s="58" t="str">
        <f t="shared" ca="1" si="1"/>
        <v>=SQRT((B50-35)^2+(C50-70)^2)</v>
      </c>
    </row>
    <row r="51" spans="1:8" x14ac:dyDescent="0.25">
      <c r="A51" s="25" t="s">
        <v>59</v>
      </c>
      <c r="B51" s="25">
        <v>23</v>
      </c>
      <c r="C51" s="25">
        <v>35</v>
      </c>
      <c r="D51" s="25" t="s">
        <v>8</v>
      </c>
      <c r="E51" s="40">
        <f>SQRT((B51-25)^2+(C51-40)^2)</f>
        <v>5.3851648071345037</v>
      </c>
      <c r="F51" s="41">
        <f>SQRT((B51-35)^2+(C51-70)^2)</f>
        <v>37</v>
      </c>
      <c r="G51" s="58" t="str">
        <f t="shared" ca="1" si="0"/>
        <v>=SQRT((B51-25)^2+(C51-40)^2)</v>
      </c>
      <c r="H51" s="58" t="str">
        <f t="shared" ca="1" si="1"/>
        <v>=SQRT((B51-35)^2+(C51-70)^2)</v>
      </c>
    </row>
    <row r="52" spans="1:8" x14ac:dyDescent="0.25">
      <c r="A52" s="5"/>
      <c r="B52" s="5"/>
      <c r="C52" s="5"/>
      <c r="D52" s="5"/>
      <c r="E52" s="13"/>
      <c r="F52" s="15"/>
    </row>
    <row r="53" spans="1:8" x14ac:dyDescent="0.25">
      <c r="A53" s="3" t="s">
        <v>88</v>
      </c>
    </row>
    <row r="54" spans="1:8" x14ac:dyDescent="0.25">
      <c r="A54" t="s">
        <v>89</v>
      </c>
    </row>
    <row r="55" spans="1:8" x14ac:dyDescent="0.25">
      <c r="A55" t="s">
        <v>90</v>
      </c>
    </row>
    <row r="57" spans="1:8" s="14" customFormat="1" ht="30" x14ac:dyDescent="0.25">
      <c r="A57" s="42" t="s">
        <v>91</v>
      </c>
      <c r="B57" s="43" t="s">
        <v>92</v>
      </c>
      <c r="C57" s="43" t="s">
        <v>93</v>
      </c>
      <c r="D57" s="44" t="s">
        <v>94</v>
      </c>
      <c r="E57" s="43" t="s">
        <v>95</v>
      </c>
      <c r="F57" s="17"/>
    </row>
    <row r="58" spans="1:8" x14ac:dyDescent="0.25">
      <c r="A58" s="17">
        <v>1</v>
      </c>
      <c r="B58" s="17" t="s">
        <v>7</v>
      </c>
      <c r="C58" s="17" t="s">
        <v>8</v>
      </c>
      <c r="D58" s="45" t="s">
        <v>8</v>
      </c>
      <c r="E58" s="17" t="s">
        <v>96</v>
      </c>
      <c r="F58" s="46" t="s">
        <v>97</v>
      </c>
    </row>
    <row r="59" spans="1:8" x14ac:dyDescent="0.25">
      <c r="A59" s="17" t="s">
        <v>22</v>
      </c>
      <c r="B59" s="17" t="s">
        <v>9</v>
      </c>
      <c r="C59" s="17" t="s">
        <v>10</v>
      </c>
      <c r="D59" s="45" t="s">
        <v>10</v>
      </c>
      <c r="E59" s="17" t="s">
        <v>96</v>
      </c>
      <c r="F59" s="46" t="s">
        <v>98</v>
      </c>
    </row>
    <row r="60" spans="1:8" x14ac:dyDescent="0.25">
      <c r="A60" s="17">
        <v>3</v>
      </c>
      <c r="B60" s="17" t="s">
        <v>7</v>
      </c>
      <c r="C60" s="17" t="s">
        <v>8</v>
      </c>
      <c r="D60" s="45" t="s">
        <v>8</v>
      </c>
      <c r="E60" s="17" t="s">
        <v>96</v>
      </c>
      <c r="F60" s="46" t="s">
        <v>99</v>
      </c>
    </row>
    <row r="61" spans="1:8" x14ac:dyDescent="0.25">
      <c r="A61" s="17"/>
      <c r="B61" s="17" t="s">
        <v>9</v>
      </c>
      <c r="C61" s="17" t="s">
        <v>10</v>
      </c>
      <c r="D61" s="45" t="s">
        <v>10</v>
      </c>
      <c r="E61" s="17" t="s">
        <v>96</v>
      </c>
      <c r="F61" s="46" t="s">
        <v>100</v>
      </c>
    </row>
    <row r="64" spans="1:8" x14ac:dyDescent="0.25">
      <c r="A64" s="3" t="s">
        <v>101</v>
      </c>
    </row>
    <row r="65" spans="1:8" x14ac:dyDescent="0.25">
      <c r="A65" s="3"/>
      <c r="B65" t="s">
        <v>102</v>
      </c>
      <c r="D65" t="s">
        <v>103</v>
      </c>
    </row>
    <row r="66" spans="1:8" x14ac:dyDescent="0.25">
      <c r="B66" t="s">
        <v>104</v>
      </c>
      <c r="D66" t="s">
        <v>105</v>
      </c>
    </row>
    <row r="68" spans="1:8" x14ac:dyDescent="0.25">
      <c r="A68" t="s">
        <v>106</v>
      </c>
    </row>
    <row r="69" spans="1:8" x14ac:dyDescent="0.25">
      <c r="A69" s="3" t="s">
        <v>84</v>
      </c>
    </row>
    <row r="70" spans="1:8" ht="16.2" x14ac:dyDescent="0.35">
      <c r="A70" s="12" t="s">
        <v>107</v>
      </c>
    </row>
    <row r="71" spans="1:8" x14ac:dyDescent="0.25">
      <c r="A71" s="24" t="s">
        <v>2</v>
      </c>
      <c r="B71" s="24" t="s">
        <v>3</v>
      </c>
      <c r="C71" s="24" t="s">
        <v>57</v>
      </c>
      <c r="D71" s="24" t="s">
        <v>5</v>
      </c>
      <c r="E71" s="24" t="s">
        <v>108</v>
      </c>
      <c r="F71" s="24" t="s">
        <v>109</v>
      </c>
      <c r="G71" s="60" t="s">
        <v>108</v>
      </c>
      <c r="H71" s="60" t="s">
        <v>109</v>
      </c>
    </row>
    <row r="72" spans="1:8" x14ac:dyDescent="0.25">
      <c r="A72" s="25" t="s">
        <v>7</v>
      </c>
      <c r="B72" s="25">
        <v>25</v>
      </c>
      <c r="C72" s="25">
        <v>40</v>
      </c>
      <c r="D72" s="25" t="s">
        <v>8</v>
      </c>
      <c r="E72" s="40">
        <f>SQRT((B72-30)^2+(C72-50)^2)</f>
        <v>11.180339887498949</v>
      </c>
      <c r="F72" s="41">
        <f>SQRT((B72-40)^2+(C72-80)^2)</f>
        <v>42.720018726587654</v>
      </c>
      <c r="G72" s="58" t="str">
        <f ca="1">_xlfn.FORMULATEXT(E72)</f>
        <v>=SQRT((B72-30)^2+(C72-50)^2)</v>
      </c>
      <c r="H72" s="58" t="str">
        <f ca="1">_xlfn.FORMULATEXT(F72)</f>
        <v>=SQRT((B72-40)^2+(C72-80)^2)</v>
      </c>
    </row>
    <row r="73" spans="1:8" x14ac:dyDescent="0.25">
      <c r="A73" s="25" t="s">
        <v>9</v>
      </c>
      <c r="B73" s="25">
        <v>35</v>
      </c>
      <c r="C73" s="25">
        <v>70</v>
      </c>
      <c r="D73" s="25" t="s">
        <v>10</v>
      </c>
      <c r="E73" s="40">
        <f t="shared" ref="E73:E75" si="2">SQRT((B73-30)^2+(C73-50)^2)</f>
        <v>20.615528128088304</v>
      </c>
      <c r="F73" s="41">
        <f t="shared" ref="F73:F75" si="3">SQRT((B73-40)^2+(C73-80)^2)</f>
        <v>11.180339887498949</v>
      </c>
      <c r="G73" s="58" t="str">
        <f t="shared" ref="G73:G75" ca="1" si="4">_xlfn.FORMULATEXT(E73)</f>
        <v>=SQRT((B73-30)^2+(C73-50)^2)</v>
      </c>
      <c r="H73" s="58" t="str">
        <f t="shared" ref="H73:H75" ca="1" si="5">_xlfn.FORMULATEXT(F73)</f>
        <v>=SQRT((B73-40)^2+(C73-80)^2)</v>
      </c>
    </row>
    <row r="74" spans="1:8" x14ac:dyDescent="0.25">
      <c r="A74" s="25" t="s">
        <v>58</v>
      </c>
      <c r="B74" s="25">
        <v>45</v>
      </c>
      <c r="C74" s="25">
        <v>85</v>
      </c>
      <c r="D74" s="25" t="s">
        <v>10</v>
      </c>
      <c r="E74" s="40">
        <f t="shared" si="2"/>
        <v>38.078865529319543</v>
      </c>
      <c r="F74" s="41">
        <f t="shared" si="3"/>
        <v>7.0710678118654755</v>
      </c>
      <c r="G74" s="58" t="str">
        <f t="shared" ca="1" si="4"/>
        <v>=SQRT((B74-30)^2+(C74-50)^2)</v>
      </c>
      <c r="H74" s="58" t="str">
        <f t="shared" ca="1" si="5"/>
        <v>=SQRT((B74-40)^2+(C74-80)^2)</v>
      </c>
    </row>
    <row r="75" spans="1:8" x14ac:dyDescent="0.25">
      <c r="A75" s="25" t="s">
        <v>59</v>
      </c>
      <c r="B75" s="25">
        <v>23</v>
      </c>
      <c r="C75" s="25">
        <v>35</v>
      </c>
      <c r="D75" s="25" t="s">
        <v>8</v>
      </c>
      <c r="E75" s="40">
        <f t="shared" si="2"/>
        <v>16.552945357246848</v>
      </c>
      <c r="F75" s="41">
        <f t="shared" si="3"/>
        <v>48.104053883222775</v>
      </c>
      <c r="G75" s="58" t="str">
        <f t="shared" ca="1" si="4"/>
        <v>=SQRT((B75-30)^2+(C75-50)^2)</v>
      </c>
      <c r="H75" s="58" t="str">
        <f t="shared" ca="1" si="5"/>
        <v>=SQRT((B75-40)^2+(C75-80)^2)</v>
      </c>
    </row>
    <row r="76" spans="1:8" x14ac:dyDescent="0.25">
      <c r="A76" s="5"/>
      <c r="B76" s="5"/>
      <c r="C76" s="5"/>
      <c r="D76" s="5"/>
      <c r="E76" s="13"/>
      <c r="F76" s="15"/>
    </row>
    <row r="77" spans="1:8" x14ac:dyDescent="0.25">
      <c r="A77" s="3" t="s">
        <v>88</v>
      </c>
    </row>
    <row r="78" spans="1:8" x14ac:dyDescent="0.25">
      <c r="A78" t="s">
        <v>89</v>
      </c>
    </row>
    <row r="79" spans="1:8" x14ac:dyDescent="0.25">
      <c r="A79" t="s">
        <v>90</v>
      </c>
    </row>
    <row r="81" spans="1:8" s="14" customFormat="1" ht="30" x14ac:dyDescent="0.25">
      <c r="A81" s="42" t="s">
        <v>91</v>
      </c>
      <c r="B81" s="43" t="s">
        <v>92</v>
      </c>
      <c r="C81" s="43" t="s">
        <v>93</v>
      </c>
      <c r="D81" s="44" t="s">
        <v>94</v>
      </c>
      <c r="E81" s="43" t="s">
        <v>95</v>
      </c>
    </row>
    <row r="82" spans="1:8" x14ac:dyDescent="0.25">
      <c r="A82" s="17">
        <v>1</v>
      </c>
      <c r="B82" s="17" t="s">
        <v>11</v>
      </c>
      <c r="C82" s="17" t="s">
        <v>8</v>
      </c>
      <c r="D82" s="45" t="s">
        <v>8</v>
      </c>
      <c r="E82" s="17" t="s">
        <v>96</v>
      </c>
    </row>
    <row r="83" spans="1:8" x14ac:dyDescent="0.25">
      <c r="A83" s="17" t="s">
        <v>22</v>
      </c>
      <c r="B83" s="17" t="s">
        <v>12</v>
      </c>
      <c r="C83" s="17" t="s">
        <v>10</v>
      </c>
      <c r="D83" s="45" t="s">
        <v>10</v>
      </c>
      <c r="E83" s="17" t="s">
        <v>96</v>
      </c>
    </row>
    <row r="84" spans="1:8" x14ac:dyDescent="0.25">
      <c r="A84" s="17">
        <v>3</v>
      </c>
      <c r="B84" s="17" t="s">
        <v>11</v>
      </c>
      <c r="C84" s="17" t="s">
        <v>8</v>
      </c>
      <c r="D84" s="45" t="s">
        <v>8</v>
      </c>
      <c r="E84" s="17" t="s">
        <v>96</v>
      </c>
    </row>
    <row r="85" spans="1:8" x14ac:dyDescent="0.25">
      <c r="A85" s="17"/>
      <c r="B85" s="17" t="s">
        <v>12</v>
      </c>
      <c r="C85" s="17" t="s">
        <v>10</v>
      </c>
      <c r="D85" s="45" t="s">
        <v>10</v>
      </c>
      <c r="E85" s="17" t="s">
        <v>96</v>
      </c>
    </row>
    <row r="88" spans="1:8" x14ac:dyDescent="0.25">
      <c r="A88" s="3" t="s">
        <v>101</v>
      </c>
    </row>
    <row r="89" spans="1:8" x14ac:dyDescent="0.25">
      <c r="A89" s="3"/>
      <c r="B89" t="s">
        <v>110</v>
      </c>
    </row>
    <row r="90" spans="1:8" x14ac:dyDescent="0.25">
      <c r="B90" t="s">
        <v>111</v>
      </c>
    </row>
    <row r="92" spans="1:8" x14ac:dyDescent="0.25">
      <c r="A92" t="s">
        <v>112</v>
      </c>
    </row>
    <row r="93" spans="1:8" x14ac:dyDescent="0.25">
      <c r="A93" s="3" t="s">
        <v>84</v>
      </c>
    </row>
    <row r="94" spans="1:8" ht="16.2" x14ac:dyDescent="0.35">
      <c r="A94" s="12" t="s">
        <v>113</v>
      </c>
    </row>
    <row r="95" spans="1:8" x14ac:dyDescent="0.25">
      <c r="A95" s="24" t="s">
        <v>2</v>
      </c>
      <c r="B95" s="24" t="s">
        <v>3</v>
      </c>
      <c r="C95" s="24" t="s">
        <v>57</v>
      </c>
      <c r="D95" s="24" t="s">
        <v>5</v>
      </c>
      <c r="E95" s="24" t="s">
        <v>114</v>
      </c>
      <c r="F95" s="24" t="s">
        <v>115</v>
      </c>
      <c r="G95" s="24" t="s">
        <v>114</v>
      </c>
      <c r="H95" s="24" t="s">
        <v>115</v>
      </c>
    </row>
    <row r="96" spans="1:8" x14ac:dyDescent="0.25">
      <c r="A96" s="25" t="s">
        <v>7</v>
      </c>
      <c r="B96" s="25">
        <v>25</v>
      </c>
      <c r="C96" s="25">
        <v>40</v>
      </c>
      <c r="D96" s="25" t="s">
        <v>8</v>
      </c>
      <c r="E96" s="40">
        <f>SQRT((B96-45)^2+(C96-85)^2)</f>
        <v>49.244289008980523</v>
      </c>
      <c r="F96" s="41">
        <f>SQRT((B96-23)^2+(C96-25)^2)</f>
        <v>15.132745950421556</v>
      </c>
      <c r="G96" s="58" t="str">
        <f ca="1">_xlfn.FORMULATEXT(E96)</f>
        <v>=SQRT((B96-45)^2+(C96-85)^2)</v>
      </c>
      <c r="H96" s="58" t="str">
        <f ca="1">_xlfn.FORMULATEXT(F96)</f>
        <v>=SQRT((B96-23)^2+(C96-25)^2)</v>
      </c>
    </row>
    <row r="97" spans="1:8" x14ac:dyDescent="0.25">
      <c r="A97" s="25" t="s">
        <v>9</v>
      </c>
      <c r="B97" s="25">
        <v>35</v>
      </c>
      <c r="C97" s="25">
        <v>70</v>
      </c>
      <c r="D97" s="25" t="s">
        <v>10</v>
      </c>
      <c r="E97" s="40">
        <f t="shared" ref="E97:E99" si="6">SQRT((B97-45)^2+(C97-85)^2)</f>
        <v>18.027756377319946</v>
      </c>
      <c r="F97" s="41">
        <f t="shared" ref="F97:F99" si="7">SQRT((B97-23)^2+(C97-25)^2)</f>
        <v>46.572524088780071</v>
      </c>
      <c r="G97" s="58" t="str">
        <f t="shared" ref="G97:G99" ca="1" si="8">_xlfn.FORMULATEXT(E97)</f>
        <v>=SQRT((B97-45)^2+(C97-85)^2)</v>
      </c>
      <c r="H97" s="58" t="str">
        <f t="shared" ref="H97:H99" ca="1" si="9">_xlfn.FORMULATEXT(F97)</f>
        <v>=SQRT((B97-23)^2+(C97-25)^2)</v>
      </c>
    </row>
    <row r="98" spans="1:8" x14ac:dyDescent="0.25">
      <c r="A98" s="25" t="s">
        <v>11</v>
      </c>
      <c r="B98" s="25">
        <v>30</v>
      </c>
      <c r="C98" s="25">
        <v>50</v>
      </c>
      <c r="D98" s="25" t="s">
        <v>10</v>
      </c>
      <c r="E98" s="40">
        <f t="shared" si="6"/>
        <v>38.078865529319543</v>
      </c>
      <c r="F98" s="41">
        <f t="shared" si="7"/>
        <v>25.96150997149434</v>
      </c>
      <c r="G98" s="58" t="str">
        <f t="shared" ca="1" si="8"/>
        <v>=SQRT((B98-45)^2+(C98-85)^2)</v>
      </c>
      <c r="H98" s="58" t="str">
        <f t="shared" ca="1" si="9"/>
        <v>=SQRT((B98-23)^2+(C98-25)^2)</v>
      </c>
    </row>
    <row r="99" spans="1:8" x14ac:dyDescent="0.25">
      <c r="A99" s="25" t="s">
        <v>12</v>
      </c>
      <c r="B99" s="25">
        <v>40</v>
      </c>
      <c r="C99" s="25">
        <v>80</v>
      </c>
      <c r="D99" s="25" t="s">
        <v>8</v>
      </c>
      <c r="E99" s="40">
        <f t="shared" si="6"/>
        <v>7.0710678118654755</v>
      </c>
      <c r="F99" s="41">
        <f t="shared" si="7"/>
        <v>57.56735185849702</v>
      </c>
      <c r="G99" s="58" t="str">
        <f t="shared" ca="1" si="8"/>
        <v>=SQRT((B99-45)^2+(C99-85)^2)</v>
      </c>
      <c r="H99" s="58" t="str">
        <f t="shared" ca="1" si="9"/>
        <v>=SQRT((B99-23)^2+(C99-25)^2)</v>
      </c>
    </row>
    <row r="100" spans="1:8" x14ac:dyDescent="0.25">
      <c r="A100" s="5"/>
      <c r="B100" s="5"/>
      <c r="C100" s="5"/>
      <c r="D100" s="5"/>
      <c r="E100" s="13"/>
      <c r="F100" s="15"/>
    </row>
    <row r="101" spans="1:8" x14ac:dyDescent="0.25">
      <c r="A101" s="3" t="s">
        <v>88</v>
      </c>
    </row>
    <row r="102" spans="1:8" x14ac:dyDescent="0.25">
      <c r="A102" t="s">
        <v>89</v>
      </c>
    </row>
    <row r="103" spans="1:8" x14ac:dyDescent="0.25">
      <c r="A103" t="s">
        <v>90</v>
      </c>
    </row>
    <row r="105" spans="1:8" ht="30" x14ac:dyDescent="0.25">
      <c r="A105" s="42" t="s">
        <v>91</v>
      </c>
      <c r="B105" s="43" t="s">
        <v>92</v>
      </c>
      <c r="C105" s="43" t="s">
        <v>93</v>
      </c>
      <c r="D105" s="44" t="s">
        <v>94</v>
      </c>
      <c r="E105" s="43" t="s">
        <v>95</v>
      </c>
      <c r="F105" s="14"/>
    </row>
    <row r="106" spans="1:8" x14ac:dyDescent="0.25">
      <c r="A106" s="17">
        <v>1</v>
      </c>
      <c r="B106" s="17" t="s">
        <v>58</v>
      </c>
      <c r="C106" s="17" t="s">
        <v>8</v>
      </c>
      <c r="D106" s="45" t="s">
        <v>8</v>
      </c>
      <c r="E106" s="17" t="s">
        <v>96</v>
      </c>
    </row>
    <row r="107" spans="1:8" x14ac:dyDescent="0.25">
      <c r="A107" s="17" t="s">
        <v>22</v>
      </c>
      <c r="B107" s="17" t="s">
        <v>59</v>
      </c>
      <c r="C107" s="17" t="s">
        <v>10</v>
      </c>
      <c r="D107" s="45" t="s">
        <v>8</v>
      </c>
      <c r="E107" s="17" t="s">
        <v>116</v>
      </c>
    </row>
    <row r="108" spans="1:8" x14ac:dyDescent="0.25">
      <c r="A108" s="17">
        <v>3</v>
      </c>
      <c r="B108" s="17" t="s">
        <v>58</v>
      </c>
      <c r="C108" s="17" t="s">
        <v>8</v>
      </c>
      <c r="D108" s="45" t="s">
        <v>10</v>
      </c>
      <c r="E108" s="17" t="s">
        <v>116</v>
      </c>
    </row>
    <row r="109" spans="1:8" x14ac:dyDescent="0.25">
      <c r="A109" s="17"/>
      <c r="B109" s="17" t="s">
        <v>59</v>
      </c>
      <c r="C109" s="17" t="s">
        <v>10</v>
      </c>
      <c r="D109" s="45" t="s">
        <v>10</v>
      </c>
      <c r="E109" s="17" t="s">
        <v>96</v>
      </c>
    </row>
    <row r="112" spans="1:8" x14ac:dyDescent="0.25">
      <c r="A112" s="3" t="s">
        <v>101</v>
      </c>
    </row>
    <row r="113" spans="1:9" x14ac:dyDescent="0.25">
      <c r="A113" s="3"/>
      <c r="B113" t="s">
        <v>117</v>
      </c>
    </row>
    <row r="114" spans="1:9" x14ac:dyDescent="0.25">
      <c r="B114" t="s">
        <v>118</v>
      </c>
    </row>
    <row r="116" spans="1:9" ht="17.399999999999999" x14ac:dyDescent="0.3">
      <c r="A116" s="11" t="s">
        <v>119</v>
      </c>
    </row>
    <row r="118" spans="1:9" x14ac:dyDescent="0.25">
      <c r="A118" t="s">
        <v>120</v>
      </c>
    </row>
    <row r="120" spans="1:9" x14ac:dyDescent="0.25">
      <c r="A120" s="39" t="s">
        <v>121</v>
      </c>
      <c r="B120" s="39" t="s">
        <v>122</v>
      </c>
      <c r="C120" s="39" t="s">
        <v>123</v>
      </c>
      <c r="D120" s="39" t="s">
        <v>124</v>
      </c>
      <c r="E120" s="39" t="s">
        <v>125</v>
      </c>
      <c r="F120" s="39" t="s">
        <v>125</v>
      </c>
    </row>
    <row r="121" spans="1:9" x14ac:dyDescent="0.25">
      <c r="A121" s="17">
        <v>1</v>
      </c>
      <c r="B121" s="47">
        <v>1</v>
      </c>
      <c r="C121" s="47">
        <v>1</v>
      </c>
      <c r="D121" s="47">
        <v>0.5</v>
      </c>
      <c r="E121" s="47">
        <f>AVERAGE(B121:D121)</f>
        <v>0.83333333333333337</v>
      </c>
      <c r="F121" s="58" t="str">
        <f ca="1">_xlfn.FORMULATEXT(E121)</f>
        <v>=AVERAGE(B121:D121)</v>
      </c>
    </row>
    <row r="122" spans="1:9" x14ac:dyDescent="0.25">
      <c r="A122" s="17">
        <v>3</v>
      </c>
      <c r="B122" s="47">
        <v>1</v>
      </c>
      <c r="C122" s="47">
        <v>1</v>
      </c>
      <c r="D122" s="47">
        <v>0.5</v>
      </c>
      <c r="E122" s="47">
        <f>AVERAGE(B122:D122)</f>
        <v>0.83333333333333337</v>
      </c>
      <c r="F122" s="58" t="str">
        <f ca="1">_xlfn.FORMULATEXT(E122)</f>
        <v>=AVERAGE(B122:D122)</v>
      </c>
    </row>
    <row r="123" spans="1:9" ht="27" customHeight="1" x14ac:dyDescent="0.25">
      <c r="E123" s="61" t="s">
        <v>126</v>
      </c>
      <c r="F123" s="61"/>
      <c r="G123" s="61"/>
      <c r="H123" s="28"/>
      <c r="I123" s="28"/>
    </row>
    <row r="124" spans="1:9" ht="22.8" customHeight="1" x14ac:dyDescent="0.25">
      <c r="A124" s="32" t="s">
        <v>127</v>
      </c>
      <c r="B124" s="32"/>
      <c r="C124" s="32"/>
      <c r="D124" s="32" t="s">
        <v>128</v>
      </c>
      <c r="E124" s="61"/>
      <c r="F124" s="61"/>
      <c r="G124" s="61"/>
      <c r="H124" s="28"/>
      <c r="I124" s="28"/>
    </row>
    <row r="126" spans="1:9" x14ac:dyDescent="0.25">
      <c r="B126" s="4" t="s">
        <v>3</v>
      </c>
      <c r="C126" s="4" t="s">
        <v>57</v>
      </c>
    </row>
    <row r="127" spans="1:9" x14ac:dyDescent="0.25">
      <c r="A127" s="30" t="s">
        <v>129</v>
      </c>
      <c r="B127" s="30">
        <v>28</v>
      </c>
      <c r="C127" s="30">
        <v>55</v>
      </c>
      <c r="D127" s="30"/>
      <c r="E127" s="20"/>
    </row>
    <row r="128" spans="1:9" x14ac:dyDescent="0.25">
      <c r="D128" s="30"/>
    </row>
    <row r="129" spans="1:6" x14ac:dyDescent="0.25">
      <c r="A129" s="24" t="s">
        <v>2</v>
      </c>
      <c r="B129" s="24" t="s">
        <v>3</v>
      </c>
      <c r="C129" s="24" t="s">
        <v>57</v>
      </c>
      <c r="D129" s="24" t="s">
        <v>5</v>
      </c>
      <c r="E129" s="29" t="s">
        <v>130</v>
      </c>
      <c r="F129" s="31"/>
    </row>
    <row r="130" spans="1:6" x14ac:dyDescent="0.25">
      <c r="A130" s="25" t="s">
        <v>7</v>
      </c>
      <c r="B130" s="25">
        <v>25</v>
      </c>
      <c r="C130" s="25">
        <v>40</v>
      </c>
      <c r="D130" s="25" t="s">
        <v>8</v>
      </c>
      <c r="E130" s="31">
        <f t="shared" ref="E130:E135" si="10">SQRT((B7-$B$127)^2+(C7-$C$127)^2)</f>
        <v>15.297058540778355</v>
      </c>
      <c r="F130" s="58" t="str">
        <f t="shared" ref="F130:F135" ca="1" si="11">_xlfn.FORMULATEXT(E130)</f>
        <v>=SQRT((B7-$B$127)^2+(C7-$C$127)^2)</v>
      </c>
    </row>
    <row r="131" spans="1:6" x14ac:dyDescent="0.25">
      <c r="A131" s="25" t="s">
        <v>9</v>
      </c>
      <c r="B131" s="25">
        <v>35</v>
      </c>
      <c r="C131" s="25">
        <v>70</v>
      </c>
      <c r="D131" s="25" t="s">
        <v>10</v>
      </c>
      <c r="E131" s="31">
        <f t="shared" si="10"/>
        <v>16.552945357246848</v>
      </c>
      <c r="F131" s="58" t="str">
        <f t="shared" ca="1" si="11"/>
        <v>=SQRT((B8-$B$127)^2+(C8-$C$127)^2)</v>
      </c>
    </row>
    <row r="132" spans="1:6" x14ac:dyDescent="0.25">
      <c r="A132" s="25" t="s">
        <v>11</v>
      </c>
      <c r="B132" s="25">
        <v>30</v>
      </c>
      <c r="C132" s="25">
        <v>50</v>
      </c>
      <c r="D132" s="25" t="s">
        <v>8</v>
      </c>
      <c r="E132" s="31">
        <f t="shared" si="10"/>
        <v>5.3851648071345037</v>
      </c>
      <c r="F132" s="58" t="str">
        <f t="shared" ca="1" si="11"/>
        <v>=SQRT((B9-$B$127)^2+(C9-$C$127)^2)</v>
      </c>
    </row>
    <row r="133" spans="1:6" x14ac:dyDescent="0.25">
      <c r="A133" s="25" t="s">
        <v>12</v>
      </c>
      <c r="B133" s="25">
        <v>40</v>
      </c>
      <c r="C133" s="25">
        <v>80</v>
      </c>
      <c r="D133" s="25" t="s">
        <v>10</v>
      </c>
      <c r="E133" s="31">
        <f t="shared" si="10"/>
        <v>27.730849247724095</v>
      </c>
      <c r="F133" s="58" t="str">
        <f t="shared" ca="1" si="11"/>
        <v>=SQRT((B10-$B$127)^2+(C10-$C$127)^2)</v>
      </c>
    </row>
    <row r="134" spans="1:6" x14ac:dyDescent="0.25">
      <c r="A134" s="25" t="s">
        <v>58</v>
      </c>
      <c r="B134" s="25">
        <v>45</v>
      </c>
      <c r="C134" s="25">
        <v>85</v>
      </c>
      <c r="D134" s="25" t="s">
        <v>10</v>
      </c>
      <c r="E134" s="31">
        <f t="shared" si="10"/>
        <v>34.481879299133332</v>
      </c>
      <c r="F134" s="58" t="str">
        <f t="shared" ca="1" si="11"/>
        <v>=SQRT((B11-$B$127)^2+(C11-$C$127)^2)</v>
      </c>
    </row>
    <row r="135" spans="1:6" x14ac:dyDescent="0.25">
      <c r="A135" s="25" t="s">
        <v>59</v>
      </c>
      <c r="B135" s="25">
        <v>23</v>
      </c>
      <c r="C135" s="25">
        <v>35</v>
      </c>
      <c r="D135" s="25" t="s">
        <v>8</v>
      </c>
      <c r="E135" s="31">
        <f t="shared" si="10"/>
        <v>20.615528128088304</v>
      </c>
      <c r="F135" s="58" t="str">
        <f t="shared" ca="1" si="11"/>
        <v>=SQRT((B12-$B$127)^2+(C12-$C$127)^2)</v>
      </c>
    </row>
    <row r="136" spans="1:6" x14ac:dyDescent="0.25">
      <c r="D136" s="19" t="s">
        <v>128</v>
      </c>
      <c r="E136" s="30" t="s">
        <v>8</v>
      </c>
      <c r="F136" s="30" t="s">
        <v>131</v>
      </c>
    </row>
    <row r="137" spans="1:6" x14ac:dyDescent="0.25">
      <c r="D137" s="30"/>
      <c r="E137" s="30"/>
      <c r="F137" s="30" t="s">
        <v>132</v>
      </c>
    </row>
    <row r="138" spans="1:6" ht="22.2" x14ac:dyDescent="0.35">
      <c r="A138" s="10" t="s">
        <v>133</v>
      </c>
    </row>
    <row r="140" spans="1:6" x14ac:dyDescent="0.25">
      <c r="A140" s="3" t="s">
        <v>134</v>
      </c>
    </row>
    <row r="142" spans="1:6" x14ac:dyDescent="0.25">
      <c r="A142" t="s">
        <v>135</v>
      </c>
    </row>
    <row r="145" spans="1:6" x14ac:dyDescent="0.25">
      <c r="A145" s="3" t="s">
        <v>136</v>
      </c>
    </row>
    <row r="146" spans="1:6" x14ac:dyDescent="0.25">
      <c r="A146" t="s">
        <v>137</v>
      </c>
    </row>
    <row r="147" spans="1:6" x14ac:dyDescent="0.25">
      <c r="A147" t="s">
        <v>138</v>
      </c>
    </row>
    <row r="148" spans="1:6" x14ac:dyDescent="0.25">
      <c r="B148" t="s">
        <v>139</v>
      </c>
    </row>
    <row r="149" spans="1:6" x14ac:dyDescent="0.25">
      <c r="C149" s="8" t="s">
        <v>140</v>
      </c>
    </row>
    <row r="150" spans="1:6" ht="16.2" x14ac:dyDescent="0.35">
      <c r="C150" s="7" t="s">
        <v>141</v>
      </c>
    </row>
    <row r="151" spans="1:6" ht="16.2" x14ac:dyDescent="0.35">
      <c r="C151" s="7" t="s">
        <v>142</v>
      </c>
      <c r="E151" s="16" t="s">
        <v>143</v>
      </c>
      <c r="F151" t="s">
        <v>144</v>
      </c>
    </row>
    <row r="152" spans="1:6" ht="16.2" x14ac:dyDescent="0.35">
      <c r="C152" s="7" t="s">
        <v>145</v>
      </c>
    </row>
    <row r="153" spans="1:6" ht="16.2" x14ac:dyDescent="0.35">
      <c r="C153" s="7" t="s">
        <v>146</v>
      </c>
    </row>
    <row r="154" spans="1:6" ht="16.2" x14ac:dyDescent="0.35">
      <c r="C154" s="7" t="s">
        <v>147</v>
      </c>
    </row>
    <row r="155" spans="1:6" x14ac:dyDescent="0.25">
      <c r="B155" t="s">
        <v>148</v>
      </c>
    </row>
    <row r="156" spans="1:6" x14ac:dyDescent="0.25">
      <c r="C156" t="s">
        <v>149</v>
      </c>
    </row>
    <row r="157" spans="1:6" x14ac:dyDescent="0.25">
      <c r="C157" t="s">
        <v>150</v>
      </c>
    </row>
    <row r="158" spans="1:6" x14ac:dyDescent="0.25">
      <c r="C158" t="s">
        <v>151</v>
      </c>
    </row>
    <row r="159" spans="1:6" x14ac:dyDescent="0.25">
      <c r="C159" t="s">
        <v>152</v>
      </c>
    </row>
    <row r="161" spans="3:3" x14ac:dyDescent="0.25">
      <c r="C161" t="s">
        <v>153</v>
      </c>
    </row>
    <row r="162" spans="3:3" x14ac:dyDescent="0.25">
      <c r="C162" t="s">
        <v>154</v>
      </c>
    </row>
  </sheetData>
  <mergeCells count="1">
    <mergeCell ref="E123:G124"/>
  </mergeCells>
  <phoneticPr fontId="11" type="noConversion"/>
  <printOptions horizontalCentered="1" verticalCentered="1" headings="1"/>
  <pageMargins left="0.19685039370078741" right="7.874015748031496E-2" top="7.874015748031496E-2" bottom="7.874015748031496E-2" header="7.874015748031496E-2" footer="7.874015748031496E-2"/>
  <pageSetup paperSize="9" scale="48" fitToHeight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14C1-900F-D14D-AFF2-00939AB4B4A4}">
  <sheetPr>
    <pageSetUpPr fitToPage="1"/>
  </sheetPr>
  <dimension ref="A1:I51"/>
  <sheetViews>
    <sheetView tabSelected="1" zoomScale="85" zoomScaleNormal="85" workbookViewId="0">
      <selection activeCell="L19" sqref="L19"/>
    </sheetView>
  </sheetViews>
  <sheetFormatPr defaultColWidth="11.54296875" defaultRowHeight="15" x14ac:dyDescent="0.25"/>
  <cols>
    <col min="1" max="1" width="10.6328125" customWidth="1"/>
    <col min="3" max="3" width="12" bestFit="1" customWidth="1"/>
    <col min="4" max="4" width="20.6328125" bestFit="1" customWidth="1"/>
    <col min="5" max="5" width="37.36328125" customWidth="1"/>
    <col min="6" max="6" width="14.54296875" customWidth="1"/>
    <col min="7" max="7" width="16.36328125" customWidth="1"/>
    <col min="8" max="8" width="20.6328125" bestFit="1" customWidth="1"/>
  </cols>
  <sheetData>
    <row r="1" spans="1:3" x14ac:dyDescent="0.25">
      <c r="A1" s="17" t="s">
        <v>155</v>
      </c>
      <c r="B1" s="17" t="s">
        <v>156</v>
      </c>
      <c r="C1" s="17" t="s">
        <v>157</v>
      </c>
    </row>
    <row r="2" spans="1:3" x14ac:dyDescent="0.25">
      <c r="A2" s="17">
        <v>1</v>
      </c>
      <c r="B2" s="17" t="s">
        <v>158</v>
      </c>
      <c r="C2" s="17" t="s">
        <v>158</v>
      </c>
    </row>
    <row r="3" spans="1:3" x14ac:dyDescent="0.25">
      <c r="A3" s="17">
        <v>2</v>
      </c>
      <c r="B3" s="17" t="s">
        <v>158</v>
      </c>
      <c r="C3" s="17" t="s">
        <v>158</v>
      </c>
    </row>
    <row r="4" spans="1:3" x14ac:dyDescent="0.25">
      <c r="A4" s="17">
        <v>3</v>
      </c>
      <c r="B4" s="17" t="s">
        <v>158</v>
      </c>
      <c r="C4" s="17" t="s">
        <v>158</v>
      </c>
    </row>
    <row r="5" spans="1:3" x14ac:dyDescent="0.25">
      <c r="A5" s="17">
        <v>4</v>
      </c>
      <c r="B5" s="17" t="s">
        <v>158</v>
      </c>
      <c r="C5" s="17" t="s">
        <v>159</v>
      </c>
    </row>
    <row r="6" spans="1:3" x14ac:dyDescent="0.25">
      <c r="A6" s="17">
        <v>5</v>
      </c>
      <c r="B6" s="17" t="s">
        <v>158</v>
      </c>
      <c r="C6" s="17" t="s">
        <v>158</v>
      </c>
    </row>
    <row r="7" spans="1:3" x14ac:dyDescent="0.25">
      <c r="A7" s="17">
        <v>6</v>
      </c>
      <c r="B7" s="17" t="s">
        <v>158</v>
      </c>
      <c r="C7" s="17" t="s">
        <v>158</v>
      </c>
    </row>
    <row r="8" spans="1:3" x14ac:dyDescent="0.25">
      <c r="A8" s="17">
        <v>7</v>
      </c>
      <c r="B8" s="17" t="s">
        <v>158</v>
      </c>
      <c r="C8" s="17" t="s">
        <v>159</v>
      </c>
    </row>
    <row r="9" spans="1:3" x14ac:dyDescent="0.25">
      <c r="A9" s="17">
        <v>8</v>
      </c>
      <c r="B9" s="17" t="s">
        <v>159</v>
      </c>
      <c r="C9" s="17" t="s">
        <v>159</v>
      </c>
    </row>
    <row r="10" spans="1:3" x14ac:dyDescent="0.25">
      <c r="A10" s="17">
        <v>9</v>
      </c>
      <c r="B10" s="17" t="s">
        <v>159</v>
      </c>
      <c r="C10" s="17" t="s">
        <v>158</v>
      </c>
    </row>
    <row r="11" spans="1:3" x14ac:dyDescent="0.25">
      <c r="A11" s="17">
        <v>10</v>
      </c>
      <c r="B11" s="17" t="s">
        <v>159</v>
      </c>
      <c r="C11" s="17" t="s">
        <v>158</v>
      </c>
    </row>
    <row r="12" spans="1:3" x14ac:dyDescent="0.25">
      <c r="A12" s="17">
        <v>11</v>
      </c>
      <c r="B12" s="17" t="s">
        <v>159</v>
      </c>
      <c r="C12" s="17" t="s">
        <v>159</v>
      </c>
    </row>
    <row r="13" spans="1:3" x14ac:dyDescent="0.25">
      <c r="A13" s="17">
        <v>12</v>
      </c>
      <c r="B13" s="17" t="s">
        <v>159</v>
      </c>
      <c r="C13" s="17" t="s">
        <v>159</v>
      </c>
    </row>
    <row r="14" spans="1:3" x14ac:dyDescent="0.25">
      <c r="A14" s="17">
        <v>13</v>
      </c>
      <c r="B14" s="17" t="s">
        <v>159</v>
      </c>
      <c r="C14" s="17" t="s">
        <v>158</v>
      </c>
    </row>
    <row r="15" spans="1:3" x14ac:dyDescent="0.25">
      <c r="A15" s="17">
        <v>14</v>
      </c>
      <c r="B15" s="17" t="s">
        <v>159</v>
      </c>
      <c r="C15" s="17" t="s">
        <v>159</v>
      </c>
    </row>
    <row r="17" spans="1:9" x14ac:dyDescent="0.25">
      <c r="B17" s="56" t="s">
        <v>160</v>
      </c>
      <c r="C17" s="56"/>
    </row>
    <row r="18" spans="1:9" x14ac:dyDescent="0.25">
      <c r="A18" s="49" t="s">
        <v>93</v>
      </c>
      <c r="B18" s="25" t="s">
        <v>158</v>
      </c>
      <c r="C18" s="25" t="s">
        <v>159</v>
      </c>
      <c r="D18" s="55" t="s">
        <v>158</v>
      </c>
      <c r="E18" s="55"/>
      <c r="F18" s="67" t="s">
        <v>159</v>
      </c>
      <c r="G18" s="68"/>
    </row>
    <row r="19" spans="1:9" x14ac:dyDescent="0.25">
      <c r="A19" s="17" t="s">
        <v>158</v>
      </c>
      <c r="B19" s="69">
        <f>COUNTIFS(C2:C15,"Low Spender",B2:B15,"Low Spender")</f>
        <v>5</v>
      </c>
      <c r="C19" s="69">
        <f>COUNTIFS(C2:C15,C18, B2:B15, A19)</f>
        <v>2</v>
      </c>
      <c r="D19" s="63" t="str">
        <f ca="1">_xlfn.FORMULATEXT(B19)</f>
        <v>=COUNTIFS(C2:C15,"Low Spender",B2:B15,"Low Spender")</v>
      </c>
      <c r="E19" s="63"/>
      <c r="F19" s="52" t="str">
        <f ca="1">_xlfn.FORMULATEXT(C19)</f>
        <v>=COUNTIFS(C2:C15,C18, B2:B15, A19)</v>
      </c>
      <c r="G19" s="52"/>
    </row>
    <row r="20" spans="1:9" x14ac:dyDescent="0.25">
      <c r="A20" s="17" t="s">
        <v>159</v>
      </c>
      <c r="B20" s="69">
        <f>COUNTIFS(C2:C15,B18, B2:B15,A20)</f>
        <v>3</v>
      </c>
      <c r="C20" s="69">
        <f>COUNTIFS(C2:C15,C18, B2:B15, A20)</f>
        <v>4</v>
      </c>
      <c r="D20" s="63" t="str">
        <f t="shared" ref="D20:D21" ca="1" si="0">_xlfn.FORMULATEXT(B20)</f>
        <v>=COUNTIFS(C2:C15,B18, B2:B15,A20)</v>
      </c>
      <c r="E20" s="63"/>
      <c r="F20" s="52" t="str">
        <f ca="1">_xlfn.FORMULATEXT(C20)</f>
        <v>=COUNTIFS(C2:C15,C18, B2:B15, A20)</v>
      </c>
      <c r="G20" s="52"/>
    </row>
    <row r="21" spans="1:9" x14ac:dyDescent="0.25">
      <c r="A21" s="17" t="s">
        <v>161</v>
      </c>
      <c r="B21" s="69">
        <f>B19+B20</f>
        <v>8</v>
      </c>
      <c r="C21" s="69">
        <f>C19+C20</f>
        <v>6</v>
      </c>
      <c r="D21" s="63" t="str">
        <f t="shared" ca="1" si="0"/>
        <v>=B19+B20</v>
      </c>
      <c r="E21" s="63"/>
      <c r="F21" s="53" t="s">
        <v>162</v>
      </c>
      <c r="G21" s="54"/>
    </row>
    <row r="22" spans="1:9" x14ac:dyDescent="0.25">
      <c r="D22" s="22"/>
      <c r="E22" s="22"/>
    </row>
    <row r="23" spans="1:9" x14ac:dyDescent="0.25">
      <c r="A23" t="s">
        <v>163</v>
      </c>
    </row>
    <row r="24" spans="1:9" x14ac:dyDescent="0.25">
      <c r="B24" s="35" t="s">
        <v>164</v>
      </c>
      <c r="C24" s="70">
        <f>(B19+C20)/SUM(B19:C20)</f>
        <v>0.6428571428571429</v>
      </c>
      <c r="D24" s="64" t="str">
        <f ca="1">_xlfn.FORMULATEXT(C24)</f>
        <v>=(B19+C20)/SUM(B19:C20)</v>
      </c>
      <c r="E24" s="62" t="s">
        <v>165</v>
      </c>
      <c r="F24" s="17" t="s">
        <v>166</v>
      </c>
      <c r="G24" s="48">
        <f>(C19+B20) / SUM(B19:C20)</f>
        <v>0.35714285714285715</v>
      </c>
      <c r="H24" s="59" t="str">
        <f ca="1">_xlfn.FORMULATEXT(G24)</f>
        <v>=(C19+B20) / SUM(B19:C20)</v>
      </c>
      <c r="I24" s="62" t="s">
        <v>167</v>
      </c>
    </row>
    <row r="25" spans="1:9" x14ac:dyDescent="0.25">
      <c r="B25" s="35" t="s">
        <v>168</v>
      </c>
      <c r="C25" s="70">
        <f>B19/(B19+C19)</f>
        <v>0.7142857142857143</v>
      </c>
      <c r="D25" s="64" t="str">
        <f t="shared" ref="D25:D27" ca="1" si="1">_xlfn.FORMULATEXT(C25)</f>
        <v>=B19/(B19+C19)</v>
      </c>
      <c r="E25" s="51" t="s">
        <v>169</v>
      </c>
      <c r="F25" s="17" t="s">
        <v>170</v>
      </c>
      <c r="G25" s="48">
        <f>C20 / (C20+B20)</f>
        <v>0.5714285714285714</v>
      </c>
      <c r="H25" s="59" t="str">
        <f ca="1">_xlfn.FORMULATEXT(G25)</f>
        <v>=C20 / (C20+B20)</v>
      </c>
    </row>
    <row r="26" spans="1:9" x14ac:dyDescent="0.25">
      <c r="B26" s="35" t="s">
        <v>171</v>
      </c>
      <c r="C26" s="70">
        <f>B19/(B19+B20)</f>
        <v>0.625</v>
      </c>
      <c r="D26" s="64" t="str">
        <f t="shared" ca="1" si="1"/>
        <v>=B19/(B19+B20)</v>
      </c>
      <c r="E26" s="51" t="s">
        <v>172</v>
      </c>
    </row>
    <row r="27" spans="1:9" x14ac:dyDescent="0.25">
      <c r="B27" s="35" t="s">
        <v>173</v>
      </c>
      <c r="C27" s="70">
        <f>2*C26*C25/(C26+C25)</f>
        <v>0.66666666666666663</v>
      </c>
      <c r="D27" s="64" t="str">
        <f t="shared" ca="1" si="1"/>
        <v>=2*C26*C25/(C26+C25)</v>
      </c>
      <c r="E27" s="51" t="s">
        <v>174</v>
      </c>
    </row>
    <row r="28" spans="1:9" x14ac:dyDescent="0.25">
      <c r="B28" s="9"/>
      <c r="C28" s="66" t="s">
        <v>175</v>
      </c>
      <c r="D28" s="26"/>
    </row>
    <row r="29" spans="1:9" x14ac:dyDescent="0.25">
      <c r="B29" s="9" t="s">
        <v>176</v>
      </c>
      <c r="C29" s="27" cm="1">
        <f t="array" ref="C29">SUM(C25:C26/2)</f>
        <v>0.66964285714285721</v>
      </c>
      <c r="D29" s="65" t="str">
        <f ca="1">_xlfn.FORMULATEXT(C29)</f>
        <v>=SUM(C25:C26/2)</v>
      </c>
    </row>
    <row r="30" spans="1:9" x14ac:dyDescent="0.25">
      <c r="A30" t="s">
        <v>136</v>
      </c>
    </row>
    <row r="31" spans="1:9" x14ac:dyDescent="0.25">
      <c r="A31" s="8" t="s">
        <v>177</v>
      </c>
    </row>
    <row r="33" spans="1:1" x14ac:dyDescent="0.25">
      <c r="A33" s="8" t="s">
        <v>178</v>
      </c>
    </row>
    <row r="51" spans="3:3" x14ac:dyDescent="0.25">
      <c r="C51" t="s">
        <v>22</v>
      </c>
    </row>
  </sheetData>
  <mergeCells count="9">
    <mergeCell ref="F19:G19"/>
    <mergeCell ref="F20:G20"/>
    <mergeCell ref="F21:G21"/>
    <mergeCell ref="D18:E18"/>
    <mergeCell ref="B17:C17"/>
    <mergeCell ref="D19:E19"/>
    <mergeCell ref="D21:E21"/>
    <mergeCell ref="D20:E20"/>
    <mergeCell ref="F18:G18"/>
  </mergeCells>
  <printOptions horizontalCentered="1" verticalCentered="1" headings="1"/>
  <pageMargins left="0.19685039370078741" right="7.874015748031496E-2" top="7.874015748031496E-2" bottom="7.874015748031496E-2" header="7.874015748031496E-2" footer="7.874015748031496E-2"/>
  <pageSetup paperSize="9" scale="50" orientation="portrait" r:id="rId1"/>
  <headerFooter scaleWithDoc="0"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FC7ADD27A134B92D0C21C975B5030" ma:contentTypeVersion="8" ma:contentTypeDescription="Create a new document." ma:contentTypeScope="" ma:versionID="29b2d8f5016614ee7db90ae61d94d5a1">
  <xsd:schema xmlns:xsd="http://www.w3.org/2001/XMLSchema" xmlns:xs="http://www.w3.org/2001/XMLSchema" xmlns:p="http://schemas.microsoft.com/office/2006/metadata/properties" xmlns:ns2="89c7a8c3-a03a-420b-ac21-90cd38a91df7" targetNamespace="http://schemas.microsoft.com/office/2006/metadata/properties" ma:root="true" ma:fieldsID="230fff80464bdb34158622049499dd70" ns2:_="">
    <xsd:import namespace="89c7a8c3-a03a-420b-ac21-90cd38a91d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7a8c3-a03a-420b-ac21-90cd38a91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2658F4-4D76-44E5-8B93-DC95BF64BB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F7B423-ED9E-4D94-A211-339C6A1EA777}">
  <ds:schemaRefs>
    <ds:schemaRef ds:uri="89c7a8c3-a03a-420b-ac21-90cd38a91df7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1CE2CF0-C8D6-4877-954A-AEFC7F273B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c7a8c3-a03a-420b-ac21-90cd38a91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Simple kNN</vt:lpstr>
      <vt:lpstr>kNN with Validation</vt:lpstr>
      <vt:lpstr>Confustion Matrix</vt:lpstr>
      <vt:lpstr>'kNN with Validation'!Print_Area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BUNTHIT WATANAPA</dc:creator>
  <cp:keywords/>
  <dc:description/>
  <cp:lastModifiedBy>KRISSANA PIPUTPRUEDTIGUL</cp:lastModifiedBy>
  <cp:revision/>
  <cp:lastPrinted>2025-05-08T02:27:40Z</cp:lastPrinted>
  <dcterms:created xsi:type="dcterms:W3CDTF">2025-03-25T16:32:01Z</dcterms:created>
  <dcterms:modified xsi:type="dcterms:W3CDTF">2025-05-08T02:27:49Z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0x010100501FC7ADD27A134B92D0C21C975B5030</vt:lpwstr>
  </property>
</Properties>
</file>