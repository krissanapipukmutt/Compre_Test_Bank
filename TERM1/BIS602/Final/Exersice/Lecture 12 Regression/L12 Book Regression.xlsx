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muttsit-my.sharepoint.com/personal/67130701930_ad_sit_kmutt_ac_th/Documents/KMUTT/TERM1/BIS602/Final/Exersice/Lecture 12 Regression/"/>
    </mc:Choice>
  </mc:AlternateContent>
  <xr:revisionPtr revIDLastSave="1163" documentId="13_ncr:1_{BE9AC0ED-5221-A04D-8D68-4A5CF65F5241}" xr6:coauthVersionLast="47" xr6:coauthVersionMax="47" xr10:uidLastSave="{FAF514F4-900F-4131-B409-316734AE0CA5}"/>
  <bookViews>
    <workbookView xWindow="-28920" yWindow="-120" windowWidth="29040" windowHeight="15840" activeTab="2" xr2:uid="{9371FCE1-68E5-4F47-AFD0-2648E92116C5}"/>
  </bookViews>
  <sheets>
    <sheet name="College" sheetId="1" r:id="rId1"/>
    <sheet name="Retail" sheetId="9" r:id="rId2"/>
    <sheet name="Retail print" sheetId="10" r:id="rId3"/>
    <sheet name="College Print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1" l="1"/>
  <c r="B49" i="10"/>
  <c r="B48" i="10"/>
  <c r="N39" i="10"/>
  <c r="G41" i="10"/>
  <c r="F41" i="10"/>
  <c r="E41" i="10"/>
  <c r="G40" i="10"/>
  <c r="F40" i="10"/>
  <c r="E40" i="10"/>
  <c r="G39" i="10"/>
  <c r="F39" i="10"/>
  <c r="E39" i="10"/>
  <c r="G38" i="10"/>
  <c r="F38" i="10"/>
  <c r="E38" i="10"/>
  <c r="N65" i="10" s="1"/>
  <c r="G37" i="10"/>
  <c r="F37" i="10"/>
  <c r="E37" i="10"/>
  <c r="N64" i="10" s="1"/>
  <c r="G36" i="10"/>
  <c r="F36" i="10"/>
  <c r="E36" i="10"/>
  <c r="G35" i="10"/>
  <c r="F35" i="10"/>
  <c r="E35" i="10"/>
  <c r="G34" i="10"/>
  <c r="F34" i="10"/>
  <c r="E34" i="10"/>
  <c r="N61" i="10" s="1"/>
  <c r="G33" i="10"/>
  <c r="F33" i="10"/>
  <c r="E33" i="10"/>
  <c r="G32" i="10"/>
  <c r="F32" i="10"/>
  <c r="E32" i="10"/>
  <c r="N59" i="10" s="1"/>
  <c r="G31" i="10"/>
  <c r="F31" i="10"/>
  <c r="E31" i="10"/>
  <c r="G30" i="10"/>
  <c r="F30" i="10"/>
  <c r="N57" i="10" s="1"/>
  <c r="E30" i="10"/>
  <c r="G29" i="10"/>
  <c r="F29" i="10"/>
  <c r="E29" i="10"/>
  <c r="N56" i="10" s="1"/>
  <c r="G28" i="10"/>
  <c r="F28" i="10"/>
  <c r="N55" i="10" s="1"/>
  <c r="E28" i="10"/>
  <c r="G27" i="10"/>
  <c r="F27" i="10"/>
  <c r="E27" i="10"/>
  <c r="G26" i="10"/>
  <c r="F26" i="10"/>
  <c r="E26" i="10"/>
  <c r="N53" i="10" s="1"/>
  <c r="G25" i="10"/>
  <c r="F25" i="10"/>
  <c r="E25" i="10"/>
  <c r="G24" i="10"/>
  <c r="F24" i="10"/>
  <c r="E24" i="10"/>
  <c r="G23" i="10"/>
  <c r="F23" i="10"/>
  <c r="E23" i="10"/>
  <c r="G22" i="10"/>
  <c r="F22" i="10"/>
  <c r="E22" i="10"/>
  <c r="G21" i="10"/>
  <c r="F21" i="10"/>
  <c r="E21" i="10"/>
  <c r="N48" i="10" s="1"/>
  <c r="G20" i="10"/>
  <c r="F20" i="10"/>
  <c r="N47" i="10" s="1"/>
  <c r="E20" i="10"/>
  <c r="G19" i="10"/>
  <c r="F19" i="10"/>
  <c r="E19" i="10"/>
  <c r="G18" i="10"/>
  <c r="F18" i="10"/>
  <c r="E18" i="10"/>
  <c r="G17" i="10"/>
  <c r="F17" i="10"/>
  <c r="E17" i="10"/>
  <c r="G16" i="10"/>
  <c r="F16" i="10"/>
  <c r="E16" i="10"/>
  <c r="G15" i="10"/>
  <c r="F15" i="10"/>
  <c r="E15" i="10"/>
  <c r="G14" i="10"/>
  <c r="F14" i="10"/>
  <c r="E14" i="10"/>
  <c r="G13" i="10"/>
  <c r="F13" i="10"/>
  <c r="E13" i="10"/>
  <c r="N40" i="10" s="1"/>
  <c r="G12" i="10"/>
  <c r="F12" i="10"/>
  <c r="E12" i="10"/>
  <c r="G11" i="10"/>
  <c r="F11" i="10"/>
  <c r="E11" i="10"/>
  <c r="G10" i="10"/>
  <c r="F10" i="10"/>
  <c r="E10" i="10"/>
  <c r="G9" i="10"/>
  <c r="F9" i="10"/>
  <c r="E9" i="10"/>
  <c r="G8" i="10"/>
  <c r="F8" i="10"/>
  <c r="E8" i="10"/>
  <c r="G7" i="10"/>
  <c r="F7" i="10"/>
  <c r="E7" i="10"/>
  <c r="G6" i="10"/>
  <c r="F6" i="10"/>
  <c r="E6" i="10"/>
  <c r="G5" i="10"/>
  <c r="F5" i="10"/>
  <c r="E5" i="10"/>
  <c r="N32" i="10" s="1"/>
  <c r="G4" i="10"/>
  <c r="F4" i="10"/>
  <c r="E4" i="10"/>
  <c r="N31" i="10" s="1"/>
  <c r="G3" i="10"/>
  <c r="F3" i="10"/>
  <c r="E3" i="10"/>
  <c r="G2" i="10"/>
  <c r="F2" i="10"/>
  <c r="E2" i="10"/>
  <c r="B49" i="9"/>
  <c r="B48" i="9"/>
  <c r="M29" i="1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2" i="9"/>
  <c r="E3" i="9"/>
  <c r="O32" i="9" s="1"/>
  <c r="E4" i="9"/>
  <c r="O33" i="9" s="1"/>
  <c r="E5" i="9"/>
  <c r="E6" i="9"/>
  <c r="E7" i="9"/>
  <c r="O36" i="9" s="1"/>
  <c r="E8" i="9"/>
  <c r="O37" i="9" s="1"/>
  <c r="E9" i="9"/>
  <c r="O38" i="9" s="1"/>
  <c r="E10" i="9"/>
  <c r="O39" i="9" s="1"/>
  <c r="E11" i="9"/>
  <c r="O40" i="9" s="1"/>
  <c r="E12" i="9"/>
  <c r="O41" i="9" s="1"/>
  <c r="E13" i="9"/>
  <c r="O42" i="9" s="1"/>
  <c r="E14" i="9"/>
  <c r="O43" i="9" s="1"/>
  <c r="E15" i="9"/>
  <c r="E16" i="9"/>
  <c r="E17" i="9"/>
  <c r="O46" i="9" s="1"/>
  <c r="E18" i="9"/>
  <c r="O47" i="9" s="1"/>
  <c r="E19" i="9"/>
  <c r="O48" i="9" s="1"/>
  <c r="E20" i="9"/>
  <c r="O49" i="9" s="1"/>
  <c r="E21" i="9"/>
  <c r="O50" i="9" s="1"/>
  <c r="E22" i="9"/>
  <c r="O51" i="9" s="1"/>
  <c r="E23" i="9"/>
  <c r="O52" i="9" s="1"/>
  <c r="E24" i="9"/>
  <c r="E25" i="9"/>
  <c r="O54" i="9" s="1"/>
  <c r="E26" i="9"/>
  <c r="O55" i="9" s="1"/>
  <c r="E27" i="9"/>
  <c r="O56" i="9" s="1"/>
  <c r="E28" i="9"/>
  <c r="O57" i="9" s="1"/>
  <c r="E29" i="9"/>
  <c r="O58" i="9" s="1"/>
  <c r="E30" i="9"/>
  <c r="O59" i="9" s="1"/>
  <c r="E31" i="9"/>
  <c r="E32" i="9"/>
  <c r="O61" i="9" s="1"/>
  <c r="E33" i="9"/>
  <c r="O62" i="9" s="1"/>
  <c r="E34" i="9"/>
  <c r="O63" i="9" s="1"/>
  <c r="E35" i="9"/>
  <c r="O64" i="9" s="1"/>
  <c r="E36" i="9"/>
  <c r="O65" i="9" s="1"/>
  <c r="E37" i="9"/>
  <c r="O66" i="9" s="1"/>
  <c r="E38" i="9"/>
  <c r="O67" i="9" s="1"/>
  <c r="E39" i="9"/>
  <c r="O68" i="9" s="1"/>
  <c r="E40" i="9"/>
  <c r="E41" i="9"/>
  <c r="O70" i="9" s="1"/>
  <c r="E2" i="9"/>
  <c r="O31" i="9" s="1"/>
  <c r="N29" i="11"/>
  <c r="O68" i="10"/>
  <c r="O64" i="10"/>
  <c r="O60" i="10"/>
  <c r="O56" i="10"/>
  <c r="O52" i="10"/>
  <c r="O48" i="10"/>
  <c r="D48" i="10"/>
  <c r="O42" i="10"/>
  <c r="O37" i="10"/>
  <c r="O29" i="10"/>
  <c r="O32" i="10"/>
  <c r="O34" i="10"/>
  <c r="O67" i="10"/>
  <c r="O63" i="10"/>
  <c r="O59" i="10"/>
  <c r="O55" i="10"/>
  <c r="O51" i="10"/>
  <c r="O47" i="10"/>
  <c r="O45" i="10"/>
  <c r="O41" i="10"/>
  <c r="O35" i="10"/>
  <c r="O38" i="10"/>
  <c r="O30" i="10"/>
  <c r="O66" i="10"/>
  <c r="O62" i="10"/>
  <c r="O58" i="10"/>
  <c r="O54" i="10"/>
  <c r="O50" i="10"/>
  <c r="D49" i="10"/>
  <c r="O44" i="10"/>
  <c r="O40" i="10"/>
  <c r="O33" i="10"/>
  <c r="G1" i="10"/>
  <c r="O36" i="10"/>
  <c r="F1" i="10"/>
  <c r="O65" i="10"/>
  <c r="O61" i="10"/>
  <c r="O57" i="10"/>
  <c r="O53" i="10"/>
  <c r="O49" i="10"/>
  <c r="O46" i="10"/>
  <c r="O43" i="10"/>
  <c r="O39" i="10"/>
  <c r="O31" i="10"/>
  <c r="E1" i="10"/>
  <c r="G1" i="9"/>
  <c r="F1" i="9"/>
  <c r="E1" i="9"/>
  <c r="P32" i="9"/>
  <c r="P40" i="9"/>
  <c r="P48" i="9"/>
  <c r="P56" i="9"/>
  <c r="P64" i="9"/>
  <c r="P33" i="9"/>
  <c r="P41" i="9"/>
  <c r="P49" i="9"/>
  <c r="P57" i="9"/>
  <c r="P65" i="9"/>
  <c r="P34" i="9"/>
  <c r="P42" i="9"/>
  <c r="P50" i="9"/>
  <c r="P58" i="9"/>
  <c r="P66" i="9"/>
  <c r="P35" i="9"/>
  <c r="P43" i="9"/>
  <c r="P51" i="9"/>
  <c r="P59" i="9"/>
  <c r="P67" i="9"/>
  <c r="P36" i="9"/>
  <c r="P44" i="9"/>
  <c r="P52" i="9"/>
  <c r="P60" i="9"/>
  <c r="P68" i="9"/>
  <c r="P37" i="9"/>
  <c r="P45" i="9"/>
  <c r="P53" i="9"/>
  <c r="P61" i="9"/>
  <c r="P69" i="9"/>
  <c r="P38" i="9"/>
  <c r="P46" i="9"/>
  <c r="P54" i="9"/>
  <c r="P62" i="9"/>
  <c r="P70" i="9"/>
  <c r="P39" i="9"/>
  <c r="P47" i="9"/>
  <c r="P55" i="9"/>
  <c r="P63" i="9"/>
  <c r="P31" i="9"/>
  <c r="D49" i="9"/>
  <c r="D48" i="9"/>
  <c r="N29" i="1"/>
  <c r="N29" i="10" l="1"/>
  <c r="N37" i="10"/>
  <c r="N45" i="10"/>
  <c r="N66" i="10"/>
  <c r="N54" i="10"/>
  <c r="N67" i="10"/>
  <c r="N30" i="10"/>
  <c r="N33" i="10"/>
  <c r="N35" i="10"/>
  <c r="N38" i="10"/>
  <c r="N41" i="10"/>
  <c r="N43" i="10"/>
  <c r="N46" i="10"/>
  <c r="N49" i="10"/>
  <c r="N51" i="10"/>
  <c r="N62" i="10"/>
  <c r="N36" i="10"/>
  <c r="N44" i="10"/>
  <c r="N52" i="10"/>
  <c r="N60" i="10"/>
  <c r="N68" i="10"/>
  <c r="N34" i="10"/>
  <c r="N42" i="10"/>
  <c r="N50" i="10"/>
  <c r="N58" i="10"/>
  <c r="N63" i="10"/>
  <c r="O35" i="9"/>
  <c r="O34" i="9"/>
  <c r="O53" i="9"/>
  <c r="O69" i="9"/>
  <c r="O45" i="9"/>
  <c r="O60" i="9"/>
  <c r="O44" i="9"/>
</calcChain>
</file>

<file path=xl/sharedStrings.xml><?xml version="1.0" encoding="utf-8"?>
<sst xmlns="http://schemas.openxmlformats.org/spreadsheetml/2006/main" count="472" uniqueCount="209">
  <si>
    <t>School</t>
  </si>
  <si>
    <t>Earnings</t>
  </si>
  <si>
    <t>Cost</t>
  </si>
  <si>
    <t>Grad</t>
  </si>
  <si>
    <t>Debt</t>
  </si>
  <si>
    <t>City</t>
  </si>
  <si>
    <t>St. Ambrose C (NC)</t>
  </si>
  <si>
    <t>Albion College (Albion, MI)</t>
  </si>
  <si>
    <t>Alfred University (Alfred, NY)</t>
  </si>
  <si>
    <t>Allegheny College (Meadville, PA)</t>
  </si>
  <si>
    <t>Beloit College (Beloit, WI)</t>
  </si>
  <si>
    <t>Bentley University (Waltham, MA)</t>
  </si>
  <si>
    <t>Boston University (Boston, MA)</t>
  </si>
  <si>
    <t>California Lutheran University (Thousand Oaks, CA)</t>
  </si>
  <si>
    <t>Carroll College (Helena, MT)</t>
  </si>
  <si>
    <t>Catholic University of America (Washington, DC)</t>
  </si>
  <si>
    <t>Cedar Crest College (Allentown, PA)</t>
  </si>
  <si>
    <t>Champlain College (Burlington, VT)</t>
  </si>
  <si>
    <t>Chapman University (Orange, CA)</t>
  </si>
  <si>
    <t>Clark University (Worcester, MA)</t>
  </si>
  <si>
    <t>Colby–Sawyer College (New London, NH)</t>
  </si>
  <si>
    <t>College of Mount St. Vincent (Riverdale, NY)</t>
  </si>
  <si>
    <t>College of St. Benedict (St. Joseph, MN)</t>
  </si>
  <si>
    <t>Davis &amp; Elkins College (Elkins, WV)</t>
  </si>
  <si>
    <t>DeSales University (Center Valley, PA)</t>
  </si>
  <si>
    <t>Dickinson College (Carlisle, PA)</t>
  </si>
  <si>
    <t>Doane College (Crete, NE)</t>
  </si>
  <si>
    <t>Dominican University (River Forest, IL)</t>
  </si>
  <si>
    <t>Drew University (Madison, NJ)</t>
  </si>
  <si>
    <t>Drexel University (Philadelphia, PA)</t>
  </si>
  <si>
    <t>Earlham College (Richmond, IN)</t>
  </si>
  <si>
    <t>Eckerd College (St. Petersburg, FL)</t>
  </si>
  <si>
    <t>Elmhurst College (Elmhurst, IL)</t>
  </si>
  <si>
    <t>Elmira College (Elmira, NY)</t>
  </si>
  <si>
    <t>Elon University (Elon, NC)</t>
  </si>
  <si>
    <t>Endicott College (Beverly, MA)</t>
  </si>
  <si>
    <t>Florida Southern College (Lakeland, FL)</t>
  </si>
  <si>
    <t>Fort Lewis College (Durango, CO)</t>
  </si>
  <si>
    <t>Franklin Pierce University (Rindge, NH)</t>
  </si>
  <si>
    <t>Fresno Pacific University (Fresno, CA)</t>
  </si>
  <si>
    <t>George Fox University (Newberg, OR)</t>
  </si>
  <si>
    <t>Gonzaga University (Spokane, WA)</t>
  </si>
  <si>
    <t>Goucher College (Baltimore, MD)</t>
  </si>
  <si>
    <t>Gustavus Adolphus College (St. Peter, MN)</t>
  </si>
  <si>
    <t>Hawaii Pacific University (Honolulu, HI)</t>
  </si>
  <si>
    <t>Hendrix College (Conway, AR)</t>
  </si>
  <si>
    <t>Hobart and William Smith Colleges (Geneva, NY)</t>
  </si>
  <si>
    <t>Hollins University (Roanoke, VA)</t>
  </si>
  <si>
    <t>Ithaca College (Ithaca, NY)</t>
  </si>
  <si>
    <t>Johnson &amp; Wales University at Denver (Denver, CO)</t>
  </si>
  <si>
    <t>Juniata College (Huntingdon, PA)</t>
  </si>
  <si>
    <t>Kalamazoo College (Kalamazoo, MI)</t>
  </si>
  <si>
    <t>Lake Forest College (Lake Forest, IL)</t>
  </si>
  <si>
    <t>Lasell College (Newton, MA)</t>
  </si>
  <si>
    <t>Lesley University (Cambridge, MA)</t>
  </si>
  <si>
    <t>Lewis and Clark College (Portland, OR)</t>
  </si>
  <si>
    <t>Linfield College (McMinnville, OR)</t>
  </si>
  <si>
    <t>Long Island University — C.W. Post Campus (Brookville, NY)</t>
  </si>
  <si>
    <t>Loyola University New Orleans (New Orleans, LA)</t>
  </si>
  <si>
    <t>Lycoming College (Williamsport, PA)</t>
  </si>
  <si>
    <t>Lynn University (Boca Raton, FL)</t>
  </si>
  <si>
    <t>Marietta College (Marietta, OH)</t>
  </si>
  <si>
    <t>McDaniel College (Westminster, MD)</t>
  </si>
  <si>
    <t>Menlo College (Atherton, CA)</t>
  </si>
  <si>
    <t>Meredith College (Raleigh, NC)</t>
  </si>
  <si>
    <t>Mills College (Oakland, CA)</t>
  </si>
  <si>
    <t>Monmouth College (Monmouth, IL)</t>
  </si>
  <si>
    <t>Moravian College (Bethlehem, PA)</t>
  </si>
  <si>
    <t>Nazareth College of Rochester (Rochester, NY)</t>
  </si>
  <si>
    <t>Nebraska Wesleyan University (Lincoln, NE)</t>
  </si>
  <si>
    <t>New England College (Henniker, NH)</t>
  </si>
  <si>
    <t>Niagara University (Niagara University, NY)</t>
  </si>
  <si>
    <t>Oglethorpe University (Atlanta, GA)</t>
  </si>
  <si>
    <t>Otterbein University (Westerville, OH)</t>
  </si>
  <si>
    <t>Pace University (New York, NY)</t>
  </si>
  <si>
    <t>Pacific Lutheran University (Tacoma, WA)</t>
  </si>
  <si>
    <t>Pine Manor College (Chestnut Hill, MA)</t>
  </si>
  <si>
    <t>Providence College (Providence, RI)</t>
  </si>
  <si>
    <t>Quinnipiac University (Hamden, CT)</t>
  </si>
  <si>
    <t>Regis University (Denver, CO)</t>
  </si>
  <si>
    <t>Rhode Island College (Providence, RI)</t>
  </si>
  <si>
    <t>Rider University (Lawrenceville, NJ)</t>
  </si>
  <si>
    <t>Ripon College (Ripon, WI)</t>
  </si>
  <si>
    <t>Roanoke College (Salem, VA)</t>
  </si>
  <si>
    <t>Roger Williams University (Bristol, RI)</t>
  </si>
  <si>
    <t>Rollins College (Winter Park, FL)</t>
  </si>
  <si>
    <t>Saint Francis University (Loretto, PA)</t>
  </si>
  <si>
    <t>Seattle University (Seattle, WA)</t>
  </si>
  <si>
    <t>Simmons College (Boston, MA)</t>
  </si>
  <si>
    <t>Spelman College (Atlanta, GA)</t>
  </si>
  <si>
    <t>Springfield College (Springfield, MA)</t>
  </si>
  <si>
    <t>Stetson University Ideland, FL)</t>
  </si>
  <si>
    <t>Suffolk University (Boston, MA)</t>
  </si>
  <si>
    <t>Susquehanna University (Selinsgrove, PA)</t>
  </si>
  <si>
    <t>Syracuse University (Syracuse, NY)</t>
  </si>
  <si>
    <t>Temple University (Philadelphia, PA)</t>
  </si>
  <si>
    <t>The College of Idaho (Caldwell, ID)</t>
  </si>
  <si>
    <t>The College of Wooster (Wooster, OH)</t>
  </si>
  <si>
    <t>The George Washington University (Washington, DC)</t>
  </si>
  <si>
    <t>The University of Tulsa (Tulsa, OK)</t>
  </si>
  <si>
    <t>Trinity University (San Antonio, TX)</t>
  </si>
  <si>
    <t>University of Denver (Denver, CO)</t>
  </si>
  <si>
    <t>University of Hartford (West Hartford, CT)</t>
  </si>
  <si>
    <t>University of Miami (Coral Gables, FL)</t>
  </si>
  <si>
    <t>University of Puget Sound (Tacoma, WA)</t>
  </si>
  <si>
    <t>University of Redlands (Redlands, CA)</t>
  </si>
  <si>
    <t>University of Rochester (Rochester, NY)</t>
  </si>
  <si>
    <t>University of San Diego (San Diego, CA)</t>
  </si>
  <si>
    <t>University of San Francisco (San Francisco, CA)</t>
  </si>
  <si>
    <t>University of Tampa (Tampa, FL)</t>
  </si>
  <si>
    <t>University of the Pacific (Stockton, CA)</t>
  </si>
  <si>
    <t>Wartburg College (Waverly, IA)</t>
  </si>
  <si>
    <t>Washington &amp; Jefferson College (Washington, PA)</t>
  </si>
  <si>
    <t>Washington College (Chestertown, MD)</t>
  </si>
  <si>
    <t>Wells College (Aurora, NY)</t>
  </si>
  <si>
    <t>West Virginia Wesleyan College (Buckhannon, WV)</t>
  </si>
  <si>
    <t>Western New England University (Springfield, MA)</t>
  </si>
  <si>
    <t>Whittier College (Whittier, CA)</t>
  </si>
  <si>
    <t>Widener University (Chester, PA)</t>
  </si>
  <si>
    <t>Willamette University (Salem, OR)</t>
  </si>
  <si>
    <t>Winthrop University (Rock Hill, SC)</t>
  </si>
  <si>
    <t>Wittenberg University (Springfield, OH)</t>
  </si>
  <si>
    <t>Year</t>
  </si>
  <si>
    <t>GNP</t>
  </si>
  <si>
    <t>Sales</t>
  </si>
  <si>
    <t>Quarter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</si>
  <si>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</si>
  <si>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</si>
  <si>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</si>
  <si>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</si>
  <si>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</si>
  <si>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</si>
  <si>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</si>
  <si>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</si>
  <si>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</si>
  <si>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</si>
  <si>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</si>
  <si>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</si>
  <si>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</si>
  <si>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</si>
  <si>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</si>
  <si>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</si>
  <si>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</si>
  <si>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</si>
  <si>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</si>
  <si>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</si>
  <si>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</si>
  <si>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</si>
  <si>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</si>
  <si>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</si>
  <si>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</si>
  <si>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</si>
  <si>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Earnings</t>
  </si>
  <si>
    <t>Residuals</t>
  </si>
  <si>
    <t>Y=b0+b1x1+b2x2+b3x3+b4x4</t>
  </si>
  <si>
    <t>10004.96*1 + 0.43*cost + 178.09*Grad + 141.48*debt + 2526*city</t>
  </si>
  <si>
    <t>Predicted Sales</t>
  </si>
  <si>
    <t>a.	Estimate the model   where y and x represent retail sales and GNP, respectively; d1 equals 1 if quarter 1, 0 otherwise; d2 equals 1 if quarter 2, 0 otherwise; and d3 equals 1 if quarter 3, 0 otherwise. Note that the reference category is quarter 4.</t>
  </si>
  <si>
    <t>d1</t>
  </si>
  <si>
    <t>d2</t>
  </si>
  <si>
    <t>d3</t>
  </si>
  <si>
    <r>
      <t>b.</t>
    </r>
    <r>
      <rPr>
        <b/>
        <sz val="7"/>
        <color theme="1"/>
        <rFont val="Times New Roman"/>
        <family val="1"/>
      </rPr>
      <t xml:space="preserve"> </t>
    </r>
    <r>
      <rPr>
        <b/>
        <sz val="14"/>
        <color theme="1"/>
        <rFont val="Times New Roman"/>
        <family val="1"/>
      </rPr>
      <t>Interpret the slope coefficient for quarter 1.</t>
    </r>
  </si>
  <si>
    <t>Coefficients quarter 1 คือ –155,654.21 หมายความว่า
ยอดขายในไตรมาสที่ 1 จะ ต่ำกว่าไตรมาสที่ 4 ซึ่งเป็นกลุ่มอ้างอิง อยู่ประมาณ 155,654.21 ล้านดอลลาร์</t>
  </si>
  <si>
    <t>c.	What are predicted sales in quarter 2 if GNP is $21,000 (in billions)? For the same value of GNP, what are predicted sales in quarter 4?</t>
  </si>
  <si>
    <t>quarter 2</t>
  </si>
  <si>
    <t>quarter 4</t>
  </si>
  <si>
    <t>millions</t>
  </si>
  <si>
    <t>d.Plot (1) the regressed value against the retail sales value and (2) residual, (3) do your think linear regression is fitted for this problem, why or why not?</t>
  </si>
  <si>
    <t>(2) residual</t>
  </si>
  <si>
    <t>(1)Plot the regressed value against the retail sales value</t>
  </si>
  <si>
    <t>(3) do your think linear regression is fitted for this problem, why or why not?</t>
  </si>
  <si>
    <t>โมเดลถดถอยเชิงเส้น (Linear Regression) เป็นโมเดลที่เหมาะสมกับปัญหานี้                                                                          
- เนื่องจาก R Square = 0.9793 หรือ 97.93%ซึ่งหมายความว่า โมเดลสามารถอธิบายความแปรปรวนของยอดขายได้มากถึง 97.93% ถือว่าโมเดลมีความสามารถในการพยากรณ์ที่แม่นยำและครอบคลุมข้อมูลส่วนใหญ่
- จากกราฟ "Plot the regressed value against the retail sales value"จะเห็นว่า จุดข้อมูลส่วนใหญ่อยู่ใกล้กับเส้นแนวโน้มที่เป็นเส้นตรงแสดงให้เห็นว่ามีความสัมพันธ์เชิงเส้นที่ชัดเจนระหว่างค่าทำนายและค่าจริงซึ่งเป็นคุณสมบัติสำคัญของโมเดล Linear Regression ที่ดี
- จากกราฟ Residual Plot ซึ่งแสดงค่าความคลาดเคลื่อน (Residual)พบว่าจุดกระจายแบบสุ่มรอบแกนศูนย์ โดยไม่มีรูปแบบชัดเจน เช่น โค้ง พุ่ง หรือกระจุก</t>
  </si>
  <si>
    <t>Predict</t>
  </si>
  <si>
    <t>อธิบายความแปรปรวนของ Earnings เป็น 42.92% (ควรมากกว่า50%)</t>
  </si>
  <si>
    <t>สัมพันธ์น้อย P-value สูง(ควรต่ำกว่า0.5)</t>
  </si>
  <si>
    <t>Predict Earnings</t>
  </si>
  <si>
    <t>=B2-I29</t>
  </si>
  <si>
    <t>ผลต่างระหว่างActualกับPredicted</t>
  </si>
  <si>
    <t>อธิบายความแปรปรวนของ Earnings เป็น 97.92% (ควรมากกว่า50%)</t>
  </si>
  <si>
    <t>d2 = 1</t>
  </si>
  <si>
    <t>d4 = ไม่มี ก็ไม่ต้องบวก</t>
  </si>
  <si>
    <t>โจทย์</t>
  </si>
  <si>
    <t>degree of freedom</t>
  </si>
  <si>
    <t>SS/DF</t>
  </si>
  <si>
    <t>MSR/MST</t>
  </si>
  <si>
    <t>b2</t>
  </si>
  <si>
    <t>b3</t>
  </si>
  <si>
    <t>b4</t>
  </si>
  <si>
    <t>Y = b0*1+b1*x1+b2*x2+b3*x3+b4*x5+b5*x5+b6*x6</t>
  </si>
  <si>
    <t xml:space="preserve">          R</t>
  </si>
  <si>
    <t xml:space="preserve">          E</t>
  </si>
  <si>
    <t xml:space="preserve">          T</t>
  </si>
  <si>
    <t xml:space="preserve">          b0</t>
  </si>
  <si>
    <t xml:space="preserve">          b1</t>
  </si>
  <si>
    <t>F Score</t>
  </si>
  <si>
    <t>ค่าความสามารถ</t>
  </si>
  <si>
    <t>ANOVA ค่าvalidate</t>
  </si>
  <si>
    <t>Y=b0x1+b1x1+b2x2+b3x3+b4x4</t>
  </si>
  <si>
    <t>Predict Earnings =</t>
  </si>
  <si>
    <t>degree of freedom(n-k-1)</t>
  </si>
  <si>
    <t>อธิบายความแปรปรวนของ Earnings เป็น 42.92% (ควรมากกว่า70%)</t>
  </si>
  <si>
    <t>อธิบายความแปรปรวนของ Earnings เป็น 97.92% (ควรมากกว่า70%)</t>
  </si>
  <si>
    <t>เป็นตัวที่บอกว่าควรจะเพิ่มตัวแปรหรือไม่ ถ้าเพิ่มแล้วAdjusted R Squareเพิ่มขึ้นน้อยมาก ก็ไม่จำเป็นต้องเพิ่มตัวแปร</t>
  </si>
  <si>
    <t>เวลาเลือกModel ให้เลือกที่Adjusted R Squareสูงสุด</t>
  </si>
  <si>
    <t>ถ้าเป็น 0 หมด Model ไม่ผ่าน ไม่มีตัวไหนอธิบายY ได้</t>
  </si>
  <si>
    <t>สัมพันธ์น้อย P-value สูง(ควรต่ำกว่า0.05)เอาตัวแปรนั้นออก</t>
  </si>
  <si>
    <t>ถ้า t Stat มีค่าสูง → หมายความว่าตัวแปรนั้น "น่าจะ" มีผลต่อ y จริง</t>
  </si>
  <si>
    <t>ควรมากกว่า1.5</t>
  </si>
  <si>
    <t>b. Interpret the slope coefficient for quarter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</si>
</sst>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(* #,##0.00_);_(* \(#,##0.00\);_(* &quot;-&quot;??_);_(@_)"/>
    <numFmt numFmtId="188" formatCode="0.000"/>
    <numFmt numFmtId="189" formatCode="0.000000000000"/>
  </numFmts>
  <fonts count="23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0"/>
      <name val="Arial"/>
      <family val="2"/>
    </font>
    <font>
      <sz val="11"/>
      <name val="Tahoma"/>
      <family val="2"/>
      <scheme val="minor"/>
    </font>
    <font>
      <sz val="11"/>
      <color theme="1"/>
      <name val="Tahoma"/>
      <family val="2"/>
      <scheme val="minor"/>
    </font>
    <font>
      <i/>
      <sz val="11"/>
      <color theme="1"/>
      <name val="Tahoma"/>
      <family val="2"/>
      <scheme val="minor"/>
    </font>
    <font>
      <sz val="8"/>
      <name val="Tahoma"/>
      <family val="2"/>
      <scheme val="minor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Tahoma"/>
      <family val="2"/>
      <scheme val="minor"/>
    </font>
    <font>
      <sz val="9"/>
      <color theme="1"/>
      <name val="Tahoma"/>
      <family val="2"/>
      <scheme val="minor"/>
    </font>
    <font>
      <sz val="8"/>
      <color theme="1"/>
      <name val="Tahoma"/>
      <family val="2"/>
      <scheme val="minor"/>
    </font>
    <font>
      <b/>
      <sz val="9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sz val="12"/>
      <color rgb="FF595959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8"/>
      <color theme="1"/>
      <name val="Tahoma"/>
      <family val="2"/>
      <scheme val="minor"/>
    </font>
    <font>
      <b/>
      <sz val="11"/>
      <color theme="1"/>
      <name val="Times New Roman"/>
      <family val="1"/>
    </font>
    <font>
      <i/>
      <sz val="9"/>
      <color theme="1"/>
      <name val="Tahoma"/>
      <family val="2"/>
      <scheme val="minor"/>
    </font>
    <font>
      <i/>
      <sz val="8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87" fontId="5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88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quotePrefix="1"/>
    <xf numFmtId="0" fontId="0" fillId="0" borderId="1" xfId="0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Continuous"/>
    </xf>
    <xf numFmtId="189" fontId="0" fillId="0" borderId="0" xfId="0" applyNumberFormat="1"/>
    <xf numFmtId="1" fontId="2" fillId="0" borderId="0" xfId="0" applyNumberFormat="1" applyFont="1" applyAlignment="1">
      <alignment horizontal="right" vertical="top"/>
    </xf>
    <xf numFmtId="0" fontId="8" fillId="0" borderId="0" xfId="0" applyFont="1" applyAlignment="1">
      <alignment vertical="center"/>
    </xf>
    <xf numFmtId="187" fontId="0" fillId="0" borderId="0" xfId="2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right" wrapText="1"/>
    </xf>
    <xf numFmtId="0" fontId="0" fillId="0" borderId="3" xfId="0" applyBorder="1"/>
    <xf numFmtId="0" fontId="0" fillId="0" borderId="3" xfId="0" applyBorder="1" applyAlignment="1">
      <alignment horizontal="right"/>
    </xf>
    <xf numFmtId="0" fontId="6" fillId="0" borderId="3" xfId="0" applyFont="1" applyBorder="1" applyAlignment="1">
      <alignment horizontal="centerContinuous"/>
    </xf>
    <xf numFmtId="0" fontId="6" fillId="0" borderId="3" xfId="0" applyFont="1" applyBorder="1" applyAlignment="1">
      <alignment horizontal="center"/>
    </xf>
    <xf numFmtId="0" fontId="15" fillId="0" borderId="0" xfId="0" applyFont="1" applyAlignment="1">
      <alignment horizontal="center" vertical="center" readingOrder="1"/>
    </xf>
    <xf numFmtId="0" fontId="17" fillId="0" borderId="0" xfId="0" applyFont="1"/>
    <xf numFmtId="0" fontId="0" fillId="0" borderId="0" xfId="0" applyFont="1"/>
    <xf numFmtId="0" fontId="18" fillId="0" borderId="0" xfId="0" applyFont="1" applyAlignment="1">
      <alignment vertical="center"/>
    </xf>
    <xf numFmtId="0" fontId="20" fillId="0" borderId="2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" fontId="2" fillId="0" borderId="3" xfId="0" applyNumberFormat="1" applyFont="1" applyBorder="1" applyAlignment="1">
      <alignment horizontal="right" vertical="top"/>
    </xf>
    <xf numFmtId="0" fontId="4" fillId="0" borderId="3" xfId="0" applyFont="1" applyBorder="1"/>
    <xf numFmtId="188" fontId="0" fillId="0" borderId="3" xfId="0" applyNumberFormat="1" applyBorder="1"/>
    <xf numFmtId="0" fontId="17" fillId="0" borderId="3" xfId="0" applyFont="1" applyBorder="1"/>
    <xf numFmtId="0" fontId="11" fillId="0" borderId="3" xfId="0" applyFont="1" applyBorder="1"/>
    <xf numFmtId="0" fontId="0" fillId="0" borderId="4" xfId="0" applyBorder="1"/>
    <xf numFmtId="0" fontId="21" fillId="0" borderId="0" xfId="0" applyFont="1"/>
    <xf numFmtId="0" fontId="11" fillId="0" borderId="5" xfId="0" applyFont="1" applyBorder="1"/>
    <xf numFmtId="0" fontId="22" fillId="0" borderId="0" xfId="0" applyFont="1" applyAlignment="1">
      <alignment vertical="center"/>
    </xf>
    <xf numFmtId="0" fontId="13" fillId="0" borderId="0" xfId="0" applyFont="1" applyAlignment="1">
      <alignment horizontal="left" wrapText="1"/>
    </xf>
    <xf numFmtId="0" fontId="19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/>
    <xf numFmtId="0" fontId="0" fillId="0" borderId="3" xfId="0" applyBorder="1" applyAlignment="1">
      <alignment horizontal="center"/>
    </xf>
    <xf numFmtId="0" fontId="16" fillId="0" borderId="3" xfId="0" applyFont="1" applyBorder="1"/>
    <xf numFmtId="0" fontId="21" fillId="0" borderId="3" xfId="0" applyFont="1" applyBorder="1"/>
    <xf numFmtId="187" fontId="21" fillId="0" borderId="3" xfId="2" applyFont="1" applyBorder="1"/>
    <xf numFmtId="0" fontId="21" fillId="0" borderId="5" xfId="0" applyFont="1" applyBorder="1" applyAlignment="1">
      <alignment horizontal="left"/>
    </xf>
    <xf numFmtId="0" fontId="21" fillId="0" borderId="6" xfId="0" applyFont="1" applyBorder="1" applyAlignment="1">
      <alignment horizontal="left"/>
    </xf>
  </cellXfs>
  <cellStyles count="3">
    <cellStyle name="Comma" xfId="2" builtinId="3"/>
    <cellStyle name="Normal" xfId="0" builtinId="0"/>
    <cellStyle name="Normal 2" xfId="1" xr:uid="{CBC3EEEE-4D14-42A3-AFFE-942D98EBF2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Cost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College!$C$2:$C$117</c:f>
              <c:numCache>
                <c:formatCode>General</c:formatCode>
                <c:ptCount val="116"/>
                <c:pt idx="0">
                  <c:v>22920</c:v>
                </c:pt>
                <c:pt idx="1">
                  <c:v>23429</c:v>
                </c:pt>
                <c:pt idx="2">
                  <c:v>19567</c:v>
                </c:pt>
                <c:pt idx="3">
                  <c:v>25147</c:v>
                </c:pt>
                <c:pt idx="4">
                  <c:v>21979</c:v>
                </c:pt>
                <c:pt idx="5">
                  <c:v>29886</c:v>
                </c:pt>
                <c:pt idx="6">
                  <c:v>34603</c:v>
                </c:pt>
                <c:pt idx="7">
                  <c:v>28107</c:v>
                </c:pt>
                <c:pt idx="8">
                  <c:v>23583</c:v>
                </c:pt>
                <c:pt idx="9">
                  <c:v>34086</c:v>
                </c:pt>
                <c:pt idx="10">
                  <c:v>19156</c:v>
                </c:pt>
                <c:pt idx="11">
                  <c:v>31564</c:v>
                </c:pt>
                <c:pt idx="12">
                  <c:v>33821</c:v>
                </c:pt>
                <c:pt idx="13">
                  <c:v>23415</c:v>
                </c:pt>
                <c:pt idx="14">
                  <c:v>22644</c:v>
                </c:pt>
                <c:pt idx="15">
                  <c:v>19647</c:v>
                </c:pt>
                <c:pt idx="16">
                  <c:v>23518</c:v>
                </c:pt>
                <c:pt idx="17">
                  <c:v>16575</c:v>
                </c:pt>
                <c:pt idx="18">
                  <c:v>27080</c:v>
                </c:pt>
                <c:pt idx="19">
                  <c:v>29678</c:v>
                </c:pt>
                <c:pt idx="20">
                  <c:v>21713</c:v>
                </c:pt>
                <c:pt idx="21">
                  <c:v>13902</c:v>
                </c:pt>
                <c:pt idx="22">
                  <c:v>27652</c:v>
                </c:pt>
                <c:pt idx="23">
                  <c:v>33742</c:v>
                </c:pt>
                <c:pt idx="24">
                  <c:v>19414</c:v>
                </c:pt>
                <c:pt idx="25">
                  <c:v>29864</c:v>
                </c:pt>
                <c:pt idx="26">
                  <c:v>19466</c:v>
                </c:pt>
                <c:pt idx="27">
                  <c:v>22787</c:v>
                </c:pt>
                <c:pt idx="28">
                  <c:v>31898</c:v>
                </c:pt>
                <c:pt idx="29">
                  <c:v>31810</c:v>
                </c:pt>
                <c:pt idx="30">
                  <c:v>21558</c:v>
                </c:pt>
                <c:pt idx="31">
                  <c:v>14398</c:v>
                </c:pt>
                <c:pt idx="32">
                  <c:v>24266</c:v>
                </c:pt>
                <c:pt idx="33">
                  <c:v>15403</c:v>
                </c:pt>
                <c:pt idx="34">
                  <c:v>24402</c:v>
                </c:pt>
                <c:pt idx="35">
                  <c:v>28155</c:v>
                </c:pt>
                <c:pt idx="36">
                  <c:v>24246</c:v>
                </c:pt>
                <c:pt idx="37">
                  <c:v>23162</c:v>
                </c:pt>
                <c:pt idx="38">
                  <c:v>20967</c:v>
                </c:pt>
                <c:pt idx="39">
                  <c:v>22231</c:v>
                </c:pt>
                <c:pt idx="40">
                  <c:v>30720</c:v>
                </c:pt>
                <c:pt idx="41">
                  <c:v>20252</c:v>
                </c:pt>
                <c:pt idx="42">
                  <c:v>31958</c:v>
                </c:pt>
                <c:pt idx="43">
                  <c:v>24423</c:v>
                </c:pt>
                <c:pt idx="44">
                  <c:v>24614</c:v>
                </c:pt>
                <c:pt idx="45">
                  <c:v>21531</c:v>
                </c:pt>
                <c:pt idx="46">
                  <c:v>23921</c:v>
                </c:pt>
                <c:pt idx="47">
                  <c:v>25316</c:v>
                </c:pt>
                <c:pt idx="48">
                  <c:v>32534</c:v>
                </c:pt>
                <c:pt idx="49">
                  <c:v>32636</c:v>
                </c:pt>
                <c:pt idx="50">
                  <c:v>24893</c:v>
                </c:pt>
                <c:pt idx="51">
                  <c:v>25613</c:v>
                </c:pt>
                <c:pt idx="52">
                  <c:v>21546</c:v>
                </c:pt>
                <c:pt idx="53">
                  <c:v>21127</c:v>
                </c:pt>
                <c:pt idx="54">
                  <c:v>33074</c:v>
                </c:pt>
                <c:pt idx="55">
                  <c:v>22473</c:v>
                </c:pt>
                <c:pt idx="56">
                  <c:v>20675</c:v>
                </c:pt>
                <c:pt idx="57">
                  <c:v>25918</c:v>
                </c:pt>
                <c:pt idx="58">
                  <c:v>22275</c:v>
                </c:pt>
                <c:pt idx="59">
                  <c:v>25539</c:v>
                </c:pt>
                <c:pt idx="60">
                  <c:v>15685</c:v>
                </c:pt>
                <c:pt idx="61">
                  <c:v>24730</c:v>
                </c:pt>
                <c:pt idx="62">
                  <c:v>25936</c:v>
                </c:pt>
                <c:pt idx="63">
                  <c:v>22204</c:v>
                </c:pt>
                <c:pt idx="64">
                  <c:v>28458</c:v>
                </c:pt>
                <c:pt idx="65">
                  <c:v>17437</c:v>
                </c:pt>
                <c:pt idx="66">
                  <c:v>19721</c:v>
                </c:pt>
                <c:pt idx="67">
                  <c:v>24850</c:v>
                </c:pt>
                <c:pt idx="68">
                  <c:v>24961</c:v>
                </c:pt>
                <c:pt idx="69">
                  <c:v>23486</c:v>
                </c:pt>
                <c:pt idx="70">
                  <c:v>13735</c:v>
                </c:pt>
                <c:pt idx="71">
                  <c:v>34841</c:v>
                </c:pt>
                <c:pt idx="72">
                  <c:v>35159</c:v>
                </c:pt>
                <c:pt idx="73">
                  <c:v>21046</c:v>
                </c:pt>
                <c:pt idx="74">
                  <c:v>9938</c:v>
                </c:pt>
                <c:pt idx="75">
                  <c:v>28210</c:v>
                </c:pt>
                <c:pt idx="76">
                  <c:v>19254</c:v>
                </c:pt>
                <c:pt idx="77">
                  <c:v>26451</c:v>
                </c:pt>
                <c:pt idx="78">
                  <c:v>33838</c:v>
                </c:pt>
                <c:pt idx="79">
                  <c:v>29427</c:v>
                </c:pt>
                <c:pt idx="80">
                  <c:v>22593</c:v>
                </c:pt>
                <c:pt idx="81">
                  <c:v>33557</c:v>
                </c:pt>
                <c:pt idx="82">
                  <c:v>29085</c:v>
                </c:pt>
                <c:pt idx="83">
                  <c:v>31293</c:v>
                </c:pt>
                <c:pt idx="84">
                  <c:v>27674</c:v>
                </c:pt>
                <c:pt idx="85">
                  <c:v>21815</c:v>
                </c:pt>
                <c:pt idx="86">
                  <c:v>27507</c:v>
                </c:pt>
                <c:pt idx="87">
                  <c:v>24954</c:v>
                </c:pt>
                <c:pt idx="88">
                  <c:v>28912</c:v>
                </c:pt>
                <c:pt idx="89">
                  <c:v>20845</c:v>
                </c:pt>
                <c:pt idx="90">
                  <c:v>16681</c:v>
                </c:pt>
                <c:pt idx="91">
                  <c:v>21455</c:v>
                </c:pt>
                <c:pt idx="92">
                  <c:v>30206</c:v>
                </c:pt>
                <c:pt idx="93">
                  <c:v>25702</c:v>
                </c:pt>
                <c:pt idx="94">
                  <c:v>22389</c:v>
                </c:pt>
                <c:pt idx="95">
                  <c:v>29362</c:v>
                </c:pt>
                <c:pt idx="96">
                  <c:v>29140</c:v>
                </c:pt>
                <c:pt idx="97">
                  <c:v>30394</c:v>
                </c:pt>
                <c:pt idx="98">
                  <c:v>32115</c:v>
                </c:pt>
                <c:pt idx="99">
                  <c:v>25057</c:v>
                </c:pt>
                <c:pt idx="100">
                  <c:v>26608</c:v>
                </c:pt>
                <c:pt idx="101">
                  <c:v>31593</c:v>
                </c:pt>
                <c:pt idx="102">
                  <c:v>31915</c:v>
                </c:pt>
                <c:pt idx="103">
                  <c:v>27955</c:v>
                </c:pt>
                <c:pt idx="104">
                  <c:v>30318</c:v>
                </c:pt>
                <c:pt idx="105">
                  <c:v>22124</c:v>
                </c:pt>
                <c:pt idx="106">
                  <c:v>26491</c:v>
                </c:pt>
                <c:pt idx="107">
                  <c:v>30255</c:v>
                </c:pt>
                <c:pt idx="108">
                  <c:v>19739</c:v>
                </c:pt>
                <c:pt idx="109">
                  <c:v>18292</c:v>
                </c:pt>
                <c:pt idx="110">
                  <c:v>28517</c:v>
                </c:pt>
                <c:pt idx="111">
                  <c:v>33181</c:v>
                </c:pt>
                <c:pt idx="112">
                  <c:v>27387</c:v>
                </c:pt>
                <c:pt idx="113">
                  <c:v>30312</c:v>
                </c:pt>
                <c:pt idx="114">
                  <c:v>15311</c:v>
                </c:pt>
                <c:pt idx="115">
                  <c:v>26616</c:v>
                </c:pt>
              </c:numCache>
            </c:numRef>
          </c:xVal>
          <c:yVal>
            <c:numRef>
              <c:f>College!$J$29:$J$144</c:f>
              <c:numCache>
                <c:formatCode>General</c:formatCode>
                <c:ptCount val="116"/>
                <c:pt idx="0">
                  <c:v>-1192.2025852577717</c:v>
                </c:pt>
                <c:pt idx="1">
                  <c:v>-1111.7861128658333</c:v>
                </c:pt>
                <c:pt idx="2">
                  <c:v>256.23161610359239</c:v>
                </c:pt>
                <c:pt idx="3">
                  <c:v>1350.5374147815892</c:v>
                </c:pt>
                <c:pt idx="4">
                  <c:v>-11239.922742043644</c:v>
                </c:pt>
                <c:pt idx="5">
                  <c:v>20189.030987017599</c:v>
                </c:pt>
                <c:pt idx="6">
                  <c:v>4618.1752656020835</c:v>
                </c:pt>
                <c:pt idx="7">
                  <c:v>3834.646154376911</c:v>
                </c:pt>
                <c:pt idx="8">
                  <c:v>-1278.4064650605869</c:v>
                </c:pt>
                <c:pt idx="9">
                  <c:v>2017.0431566207335</c:v>
                </c:pt>
                <c:pt idx="10">
                  <c:v>1730.3034056527322</c:v>
                </c:pt>
                <c:pt idx="11">
                  <c:v>-9493.0758577430024</c:v>
                </c:pt>
                <c:pt idx="12">
                  <c:v>-928.9066389620275</c:v>
                </c:pt>
                <c:pt idx="13">
                  <c:v>-6162.1350920453333</c:v>
                </c:pt>
                <c:pt idx="14">
                  <c:v>-3676.7841111455928</c:v>
                </c:pt>
                <c:pt idx="15">
                  <c:v>9180.4964903871223</c:v>
                </c:pt>
                <c:pt idx="16">
                  <c:v>-924.15451875413419</c:v>
                </c:pt>
                <c:pt idx="17">
                  <c:v>983.12472742250975</c:v>
                </c:pt>
                <c:pt idx="18">
                  <c:v>1495.6958055711802</c:v>
                </c:pt>
                <c:pt idx="19">
                  <c:v>-1917.9731303615408</c:v>
                </c:pt>
                <c:pt idx="20">
                  <c:v>-923.429411160163</c:v>
                </c:pt>
                <c:pt idx="21">
                  <c:v>4605.2988302635058</c:v>
                </c:pt>
                <c:pt idx="22">
                  <c:v>3422.4902055802231</c:v>
                </c:pt>
                <c:pt idx="23">
                  <c:v>9227.7090171246746</c:v>
                </c:pt>
                <c:pt idx="24">
                  <c:v>-12375.322548568409</c:v>
                </c:pt>
                <c:pt idx="25">
                  <c:v>-7399.9948883928082</c:v>
                </c:pt>
                <c:pt idx="26">
                  <c:v>3575.1567063621551</c:v>
                </c:pt>
                <c:pt idx="27">
                  <c:v>-2119.6395299831056</c:v>
                </c:pt>
                <c:pt idx="28">
                  <c:v>-7741.9734634992856</c:v>
                </c:pt>
                <c:pt idx="29">
                  <c:v>-7444.6130447176329</c:v>
                </c:pt>
                <c:pt idx="30">
                  <c:v>-6060.4856276786741</c:v>
                </c:pt>
                <c:pt idx="31">
                  <c:v>249.65574637233658</c:v>
                </c:pt>
                <c:pt idx="32">
                  <c:v>-3379.3241260061986</c:v>
                </c:pt>
                <c:pt idx="33">
                  <c:v>-1142.1128278775723</c:v>
                </c:pt>
                <c:pt idx="34">
                  <c:v>-1553.9681557317163</c:v>
                </c:pt>
                <c:pt idx="35">
                  <c:v>-21.302669748249173</c:v>
                </c:pt>
                <c:pt idx="36">
                  <c:v>-2383.8277449185043</c:v>
                </c:pt>
                <c:pt idx="37">
                  <c:v>1798.9118794909518</c:v>
                </c:pt>
                <c:pt idx="38">
                  <c:v>2316.8383926405077</c:v>
                </c:pt>
                <c:pt idx="39">
                  <c:v>-6653.9588547202802</c:v>
                </c:pt>
                <c:pt idx="40">
                  <c:v>-2097.6721482038993</c:v>
                </c:pt>
                <c:pt idx="41">
                  <c:v>-3460.8416947987789</c:v>
                </c:pt>
                <c:pt idx="42">
                  <c:v>-621.37592621568183</c:v>
                </c:pt>
                <c:pt idx="43">
                  <c:v>-8989.260364120375</c:v>
                </c:pt>
                <c:pt idx="44">
                  <c:v>-2449.2699973626659</c:v>
                </c:pt>
                <c:pt idx="45">
                  <c:v>276.81973535275756</c:v>
                </c:pt>
                <c:pt idx="46">
                  <c:v>2601.3514489029258</c:v>
                </c:pt>
                <c:pt idx="47">
                  <c:v>-3818.9702512899821</c:v>
                </c:pt>
                <c:pt idx="48">
                  <c:v>-10340.924801951878</c:v>
                </c:pt>
                <c:pt idx="49">
                  <c:v>-10264.937386008489</c:v>
                </c:pt>
                <c:pt idx="50">
                  <c:v>5200.5163163308753</c:v>
                </c:pt>
                <c:pt idx="51">
                  <c:v>7084.1366321731257</c:v>
                </c:pt>
                <c:pt idx="52">
                  <c:v>-2496.7449622153727</c:v>
                </c:pt>
                <c:pt idx="53">
                  <c:v>-3051.556543550716</c:v>
                </c:pt>
                <c:pt idx="54">
                  <c:v>-9470.5007096636691</c:v>
                </c:pt>
                <c:pt idx="55">
                  <c:v>-278.18887814984919</c:v>
                </c:pt>
                <c:pt idx="56">
                  <c:v>-838.46838133913116</c:v>
                </c:pt>
                <c:pt idx="57">
                  <c:v>11519.871447385514</c:v>
                </c:pt>
                <c:pt idx="58">
                  <c:v>-6992.1059682476553</c:v>
                </c:pt>
                <c:pt idx="59">
                  <c:v>-7140.8937514375066</c:v>
                </c:pt>
                <c:pt idx="60">
                  <c:v>952.10497243382997</c:v>
                </c:pt>
                <c:pt idx="61">
                  <c:v>658.98160524659761</c:v>
                </c:pt>
                <c:pt idx="62">
                  <c:v>-3009.2966061501429</c:v>
                </c:pt>
                <c:pt idx="63">
                  <c:v>-1778.6903457409644</c:v>
                </c:pt>
                <c:pt idx="64">
                  <c:v>-5119.1063578319372</c:v>
                </c:pt>
                <c:pt idx="65">
                  <c:v>2348.3013028246351</c:v>
                </c:pt>
                <c:pt idx="66">
                  <c:v>3633.4769290688346</c:v>
                </c:pt>
                <c:pt idx="67">
                  <c:v>-2287.5441033680254</c:v>
                </c:pt>
                <c:pt idx="68">
                  <c:v>13405.985114069437</c:v>
                </c:pt>
                <c:pt idx="69">
                  <c:v>56.242227950358938</c:v>
                </c:pt>
                <c:pt idx="70">
                  <c:v>5665.4556557155374</c:v>
                </c:pt>
                <c:pt idx="71">
                  <c:v>3016.9896597850602</c:v>
                </c:pt>
                <c:pt idx="72">
                  <c:v>3986.4649684962787</c:v>
                </c:pt>
                <c:pt idx="73">
                  <c:v>9059.6564327830638</c:v>
                </c:pt>
                <c:pt idx="74">
                  <c:v>5730.4297799986016</c:v>
                </c:pt>
                <c:pt idx="75">
                  <c:v>1301.9193195312691</c:v>
                </c:pt>
                <c:pt idx="76">
                  <c:v>-1313.0643562871264</c:v>
                </c:pt>
                <c:pt idx="77">
                  <c:v>-3176.869470144462</c:v>
                </c:pt>
                <c:pt idx="78">
                  <c:v>-1721.194256197261</c:v>
                </c:pt>
                <c:pt idx="79">
                  <c:v>-4634.6988043329111</c:v>
                </c:pt>
                <c:pt idx="80">
                  <c:v>2225.2529797200623</c:v>
                </c:pt>
                <c:pt idx="81">
                  <c:v>1344.22237732957</c:v>
                </c:pt>
                <c:pt idx="82">
                  <c:v>772.46990994997759</c:v>
                </c:pt>
                <c:pt idx="83">
                  <c:v>-1687.4828849572004</c:v>
                </c:pt>
                <c:pt idx="84">
                  <c:v>-2718.4509822373511</c:v>
                </c:pt>
                <c:pt idx="85">
                  <c:v>-458.07523756564478</c:v>
                </c:pt>
                <c:pt idx="86">
                  <c:v>3547.3544265024393</c:v>
                </c:pt>
                <c:pt idx="87">
                  <c:v>2344.3376075475171</c:v>
                </c:pt>
                <c:pt idx="88">
                  <c:v>3910.5230861252276</c:v>
                </c:pt>
                <c:pt idx="89">
                  <c:v>980.80453302118985</c:v>
                </c:pt>
                <c:pt idx="90">
                  <c:v>-2669.2398482923236</c:v>
                </c:pt>
                <c:pt idx="91">
                  <c:v>-1167.9857708140626</c:v>
                </c:pt>
                <c:pt idx="92">
                  <c:v>11142.886925097286</c:v>
                </c:pt>
                <c:pt idx="93">
                  <c:v>-4751.149051022112</c:v>
                </c:pt>
                <c:pt idx="94">
                  <c:v>2923.0309669273411</c:v>
                </c:pt>
                <c:pt idx="95">
                  <c:v>-631.31419040447508</c:v>
                </c:pt>
                <c:pt idx="96">
                  <c:v>-1267.7175160602201</c:v>
                </c:pt>
                <c:pt idx="97">
                  <c:v>2017.2045268450238</c:v>
                </c:pt>
                <c:pt idx="98">
                  <c:v>-2189.6874188055954</c:v>
                </c:pt>
                <c:pt idx="99">
                  <c:v>4672.9626082510076</c:v>
                </c:pt>
                <c:pt idx="100">
                  <c:v>3100.1688663473542</c:v>
                </c:pt>
                <c:pt idx="101">
                  <c:v>3654.5909186704084</c:v>
                </c:pt>
                <c:pt idx="102">
                  <c:v>10168.63253905045</c:v>
                </c:pt>
                <c:pt idx="103">
                  <c:v>-3106.2185893003698</c:v>
                </c:pt>
                <c:pt idx="104">
                  <c:v>17939.321296366543</c:v>
                </c:pt>
                <c:pt idx="105">
                  <c:v>-558.37680582423491</c:v>
                </c:pt>
                <c:pt idx="106">
                  <c:v>1680.732772927091</c:v>
                </c:pt>
                <c:pt idx="107">
                  <c:v>-168.11214117058989</c:v>
                </c:pt>
                <c:pt idx="108">
                  <c:v>-7308.5018024703459</c:v>
                </c:pt>
                <c:pt idx="109">
                  <c:v>3030.5338625615914</c:v>
                </c:pt>
                <c:pt idx="110">
                  <c:v>6285.7705294764601</c:v>
                </c:pt>
                <c:pt idx="111">
                  <c:v>-3435.6023284039184</c:v>
                </c:pt>
                <c:pt idx="112">
                  <c:v>8067.8111900715303</c:v>
                </c:pt>
                <c:pt idx="113">
                  <c:v>-3564.0595194148482</c:v>
                </c:pt>
                <c:pt idx="114">
                  <c:v>-3460.4125278672291</c:v>
                </c:pt>
                <c:pt idx="115">
                  <c:v>-5538.7984457456696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E4-5D40-87CE-30E20D6AE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183567"/>
        <c:axId val="1374185279"/>
      </c:scatterChart>
      <c:valAx>
        <c:axId val="1374183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185279"/>
        <c:crosses val="autoZero"/>
        <c:crossBetween val="midCat"/>
      </c:valAx>
      <c:valAx>
        <c:axId val="13741852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18356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Grad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College!$D$2:$D$117</c:f>
              <c:numCache>
                <c:formatCode>General</c:formatCode>
                <c:ptCount val="116"/>
                <c:pt idx="0">
                  <c:v>62</c:v>
                </c:pt>
                <c:pt idx="1">
                  <c:v>73</c:v>
                </c:pt>
                <c:pt idx="2">
                  <c:v>63</c:v>
                </c:pt>
                <c:pt idx="3">
                  <c:v>78</c:v>
                </c:pt>
                <c:pt idx="4">
                  <c:v>78</c:v>
                </c:pt>
                <c:pt idx="5">
                  <c:v>86</c:v>
                </c:pt>
                <c:pt idx="6">
                  <c:v>84</c:v>
                </c:pt>
                <c:pt idx="7">
                  <c:v>65</c:v>
                </c:pt>
                <c:pt idx="8">
                  <c:v>65</c:v>
                </c:pt>
                <c:pt idx="9">
                  <c:v>68</c:v>
                </c:pt>
                <c:pt idx="10">
                  <c:v>61</c:v>
                </c:pt>
                <c:pt idx="11">
                  <c:v>62</c:v>
                </c:pt>
                <c:pt idx="12">
                  <c:v>74</c:v>
                </c:pt>
                <c:pt idx="13">
                  <c:v>80</c:v>
                </c:pt>
                <c:pt idx="14">
                  <c:v>56</c:v>
                </c:pt>
                <c:pt idx="15">
                  <c:v>54</c:v>
                </c:pt>
                <c:pt idx="16">
                  <c:v>81</c:v>
                </c:pt>
                <c:pt idx="17">
                  <c:v>43</c:v>
                </c:pt>
                <c:pt idx="18">
                  <c:v>69</c:v>
                </c:pt>
                <c:pt idx="19">
                  <c:v>85</c:v>
                </c:pt>
                <c:pt idx="20">
                  <c:v>62</c:v>
                </c:pt>
                <c:pt idx="21">
                  <c:v>65</c:v>
                </c:pt>
                <c:pt idx="22">
                  <c:v>69</c:v>
                </c:pt>
                <c:pt idx="23">
                  <c:v>67</c:v>
                </c:pt>
                <c:pt idx="24">
                  <c:v>71</c:v>
                </c:pt>
                <c:pt idx="25">
                  <c:v>63</c:v>
                </c:pt>
                <c:pt idx="26">
                  <c:v>74</c:v>
                </c:pt>
                <c:pt idx="27">
                  <c:v>60</c:v>
                </c:pt>
                <c:pt idx="28">
                  <c:v>83</c:v>
                </c:pt>
                <c:pt idx="29">
                  <c:v>72</c:v>
                </c:pt>
                <c:pt idx="30">
                  <c:v>57</c:v>
                </c:pt>
                <c:pt idx="31">
                  <c:v>37</c:v>
                </c:pt>
                <c:pt idx="32">
                  <c:v>47</c:v>
                </c:pt>
                <c:pt idx="33">
                  <c:v>57</c:v>
                </c:pt>
                <c:pt idx="34">
                  <c:v>63</c:v>
                </c:pt>
                <c:pt idx="35">
                  <c:v>82</c:v>
                </c:pt>
                <c:pt idx="36">
                  <c:v>67</c:v>
                </c:pt>
                <c:pt idx="37">
                  <c:v>83</c:v>
                </c:pt>
                <c:pt idx="38">
                  <c:v>40</c:v>
                </c:pt>
                <c:pt idx="39">
                  <c:v>71</c:v>
                </c:pt>
                <c:pt idx="40">
                  <c:v>78</c:v>
                </c:pt>
                <c:pt idx="41">
                  <c:v>58</c:v>
                </c:pt>
                <c:pt idx="42">
                  <c:v>76</c:v>
                </c:pt>
                <c:pt idx="43">
                  <c:v>54</c:v>
                </c:pt>
                <c:pt idx="44">
                  <c:v>75</c:v>
                </c:pt>
                <c:pt idx="45">
                  <c:v>79</c:v>
                </c:pt>
                <c:pt idx="46">
                  <c:v>67</c:v>
                </c:pt>
                <c:pt idx="47">
                  <c:v>49</c:v>
                </c:pt>
                <c:pt idx="48">
                  <c:v>46</c:v>
                </c:pt>
                <c:pt idx="49">
                  <c:v>75</c:v>
                </c:pt>
                <c:pt idx="50">
                  <c:v>68</c:v>
                </c:pt>
                <c:pt idx="51">
                  <c:v>41</c:v>
                </c:pt>
                <c:pt idx="52">
                  <c:v>57</c:v>
                </c:pt>
                <c:pt idx="53">
                  <c:v>64</c:v>
                </c:pt>
                <c:pt idx="54">
                  <c:v>41</c:v>
                </c:pt>
                <c:pt idx="55">
                  <c:v>59</c:v>
                </c:pt>
                <c:pt idx="56">
                  <c:v>73</c:v>
                </c:pt>
                <c:pt idx="57">
                  <c:v>38</c:v>
                </c:pt>
                <c:pt idx="58">
                  <c:v>61</c:v>
                </c:pt>
                <c:pt idx="59">
                  <c:v>62</c:v>
                </c:pt>
                <c:pt idx="60">
                  <c:v>58</c:v>
                </c:pt>
                <c:pt idx="61">
                  <c:v>74</c:v>
                </c:pt>
                <c:pt idx="62">
                  <c:v>70</c:v>
                </c:pt>
                <c:pt idx="63">
                  <c:v>67</c:v>
                </c:pt>
                <c:pt idx="64">
                  <c:v>41</c:v>
                </c:pt>
                <c:pt idx="65">
                  <c:v>66</c:v>
                </c:pt>
                <c:pt idx="66">
                  <c:v>59</c:v>
                </c:pt>
                <c:pt idx="67">
                  <c:v>59</c:v>
                </c:pt>
                <c:pt idx="68">
                  <c:v>53</c:v>
                </c:pt>
                <c:pt idx="69">
                  <c:v>70</c:v>
                </c:pt>
                <c:pt idx="70">
                  <c:v>32</c:v>
                </c:pt>
                <c:pt idx="71">
                  <c:v>86</c:v>
                </c:pt>
                <c:pt idx="72">
                  <c:v>76</c:v>
                </c:pt>
                <c:pt idx="73">
                  <c:v>58</c:v>
                </c:pt>
                <c:pt idx="74">
                  <c:v>43</c:v>
                </c:pt>
                <c:pt idx="75">
                  <c:v>67</c:v>
                </c:pt>
                <c:pt idx="76">
                  <c:v>73</c:v>
                </c:pt>
                <c:pt idx="77">
                  <c:v>65</c:v>
                </c:pt>
                <c:pt idx="78">
                  <c:v>62</c:v>
                </c:pt>
                <c:pt idx="79">
                  <c:v>69</c:v>
                </c:pt>
                <c:pt idx="80">
                  <c:v>68</c:v>
                </c:pt>
                <c:pt idx="81">
                  <c:v>77</c:v>
                </c:pt>
                <c:pt idx="82">
                  <c:v>69</c:v>
                </c:pt>
                <c:pt idx="83">
                  <c:v>70</c:v>
                </c:pt>
                <c:pt idx="84">
                  <c:v>67</c:v>
                </c:pt>
                <c:pt idx="85">
                  <c:v>64</c:v>
                </c:pt>
                <c:pt idx="86">
                  <c:v>56</c:v>
                </c:pt>
                <c:pt idx="87">
                  <c:v>75</c:v>
                </c:pt>
                <c:pt idx="88">
                  <c:v>81</c:v>
                </c:pt>
                <c:pt idx="89">
                  <c:v>66</c:v>
                </c:pt>
                <c:pt idx="90">
                  <c:v>65</c:v>
                </c:pt>
                <c:pt idx="91">
                  <c:v>75</c:v>
                </c:pt>
                <c:pt idx="92">
                  <c:v>80</c:v>
                </c:pt>
                <c:pt idx="93">
                  <c:v>67</c:v>
                </c:pt>
                <c:pt idx="94">
                  <c:v>81</c:v>
                </c:pt>
                <c:pt idx="95">
                  <c:v>77</c:v>
                </c:pt>
                <c:pt idx="96">
                  <c:v>55</c:v>
                </c:pt>
                <c:pt idx="97">
                  <c:v>81</c:v>
                </c:pt>
                <c:pt idx="98">
                  <c:v>78</c:v>
                </c:pt>
                <c:pt idx="99">
                  <c:v>72</c:v>
                </c:pt>
                <c:pt idx="100">
                  <c:v>85</c:v>
                </c:pt>
                <c:pt idx="101">
                  <c:v>75</c:v>
                </c:pt>
                <c:pt idx="102">
                  <c:v>68</c:v>
                </c:pt>
                <c:pt idx="103">
                  <c:v>59</c:v>
                </c:pt>
                <c:pt idx="104">
                  <c:v>57</c:v>
                </c:pt>
                <c:pt idx="105">
                  <c:v>64</c:v>
                </c:pt>
                <c:pt idx="106">
                  <c:v>76</c:v>
                </c:pt>
                <c:pt idx="107">
                  <c:v>69</c:v>
                </c:pt>
                <c:pt idx="108">
                  <c:v>57</c:v>
                </c:pt>
                <c:pt idx="109">
                  <c:v>59</c:v>
                </c:pt>
                <c:pt idx="110">
                  <c:v>61</c:v>
                </c:pt>
                <c:pt idx="111">
                  <c:v>67</c:v>
                </c:pt>
                <c:pt idx="112">
                  <c:v>56</c:v>
                </c:pt>
                <c:pt idx="113">
                  <c:v>78</c:v>
                </c:pt>
                <c:pt idx="114">
                  <c:v>54</c:v>
                </c:pt>
                <c:pt idx="115">
                  <c:v>64</c:v>
                </c:pt>
              </c:numCache>
            </c:numRef>
          </c:xVal>
          <c:yVal>
            <c:numRef>
              <c:f>College!$J$29:$J$144</c:f>
              <c:numCache>
                <c:formatCode>General</c:formatCode>
                <c:ptCount val="116"/>
                <c:pt idx="0">
                  <c:v>-1192.2025852577717</c:v>
                </c:pt>
                <c:pt idx="1">
                  <c:v>-1111.7861128658333</c:v>
                </c:pt>
                <c:pt idx="2">
                  <c:v>256.23161610359239</c:v>
                </c:pt>
                <c:pt idx="3">
                  <c:v>1350.5374147815892</c:v>
                </c:pt>
                <c:pt idx="4">
                  <c:v>-11239.922742043644</c:v>
                </c:pt>
                <c:pt idx="5">
                  <c:v>20189.030987017599</c:v>
                </c:pt>
                <c:pt idx="6">
                  <c:v>4618.1752656020835</c:v>
                </c:pt>
                <c:pt idx="7">
                  <c:v>3834.646154376911</c:v>
                </c:pt>
                <c:pt idx="8">
                  <c:v>-1278.4064650605869</c:v>
                </c:pt>
                <c:pt idx="9">
                  <c:v>2017.0431566207335</c:v>
                </c:pt>
                <c:pt idx="10">
                  <c:v>1730.3034056527322</c:v>
                </c:pt>
                <c:pt idx="11">
                  <c:v>-9493.0758577430024</c:v>
                </c:pt>
                <c:pt idx="12">
                  <c:v>-928.9066389620275</c:v>
                </c:pt>
                <c:pt idx="13">
                  <c:v>-6162.1350920453333</c:v>
                </c:pt>
                <c:pt idx="14">
                  <c:v>-3676.7841111455928</c:v>
                </c:pt>
                <c:pt idx="15">
                  <c:v>9180.4964903871223</c:v>
                </c:pt>
                <c:pt idx="16">
                  <c:v>-924.15451875413419</c:v>
                </c:pt>
                <c:pt idx="17">
                  <c:v>983.12472742250975</c:v>
                </c:pt>
                <c:pt idx="18">
                  <c:v>1495.6958055711802</c:v>
                </c:pt>
                <c:pt idx="19">
                  <c:v>-1917.9731303615408</c:v>
                </c:pt>
                <c:pt idx="20">
                  <c:v>-923.429411160163</c:v>
                </c:pt>
                <c:pt idx="21">
                  <c:v>4605.2988302635058</c:v>
                </c:pt>
                <c:pt idx="22">
                  <c:v>3422.4902055802231</c:v>
                </c:pt>
                <c:pt idx="23">
                  <c:v>9227.7090171246746</c:v>
                </c:pt>
                <c:pt idx="24">
                  <c:v>-12375.322548568409</c:v>
                </c:pt>
                <c:pt idx="25">
                  <c:v>-7399.9948883928082</c:v>
                </c:pt>
                <c:pt idx="26">
                  <c:v>3575.1567063621551</c:v>
                </c:pt>
                <c:pt idx="27">
                  <c:v>-2119.6395299831056</c:v>
                </c:pt>
                <c:pt idx="28">
                  <c:v>-7741.9734634992856</c:v>
                </c:pt>
                <c:pt idx="29">
                  <c:v>-7444.6130447176329</c:v>
                </c:pt>
                <c:pt idx="30">
                  <c:v>-6060.4856276786741</c:v>
                </c:pt>
                <c:pt idx="31">
                  <c:v>249.65574637233658</c:v>
                </c:pt>
                <c:pt idx="32">
                  <c:v>-3379.3241260061986</c:v>
                </c:pt>
                <c:pt idx="33">
                  <c:v>-1142.1128278775723</c:v>
                </c:pt>
                <c:pt idx="34">
                  <c:v>-1553.9681557317163</c:v>
                </c:pt>
                <c:pt idx="35">
                  <c:v>-21.302669748249173</c:v>
                </c:pt>
                <c:pt idx="36">
                  <c:v>-2383.8277449185043</c:v>
                </c:pt>
                <c:pt idx="37">
                  <c:v>1798.9118794909518</c:v>
                </c:pt>
                <c:pt idx="38">
                  <c:v>2316.8383926405077</c:v>
                </c:pt>
                <c:pt idx="39">
                  <c:v>-6653.9588547202802</c:v>
                </c:pt>
                <c:pt idx="40">
                  <c:v>-2097.6721482038993</c:v>
                </c:pt>
                <c:pt idx="41">
                  <c:v>-3460.8416947987789</c:v>
                </c:pt>
                <c:pt idx="42">
                  <c:v>-621.37592621568183</c:v>
                </c:pt>
                <c:pt idx="43">
                  <c:v>-8989.260364120375</c:v>
                </c:pt>
                <c:pt idx="44">
                  <c:v>-2449.2699973626659</c:v>
                </c:pt>
                <c:pt idx="45">
                  <c:v>276.81973535275756</c:v>
                </c:pt>
                <c:pt idx="46">
                  <c:v>2601.3514489029258</c:v>
                </c:pt>
                <c:pt idx="47">
                  <c:v>-3818.9702512899821</c:v>
                </c:pt>
                <c:pt idx="48">
                  <c:v>-10340.924801951878</c:v>
                </c:pt>
                <c:pt idx="49">
                  <c:v>-10264.937386008489</c:v>
                </c:pt>
                <c:pt idx="50">
                  <c:v>5200.5163163308753</c:v>
                </c:pt>
                <c:pt idx="51">
                  <c:v>7084.1366321731257</c:v>
                </c:pt>
                <c:pt idx="52">
                  <c:v>-2496.7449622153727</c:v>
                </c:pt>
                <c:pt idx="53">
                  <c:v>-3051.556543550716</c:v>
                </c:pt>
                <c:pt idx="54">
                  <c:v>-9470.5007096636691</c:v>
                </c:pt>
                <c:pt idx="55">
                  <c:v>-278.18887814984919</c:v>
                </c:pt>
                <c:pt idx="56">
                  <c:v>-838.46838133913116</c:v>
                </c:pt>
                <c:pt idx="57">
                  <c:v>11519.871447385514</c:v>
                </c:pt>
                <c:pt idx="58">
                  <c:v>-6992.1059682476553</c:v>
                </c:pt>
                <c:pt idx="59">
                  <c:v>-7140.8937514375066</c:v>
                </c:pt>
                <c:pt idx="60">
                  <c:v>952.10497243382997</c:v>
                </c:pt>
                <c:pt idx="61">
                  <c:v>658.98160524659761</c:v>
                </c:pt>
                <c:pt idx="62">
                  <c:v>-3009.2966061501429</c:v>
                </c:pt>
                <c:pt idx="63">
                  <c:v>-1778.6903457409644</c:v>
                </c:pt>
                <c:pt idx="64">
                  <c:v>-5119.1063578319372</c:v>
                </c:pt>
                <c:pt idx="65">
                  <c:v>2348.3013028246351</c:v>
                </c:pt>
                <c:pt idx="66">
                  <c:v>3633.4769290688346</c:v>
                </c:pt>
                <c:pt idx="67">
                  <c:v>-2287.5441033680254</c:v>
                </c:pt>
                <c:pt idx="68">
                  <c:v>13405.985114069437</c:v>
                </c:pt>
                <c:pt idx="69">
                  <c:v>56.242227950358938</c:v>
                </c:pt>
                <c:pt idx="70">
                  <c:v>5665.4556557155374</c:v>
                </c:pt>
                <c:pt idx="71">
                  <c:v>3016.9896597850602</c:v>
                </c:pt>
                <c:pt idx="72">
                  <c:v>3986.4649684962787</c:v>
                </c:pt>
                <c:pt idx="73">
                  <c:v>9059.6564327830638</c:v>
                </c:pt>
                <c:pt idx="74">
                  <c:v>5730.4297799986016</c:v>
                </c:pt>
                <c:pt idx="75">
                  <c:v>1301.9193195312691</c:v>
                </c:pt>
                <c:pt idx="76">
                  <c:v>-1313.0643562871264</c:v>
                </c:pt>
                <c:pt idx="77">
                  <c:v>-3176.869470144462</c:v>
                </c:pt>
                <c:pt idx="78">
                  <c:v>-1721.194256197261</c:v>
                </c:pt>
                <c:pt idx="79">
                  <c:v>-4634.6988043329111</c:v>
                </c:pt>
                <c:pt idx="80">
                  <c:v>2225.2529797200623</c:v>
                </c:pt>
                <c:pt idx="81">
                  <c:v>1344.22237732957</c:v>
                </c:pt>
                <c:pt idx="82">
                  <c:v>772.46990994997759</c:v>
                </c:pt>
                <c:pt idx="83">
                  <c:v>-1687.4828849572004</c:v>
                </c:pt>
                <c:pt idx="84">
                  <c:v>-2718.4509822373511</c:v>
                </c:pt>
                <c:pt idx="85">
                  <c:v>-458.07523756564478</c:v>
                </c:pt>
                <c:pt idx="86">
                  <c:v>3547.3544265024393</c:v>
                </c:pt>
                <c:pt idx="87">
                  <c:v>2344.3376075475171</c:v>
                </c:pt>
                <c:pt idx="88">
                  <c:v>3910.5230861252276</c:v>
                </c:pt>
                <c:pt idx="89">
                  <c:v>980.80453302118985</c:v>
                </c:pt>
                <c:pt idx="90">
                  <c:v>-2669.2398482923236</c:v>
                </c:pt>
                <c:pt idx="91">
                  <c:v>-1167.9857708140626</c:v>
                </c:pt>
                <c:pt idx="92">
                  <c:v>11142.886925097286</c:v>
                </c:pt>
                <c:pt idx="93">
                  <c:v>-4751.149051022112</c:v>
                </c:pt>
                <c:pt idx="94">
                  <c:v>2923.0309669273411</c:v>
                </c:pt>
                <c:pt idx="95">
                  <c:v>-631.31419040447508</c:v>
                </c:pt>
                <c:pt idx="96">
                  <c:v>-1267.7175160602201</c:v>
                </c:pt>
                <c:pt idx="97">
                  <c:v>2017.2045268450238</c:v>
                </c:pt>
                <c:pt idx="98">
                  <c:v>-2189.6874188055954</c:v>
                </c:pt>
                <c:pt idx="99">
                  <c:v>4672.9626082510076</c:v>
                </c:pt>
                <c:pt idx="100">
                  <c:v>3100.1688663473542</c:v>
                </c:pt>
                <c:pt idx="101">
                  <c:v>3654.5909186704084</c:v>
                </c:pt>
                <c:pt idx="102">
                  <c:v>10168.63253905045</c:v>
                </c:pt>
                <c:pt idx="103">
                  <c:v>-3106.2185893003698</c:v>
                </c:pt>
                <c:pt idx="104">
                  <c:v>17939.321296366543</c:v>
                </c:pt>
                <c:pt idx="105">
                  <c:v>-558.37680582423491</c:v>
                </c:pt>
                <c:pt idx="106">
                  <c:v>1680.732772927091</c:v>
                </c:pt>
                <c:pt idx="107">
                  <c:v>-168.11214117058989</c:v>
                </c:pt>
                <c:pt idx="108">
                  <c:v>-7308.5018024703459</c:v>
                </c:pt>
                <c:pt idx="109">
                  <c:v>3030.5338625615914</c:v>
                </c:pt>
                <c:pt idx="110">
                  <c:v>6285.7705294764601</c:v>
                </c:pt>
                <c:pt idx="111">
                  <c:v>-3435.6023284039184</c:v>
                </c:pt>
                <c:pt idx="112">
                  <c:v>8067.8111900715303</c:v>
                </c:pt>
                <c:pt idx="113">
                  <c:v>-3564.0595194148482</c:v>
                </c:pt>
                <c:pt idx="114">
                  <c:v>-3460.4125278672291</c:v>
                </c:pt>
                <c:pt idx="115">
                  <c:v>-5538.7984457456696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9A-AC4A-88D9-5145AE7F9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489200"/>
        <c:axId val="1681257296"/>
      </c:scatterChart>
      <c:valAx>
        <c:axId val="168148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Grad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1257296"/>
        <c:crosses val="autoZero"/>
        <c:crossBetween val="midCat"/>
      </c:valAx>
      <c:valAx>
        <c:axId val="16812572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14892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Debt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College!$E$2:$E$117</c:f>
              <c:numCache>
                <c:formatCode>General</c:formatCode>
                <c:ptCount val="116"/>
                <c:pt idx="0">
                  <c:v>88</c:v>
                </c:pt>
                <c:pt idx="1">
                  <c:v>92</c:v>
                </c:pt>
                <c:pt idx="2">
                  <c:v>87</c:v>
                </c:pt>
                <c:pt idx="3">
                  <c:v>92</c:v>
                </c:pt>
                <c:pt idx="4">
                  <c:v>93</c:v>
                </c:pt>
                <c:pt idx="5">
                  <c:v>98</c:v>
                </c:pt>
                <c:pt idx="6">
                  <c:v>95</c:v>
                </c:pt>
                <c:pt idx="7">
                  <c:v>90</c:v>
                </c:pt>
                <c:pt idx="8">
                  <c:v>95</c:v>
                </c:pt>
                <c:pt idx="9">
                  <c:v>92</c:v>
                </c:pt>
                <c:pt idx="10">
                  <c:v>83</c:v>
                </c:pt>
                <c:pt idx="11">
                  <c:v>89</c:v>
                </c:pt>
                <c:pt idx="12">
                  <c:v>87</c:v>
                </c:pt>
                <c:pt idx="13">
                  <c:v>94</c:v>
                </c:pt>
                <c:pt idx="14">
                  <c:v>88</c:v>
                </c:pt>
                <c:pt idx="15">
                  <c:v>85</c:v>
                </c:pt>
                <c:pt idx="16">
                  <c:v>98</c:v>
                </c:pt>
                <c:pt idx="17">
                  <c:v>71</c:v>
                </c:pt>
                <c:pt idx="18">
                  <c:v>90</c:v>
                </c:pt>
                <c:pt idx="19">
                  <c:v>95</c:v>
                </c:pt>
                <c:pt idx="20">
                  <c:v>90</c:v>
                </c:pt>
                <c:pt idx="21">
                  <c:v>86</c:v>
                </c:pt>
                <c:pt idx="22">
                  <c:v>93</c:v>
                </c:pt>
                <c:pt idx="23">
                  <c:v>90</c:v>
                </c:pt>
                <c:pt idx="24">
                  <c:v>96</c:v>
                </c:pt>
                <c:pt idx="25">
                  <c:v>81</c:v>
                </c:pt>
                <c:pt idx="26">
                  <c:v>91</c:v>
                </c:pt>
                <c:pt idx="27">
                  <c:v>89</c:v>
                </c:pt>
                <c:pt idx="28">
                  <c:v>96</c:v>
                </c:pt>
                <c:pt idx="29">
                  <c:v>96</c:v>
                </c:pt>
                <c:pt idx="30">
                  <c:v>82</c:v>
                </c:pt>
                <c:pt idx="31">
                  <c:v>77</c:v>
                </c:pt>
                <c:pt idx="32">
                  <c:v>88</c:v>
                </c:pt>
                <c:pt idx="33">
                  <c:v>81</c:v>
                </c:pt>
                <c:pt idx="34">
                  <c:v>92</c:v>
                </c:pt>
                <c:pt idx="35">
                  <c:v>95</c:v>
                </c:pt>
                <c:pt idx="36">
                  <c:v>91</c:v>
                </c:pt>
                <c:pt idx="37">
                  <c:v>95</c:v>
                </c:pt>
                <c:pt idx="38">
                  <c:v>87</c:v>
                </c:pt>
                <c:pt idx="39">
                  <c:v>87</c:v>
                </c:pt>
                <c:pt idx="40">
                  <c:v>95</c:v>
                </c:pt>
                <c:pt idx="41">
                  <c:v>80</c:v>
                </c:pt>
                <c:pt idx="42">
                  <c:v>96</c:v>
                </c:pt>
                <c:pt idx="43">
                  <c:v>80</c:v>
                </c:pt>
                <c:pt idx="44">
                  <c:v>96</c:v>
                </c:pt>
                <c:pt idx="45">
                  <c:v>93</c:v>
                </c:pt>
                <c:pt idx="46">
                  <c:v>93</c:v>
                </c:pt>
                <c:pt idx="47">
                  <c:v>88</c:v>
                </c:pt>
                <c:pt idx="48">
                  <c:v>86</c:v>
                </c:pt>
                <c:pt idx="49">
                  <c:v>96</c:v>
                </c:pt>
                <c:pt idx="50">
                  <c:v>93</c:v>
                </c:pt>
                <c:pt idx="51">
                  <c:v>74</c:v>
                </c:pt>
                <c:pt idx="52">
                  <c:v>83</c:v>
                </c:pt>
                <c:pt idx="53">
                  <c:v>90</c:v>
                </c:pt>
                <c:pt idx="54">
                  <c:v>76</c:v>
                </c:pt>
                <c:pt idx="55">
                  <c:v>89</c:v>
                </c:pt>
                <c:pt idx="56">
                  <c:v>95</c:v>
                </c:pt>
                <c:pt idx="57">
                  <c:v>78</c:v>
                </c:pt>
                <c:pt idx="58">
                  <c:v>87</c:v>
                </c:pt>
                <c:pt idx="59">
                  <c:v>81</c:v>
                </c:pt>
                <c:pt idx="60">
                  <c:v>89</c:v>
                </c:pt>
                <c:pt idx="61">
                  <c:v>91</c:v>
                </c:pt>
                <c:pt idx="62">
                  <c:v>93</c:v>
                </c:pt>
                <c:pt idx="63">
                  <c:v>93</c:v>
                </c:pt>
                <c:pt idx="64">
                  <c:v>78</c:v>
                </c:pt>
                <c:pt idx="65">
                  <c:v>87</c:v>
                </c:pt>
                <c:pt idx="66">
                  <c:v>79</c:v>
                </c:pt>
                <c:pt idx="67">
                  <c:v>86</c:v>
                </c:pt>
                <c:pt idx="68">
                  <c:v>86</c:v>
                </c:pt>
                <c:pt idx="69">
                  <c:v>93</c:v>
                </c:pt>
                <c:pt idx="70">
                  <c:v>52</c:v>
                </c:pt>
                <c:pt idx="71">
                  <c:v>96</c:v>
                </c:pt>
                <c:pt idx="72">
                  <c:v>96</c:v>
                </c:pt>
                <c:pt idx="73">
                  <c:v>85</c:v>
                </c:pt>
                <c:pt idx="74">
                  <c:v>84</c:v>
                </c:pt>
                <c:pt idx="75">
                  <c:v>89</c:v>
                </c:pt>
                <c:pt idx="76">
                  <c:v>90</c:v>
                </c:pt>
                <c:pt idx="77">
                  <c:v>89</c:v>
                </c:pt>
                <c:pt idx="78">
                  <c:v>93</c:v>
                </c:pt>
                <c:pt idx="79">
                  <c:v>83</c:v>
                </c:pt>
                <c:pt idx="80">
                  <c:v>90</c:v>
                </c:pt>
                <c:pt idx="81">
                  <c:v>92</c:v>
                </c:pt>
                <c:pt idx="82">
                  <c:v>93</c:v>
                </c:pt>
                <c:pt idx="83">
                  <c:v>67</c:v>
                </c:pt>
                <c:pt idx="84">
                  <c:v>80</c:v>
                </c:pt>
                <c:pt idx="85">
                  <c:v>86</c:v>
                </c:pt>
                <c:pt idx="86">
                  <c:v>84</c:v>
                </c:pt>
                <c:pt idx="87">
                  <c:v>95</c:v>
                </c:pt>
                <c:pt idx="88">
                  <c:v>93</c:v>
                </c:pt>
                <c:pt idx="89">
                  <c:v>86</c:v>
                </c:pt>
                <c:pt idx="90">
                  <c:v>90</c:v>
                </c:pt>
                <c:pt idx="91">
                  <c:v>91</c:v>
                </c:pt>
                <c:pt idx="92">
                  <c:v>95</c:v>
                </c:pt>
                <c:pt idx="93">
                  <c:v>87</c:v>
                </c:pt>
                <c:pt idx="94">
                  <c:v>96</c:v>
                </c:pt>
                <c:pt idx="95">
                  <c:v>92</c:v>
                </c:pt>
                <c:pt idx="96">
                  <c:v>86</c:v>
                </c:pt>
                <c:pt idx="97">
                  <c:v>90</c:v>
                </c:pt>
                <c:pt idx="98">
                  <c:v>94</c:v>
                </c:pt>
                <c:pt idx="99">
                  <c:v>91</c:v>
                </c:pt>
                <c:pt idx="100">
                  <c:v>93</c:v>
                </c:pt>
                <c:pt idx="101">
                  <c:v>92</c:v>
                </c:pt>
                <c:pt idx="102">
                  <c:v>87</c:v>
                </c:pt>
                <c:pt idx="103">
                  <c:v>87</c:v>
                </c:pt>
                <c:pt idx="104">
                  <c:v>89</c:v>
                </c:pt>
                <c:pt idx="105">
                  <c:v>90</c:v>
                </c:pt>
                <c:pt idx="106">
                  <c:v>93</c:v>
                </c:pt>
                <c:pt idx="107">
                  <c:v>92</c:v>
                </c:pt>
                <c:pt idx="108">
                  <c:v>86</c:v>
                </c:pt>
                <c:pt idx="109">
                  <c:v>82</c:v>
                </c:pt>
                <c:pt idx="110">
                  <c:v>92</c:v>
                </c:pt>
                <c:pt idx="111">
                  <c:v>86</c:v>
                </c:pt>
                <c:pt idx="112">
                  <c:v>83</c:v>
                </c:pt>
                <c:pt idx="113">
                  <c:v>93</c:v>
                </c:pt>
                <c:pt idx="114">
                  <c:v>76</c:v>
                </c:pt>
                <c:pt idx="115">
                  <c:v>90</c:v>
                </c:pt>
              </c:numCache>
            </c:numRef>
          </c:xVal>
          <c:yVal>
            <c:numRef>
              <c:f>College!$J$29:$J$144</c:f>
              <c:numCache>
                <c:formatCode>General</c:formatCode>
                <c:ptCount val="116"/>
                <c:pt idx="0">
                  <c:v>-1192.2025852577717</c:v>
                </c:pt>
                <c:pt idx="1">
                  <c:v>-1111.7861128658333</c:v>
                </c:pt>
                <c:pt idx="2">
                  <c:v>256.23161610359239</c:v>
                </c:pt>
                <c:pt idx="3">
                  <c:v>1350.5374147815892</c:v>
                </c:pt>
                <c:pt idx="4">
                  <c:v>-11239.922742043644</c:v>
                </c:pt>
                <c:pt idx="5">
                  <c:v>20189.030987017599</c:v>
                </c:pt>
                <c:pt idx="6">
                  <c:v>4618.1752656020835</c:v>
                </c:pt>
                <c:pt idx="7">
                  <c:v>3834.646154376911</c:v>
                </c:pt>
                <c:pt idx="8">
                  <c:v>-1278.4064650605869</c:v>
                </c:pt>
                <c:pt idx="9">
                  <c:v>2017.0431566207335</c:v>
                </c:pt>
                <c:pt idx="10">
                  <c:v>1730.3034056527322</c:v>
                </c:pt>
                <c:pt idx="11">
                  <c:v>-9493.0758577430024</c:v>
                </c:pt>
                <c:pt idx="12">
                  <c:v>-928.9066389620275</c:v>
                </c:pt>
                <c:pt idx="13">
                  <c:v>-6162.1350920453333</c:v>
                </c:pt>
                <c:pt idx="14">
                  <c:v>-3676.7841111455928</c:v>
                </c:pt>
                <c:pt idx="15">
                  <c:v>9180.4964903871223</c:v>
                </c:pt>
                <c:pt idx="16">
                  <c:v>-924.15451875413419</c:v>
                </c:pt>
                <c:pt idx="17">
                  <c:v>983.12472742250975</c:v>
                </c:pt>
                <c:pt idx="18">
                  <c:v>1495.6958055711802</c:v>
                </c:pt>
                <c:pt idx="19">
                  <c:v>-1917.9731303615408</c:v>
                </c:pt>
                <c:pt idx="20">
                  <c:v>-923.429411160163</c:v>
                </c:pt>
                <c:pt idx="21">
                  <c:v>4605.2988302635058</c:v>
                </c:pt>
                <c:pt idx="22">
                  <c:v>3422.4902055802231</c:v>
                </c:pt>
                <c:pt idx="23">
                  <c:v>9227.7090171246746</c:v>
                </c:pt>
                <c:pt idx="24">
                  <c:v>-12375.322548568409</c:v>
                </c:pt>
                <c:pt idx="25">
                  <c:v>-7399.9948883928082</c:v>
                </c:pt>
                <c:pt idx="26">
                  <c:v>3575.1567063621551</c:v>
                </c:pt>
                <c:pt idx="27">
                  <c:v>-2119.6395299831056</c:v>
                </c:pt>
                <c:pt idx="28">
                  <c:v>-7741.9734634992856</c:v>
                </c:pt>
                <c:pt idx="29">
                  <c:v>-7444.6130447176329</c:v>
                </c:pt>
                <c:pt idx="30">
                  <c:v>-6060.4856276786741</c:v>
                </c:pt>
                <c:pt idx="31">
                  <c:v>249.65574637233658</c:v>
                </c:pt>
                <c:pt idx="32">
                  <c:v>-3379.3241260061986</c:v>
                </c:pt>
                <c:pt idx="33">
                  <c:v>-1142.1128278775723</c:v>
                </c:pt>
                <c:pt idx="34">
                  <c:v>-1553.9681557317163</c:v>
                </c:pt>
                <c:pt idx="35">
                  <c:v>-21.302669748249173</c:v>
                </c:pt>
                <c:pt idx="36">
                  <c:v>-2383.8277449185043</c:v>
                </c:pt>
                <c:pt idx="37">
                  <c:v>1798.9118794909518</c:v>
                </c:pt>
                <c:pt idx="38">
                  <c:v>2316.8383926405077</c:v>
                </c:pt>
                <c:pt idx="39">
                  <c:v>-6653.9588547202802</c:v>
                </c:pt>
                <c:pt idx="40">
                  <c:v>-2097.6721482038993</c:v>
                </c:pt>
                <c:pt idx="41">
                  <c:v>-3460.8416947987789</c:v>
                </c:pt>
                <c:pt idx="42">
                  <c:v>-621.37592621568183</c:v>
                </c:pt>
                <c:pt idx="43">
                  <c:v>-8989.260364120375</c:v>
                </c:pt>
                <c:pt idx="44">
                  <c:v>-2449.2699973626659</c:v>
                </c:pt>
                <c:pt idx="45">
                  <c:v>276.81973535275756</c:v>
                </c:pt>
                <c:pt idx="46">
                  <c:v>2601.3514489029258</c:v>
                </c:pt>
                <c:pt idx="47">
                  <c:v>-3818.9702512899821</c:v>
                </c:pt>
                <c:pt idx="48">
                  <c:v>-10340.924801951878</c:v>
                </c:pt>
                <c:pt idx="49">
                  <c:v>-10264.937386008489</c:v>
                </c:pt>
                <c:pt idx="50">
                  <c:v>5200.5163163308753</c:v>
                </c:pt>
                <c:pt idx="51">
                  <c:v>7084.1366321731257</c:v>
                </c:pt>
                <c:pt idx="52">
                  <c:v>-2496.7449622153727</c:v>
                </c:pt>
                <c:pt idx="53">
                  <c:v>-3051.556543550716</c:v>
                </c:pt>
                <c:pt idx="54">
                  <c:v>-9470.5007096636691</c:v>
                </c:pt>
                <c:pt idx="55">
                  <c:v>-278.18887814984919</c:v>
                </c:pt>
                <c:pt idx="56">
                  <c:v>-838.46838133913116</c:v>
                </c:pt>
                <c:pt idx="57">
                  <c:v>11519.871447385514</c:v>
                </c:pt>
                <c:pt idx="58">
                  <c:v>-6992.1059682476553</c:v>
                </c:pt>
                <c:pt idx="59">
                  <c:v>-7140.8937514375066</c:v>
                </c:pt>
                <c:pt idx="60">
                  <c:v>952.10497243382997</c:v>
                </c:pt>
                <c:pt idx="61">
                  <c:v>658.98160524659761</c:v>
                </c:pt>
                <c:pt idx="62">
                  <c:v>-3009.2966061501429</c:v>
                </c:pt>
                <c:pt idx="63">
                  <c:v>-1778.6903457409644</c:v>
                </c:pt>
                <c:pt idx="64">
                  <c:v>-5119.1063578319372</c:v>
                </c:pt>
                <c:pt idx="65">
                  <c:v>2348.3013028246351</c:v>
                </c:pt>
                <c:pt idx="66">
                  <c:v>3633.4769290688346</c:v>
                </c:pt>
                <c:pt idx="67">
                  <c:v>-2287.5441033680254</c:v>
                </c:pt>
                <c:pt idx="68">
                  <c:v>13405.985114069437</c:v>
                </c:pt>
                <c:pt idx="69">
                  <c:v>56.242227950358938</c:v>
                </c:pt>
                <c:pt idx="70">
                  <c:v>5665.4556557155374</c:v>
                </c:pt>
                <c:pt idx="71">
                  <c:v>3016.9896597850602</c:v>
                </c:pt>
                <c:pt idx="72">
                  <c:v>3986.4649684962787</c:v>
                </c:pt>
                <c:pt idx="73">
                  <c:v>9059.6564327830638</c:v>
                </c:pt>
                <c:pt idx="74">
                  <c:v>5730.4297799986016</c:v>
                </c:pt>
                <c:pt idx="75">
                  <c:v>1301.9193195312691</c:v>
                </c:pt>
                <c:pt idx="76">
                  <c:v>-1313.0643562871264</c:v>
                </c:pt>
                <c:pt idx="77">
                  <c:v>-3176.869470144462</c:v>
                </c:pt>
                <c:pt idx="78">
                  <c:v>-1721.194256197261</c:v>
                </c:pt>
                <c:pt idx="79">
                  <c:v>-4634.6988043329111</c:v>
                </c:pt>
                <c:pt idx="80">
                  <c:v>2225.2529797200623</c:v>
                </c:pt>
                <c:pt idx="81">
                  <c:v>1344.22237732957</c:v>
                </c:pt>
                <c:pt idx="82">
                  <c:v>772.46990994997759</c:v>
                </c:pt>
                <c:pt idx="83">
                  <c:v>-1687.4828849572004</c:v>
                </c:pt>
                <c:pt idx="84">
                  <c:v>-2718.4509822373511</c:v>
                </c:pt>
                <c:pt idx="85">
                  <c:v>-458.07523756564478</c:v>
                </c:pt>
                <c:pt idx="86">
                  <c:v>3547.3544265024393</c:v>
                </c:pt>
                <c:pt idx="87">
                  <c:v>2344.3376075475171</c:v>
                </c:pt>
                <c:pt idx="88">
                  <c:v>3910.5230861252276</c:v>
                </c:pt>
                <c:pt idx="89">
                  <c:v>980.80453302118985</c:v>
                </c:pt>
                <c:pt idx="90">
                  <c:v>-2669.2398482923236</c:v>
                </c:pt>
                <c:pt idx="91">
                  <c:v>-1167.9857708140626</c:v>
                </c:pt>
                <c:pt idx="92">
                  <c:v>11142.886925097286</c:v>
                </c:pt>
                <c:pt idx="93">
                  <c:v>-4751.149051022112</c:v>
                </c:pt>
                <c:pt idx="94">
                  <c:v>2923.0309669273411</c:v>
                </c:pt>
                <c:pt idx="95">
                  <c:v>-631.31419040447508</c:v>
                </c:pt>
                <c:pt idx="96">
                  <c:v>-1267.7175160602201</c:v>
                </c:pt>
                <c:pt idx="97">
                  <c:v>2017.2045268450238</c:v>
                </c:pt>
                <c:pt idx="98">
                  <c:v>-2189.6874188055954</c:v>
                </c:pt>
                <c:pt idx="99">
                  <c:v>4672.9626082510076</c:v>
                </c:pt>
                <c:pt idx="100">
                  <c:v>3100.1688663473542</c:v>
                </c:pt>
                <c:pt idx="101">
                  <c:v>3654.5909186704084</c:v>
                </c:pt>
                <c:pt idx="102">
                  <c:v>10168.63253905045</c:v>
                </c:pt>
                <c:pt idx="103">
                  <c:v>-3106.2185893003698</c:v>
                </c:pt>
                <c:pt idx="104">
                  <c:v>17939.321296366543</c:v>
                </c:pt>
                <c:pt idx="105">
                  <c:v>-558.37680582423491</c:v>
                </c:pt>
                <c:pt idx="106">
                  <c:v>1680.732772927091</c:v>
                </c:pt>
                <c:pt idx="107">
                  <c:v>-168.11214117058989</c:v>
                </c:pt>
                <c:pt idx="108">
                  <c:v>-7308.5018024703459</c:v>
                </c:pt>
                <c:pt idx="109">
                  <c:v>3030.5338625615914</c:v>
                </c:pt>
                <c:pt idx="110">
                  <c:v>6285.7705294764601</c:v>
                </c:pt>
                <c:pt idx="111">
                  <c:v>-3435.6023284039184</c:v>
                </c:pt>
                <c:pt idx="112">
                  <c:v>8067.8111900715303</c:v>
                </c:pt>
                <c:pt idx="113">
                  <c:v>-3564.0595194148482</c:v>
                </c:pt>
                <c:pt idx="114">
                  <c:v>-3460.4125278672291</c:v>
                </c:pt>
                <c:pt idx="115">
                  <c:v>-5538.7984457456696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82-D542-BCA4-2D7975D80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3846991"/>
        <c:axId val="1373680783"/>
      </c:scatterChart>
      <c:valAx>
        <c:axId val="1373846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Debt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3680783"/>
        <c:crosses val="autoZero"/>
        <c:crossBetween val="midCat"/>
      </c:valAx>
      <c:valAx>
        <c:axId val="13736807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384699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City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College!$F$2:$F$117</c:f>
              <c:numCache>
                <c:formatCode>General</c:formatCode>
                <c:ptCount val="11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</c:numCache>
            </c:numRef>
          </c:xVal>
          <c:yVal>
            <c:numRef>
              <c:f>College!$J$29:$J$144</c:f>
              <c:numCache>
                <c:formatCode>General</c:formatCode>
                <c:ptCount val="116"/>
                <c:pt idx="0">
                  <c:v>-1192.2025852577717</c:v>
                </c:pt>
                <c:pt idx="1">
                  <c:v>-1111.7861128658333</c:v>
                </c:pt>
                <c:pt idx="2">
                  <c:v>256.23161610359239</c:v>
                </c:pt>
                <c:pt idx="3">
                  <c:v>1350.5374147815892</c:v>
                </c:pt>
                <c:pt idx="4">
                  <c:v>-11239.922742043644</c:v>
                </c:pt>
                <c:pt idx="5">
                  <c:v>20189.030987017599</c:v>
                </c:pt>
                <c:pt idx="6">
                  <c:v>4618.1752656020835</c:v>
                </c:pt>
                <c:pt idx="7">
                  <c:v>3834.646154376911</c:v>
                </c:pt>
                <c:pt idx="8">
                  <c:v>-1278.4064650605869</c:v>
                </c:pt>
                <c:pt idx="9">
                  <c:v>2017.0431566207335</c:v>
                </c:pt>
                <c:pt idx="10">
                  <c:v>1730.3034056527322</c:v>
                </c:pt>
                <c:pt idx="11">
                  <c:v>-9493.0758577430024</c:v>
                </c:pt>
                <c:pt idx="12">
                  <c:v>-928.9066389620275</c:v>
                </c:pt>
                <c:pt idx="13">
                  <c:v>-6162.1350920453333</c:v>
                </c:pt>
                <c:pt idx="14">
                  <c:v>-3676.7841111455928</c:v>
                </c:pt>
                <c:pt idx="15">
                  <c:v>9180.4964903871223</c:v>
                </c:pt>
                <c:pt idx="16">
                  <c:v>-924.15451875413419</c:v>
                </c:pt>
                <c:pt idx="17">
                  <c:v>983.12472742250975</c:v>
                </c:pt>
                <c:pt idx="18">
                  <c:v>1495.6958055711802</c:v>
                </c:pt>
                <c:pt idx="19">
                  <c:v>-1917.9731303615408</c:v>
                </c:pt>
                <c:pt idx="20">
                  <c:v>-923.429411160163</c:v>
                </c:pt>
                <c:pt idx="21">
                  <c:v>4605.2988302635058</c:v>
                </c:pt>
                <c:pt idx="22">
                  <c:v>3422.4902055802231</c:v>
                </c:pt>
                <c:pt idx="23">
                  <c:v>9227.7090171246746</c:v>
                </c:pt>
                <c:pt idx="24">
                  <c:v>-12375.322548568409</c:v>
                </c:pt>
                <c:pt idx="25">
                  <c:v>-7399.9948883928082</c:v>
                </c:pt>
                <c:pt idx="26">
                  <c:v>3575.1567063621551</c:v>
                </c:pt>
                <c:pt idx="27">
                  <c:v>-2119.6395299831056</c:v>
                </c:pt>
                <c:pt idx="28">
                  <c:v>-7741.9734634992856</c:v>
                </c:pt>
                <c:pt idx="29">
                  <c:v>-7444.6130447176329</c:v>
                </c:pt>
                <c:pt idx="30">
                  <c:v>-6060.4856276786741</c:v>
                </c:pt>
                <c:pt idx="31">
                  <c:v>249.65574637233658</c:v>
                </c:pt>
                <c:pt idx="32">
                  <c:v>-3379.3241260061986</c:v>
                </c:pt>
                <c:pt idx="33">
                  <c:v>-1142.1128278775723</c:v>
                </c:pt>
                <c:pt idx="34">
                  <c:v>-1553.9681557317163</c:v>
                </c:pt>
                <c:pt idx="35">
                  <c:v>-21.302669748249173</c:v>
                </c:pt>
                <c:pt idx="36">
                  <c:v>-2383.8277449185043</c:v>
                </c:pt>
                <c:pt idx="37">
                  <c:v>1798.9118794909518</c:v>
                </c:pt>
                <c:pt idx="38">
                  <c:v>2316.8383926405077</c:v>
                </c:pt>
                <c:pt idx="39">
                  <c:v>-6653.9588547202802</c:v>
                </c:pt>
                <c:pt idx="40">
                  <c:v>-2097.6721482038993</c:v>
                </c:pt>
                <c:pt idx="41">
                  <c:v>-3460.8416947987789</c:v>
                </c:pt>
                <c:pt idx="42">
                  <c:v>-621.37592621568183</c:v>
                </c:pt>
                <c:pt idx="43">
                  <c:v>-8989.260364120375</c:v>
                </c:pt>
                <c:pt idx="44">
                  <c:v>-2449.2699973626659</c:v>
                </c:pt>
                <c:pt idx="45">
                  <c:v>276.81973535275756</c:v>
                </c:pt>
                <c:pt idx="46">
                  <c:v>2601.3514489029258</c:v>
                </c:pt>
                <c:pt idx="47">
                  <c:v>-3818.9702512899821</c:v>
                </c:pt>
                <c:pt idx="48">
                  <c:v>-10340.924801951878</c:v>
                </c:pt>
                <c:pt idx="49">
                  <c:v>-10264.937386008489</c:v>
                </c:pt>
                <c:pt idx="50">
                  <c:v>5200.5163163308753</c:v>
                </c:pt>
                <c:pt idx="51">
                  <c:v>7084.1366321731257</c:v>
                </c:pt>
                <c:pt idx="52">
                  <c:v>-2496.7449622153727</c:v>
                </c:pt>
                <c:pt idx="53">
                  <c:v>-3051.556543550716</c:v>
                </c:pt>
                <c:pt idx="54">
                  <c:v>-9470.5007096636691</c:v>
                </c:pt>
                <c:pt idx="55">
                  <c:v>-278.18887814984919</c:v>
                </c:pt>
                <c:pt idx="56">
                  <c:v>-838.46838133913116</c:v>
                </c:pt>
                <c:pt idx="57">
                  <c:v>11519.871447385514</c:v>
                </c:pt>
                <c:pt idx="58">
                  <c:v>-6992.1059682476553</c:v>
                </c:pt>
                <c:pt idx="59">
                  <c:v>-7140.8937514375066</c:v>
                </c:pt>
                <c:pt idx="60">
                  <c:v>952.10497243382997</c:v>
                </c:pt>
                <c:pt idx="61">
                  <c:v>658.98160524659761</c:v>
                </c:pt>
                <c:pt idx="62">
                  <c:v>-3009.2966061501429</c:v>
                </c:pt>
                <c:pt idx="63">
                  <c:v>-1778.6903457409644</c:v>
                </c:pt>
                <c:pt idx="64">
                  <c:v>-5119.1063578319372</c:v>
                </c:pt>
                <c:pt idx="65">
                  <c:v>2348.3013028246351</c:v>
                </c:pt>
                <c:pt idx="66">
                  <c:v>3633.4769290688346</c:v>
                </c:pt>
                <c:pt idx="67">
                  <c:v>-2287.5441033680254</c:v>
                </c:pt>
                <c:pt idx="68">
                  <c:v>13405.985114069437</c:v>
                </c:pt>
                <c:pt idx="69">
                  <c:v>56.242227950358938</c:v>
                </c:pt>
                <c:pt idx="70">
                  <c:v>5665.4556557155374</c:v>
                </c:pt>
                <c:pt idx="71">
                  <c:v>3016.9896597850602</c:v>
                </c:pt>
                <c:pt idx="72">
                  <c:v>3986.4649684962787</c:v>
                </c:pt>
                <c:pt idx="73">
                  <c:v>9059.6564327830638</c:v>
                </c:pt>
                <c:pt idx="74">
                  <c:v>5730.4297799986016</c:v>
                </c:pt>
                <c:pt idx="75">
                  <c:v>1301.9193195312691</c:v>
                </c:pt>
                <c:pt idx="76">
                  <c:v>-1313.0643562871264</c:v>
                </c:pt>
                <c:pt idx="77">
                  <c:v>-3176.869470144462</c:v>
                </c:pt>
                <c:pt idx="78">
                  <c:v>-1721.194256197261</c:v>
                </c:pt>
                <c:pt idx="79">
                  <c:v>-4634.6988043329111</c:v>
                </c:pt>
                <c:pt idx="80">
                  <c:v>2225.2529797200623</c:v>
                </c:pt>
                <c:pt idx="81">
                  <c:v>1344.22237732957</c:v>
                </c:pt>
                <c:pt idx="82">
                  <c:v>772.46990994997759</c:v>
                </c:pt>
                <c:pt idx="83">
                  <c:v>-1687.4828849572004</c:v>
                </c:pt>
                <c:pt idx="84">
                  <c:v>-2718.4509822373511</c:v>
                </c:pt>
                <c:pt idx="85">
                  <c:v>-458.07523756564478</c:v>
                </c:pt>
                <c:pt idx="86">
                  <c:v>3547.3544265024393</c:v>
                </c:pt>
                <c:pt idx="87">
                  <c:v>2344.3376075475171</c:v>
                </c:pt>
                <c:pt idx="88">
                  <c:v>3910.5230861252276</c:v>
                </c:pt>
                <c:pt idx="89">
                  <c:v>980.80453302118985</c:v>
                </c:pt>
                <c:pt idx="90">
                  <c:v>-2669.2398482923236</c:v>
                </c:pt>
                <c:pt idx="91">
                  <c:v>-1167.9857708140626</c:v>
                </c:pt>
                <c:pt idx="92">
                  <c:v>11142.886925097286</c:v>
                </c:pt>
                <c:pt idx="93">
                  <c:v>-4751.149051022112</c:v>
                </c:pt>
                <c:pt idx="94">
                  <c:v>2923.0309669273411</c:v>
                </c:pt>
                <c:pt idx="95">
                  <c:v>-631.31419040447508</c:v>
                </c:pt>
                <c:pt idx="96">
                  <c:v>-1267.7175160602201</c:v>
                </c:pt>
                <c:pt idx="97">
                  <c:v>2017.2045268450238</c:v>
                </c:pt>
                <c:pt idx="98">
                  <c:v>-2189.6874188055954</c:v>
                </c:pt>
                <c:pt idx="99">
                  <c:v>4672.9626082510076</c:v>
                </c:pt>
                <c:pt idx="100">
                  <c:v>3100.1688663473542</c:v>
                </c:pt>
                <c:pt idx="101">
                  <c:v>3654.5909186704084</c:v>
                </c:pt>
                <c:pt idx="102">
                  <c:v>10168.63253905045</c:v>
                </c:pt>
                <c:pt idx="103">
                  <c:v>-3106.2185893003698</c:v>
                </c:pt>
                <c:pt idx="104">
                  <c:v>17939.321296366543</c:v>
                </c:pt>
                <c:pt idx="105">
                  <c:v>-558.37680582423491</c:v>
                </c:pt>
                <c:pt idx="106">
                  <c:v>1680.732772927091</c:v>
                </c:pt>
                <c:pt idx="107">
                  <c:v>-168.11214117058989</c:v>
                </c:pt>
                <c:pt idx="108">
                  <c:v>-7308.5018024703459</c:v>
                </c:pt>
                <c:pt idx="109">
                  <c:v>3030.5338625615914</c:v>
                </c:pt>
                <c:pt idx="110">
                  <c:v>6285.7705294764601</c:v>
                </c:pt>
                <c:pt idx="111">
                  <c:v>-3435.6023284039184</c:v>
                </c:pt>
                <c:pt idx="112">
                  <c:v>8067.8111900715303</c:v>
                </c:pt>
                <c:pt idx="113">
                  <c:v>-3564.0595194148482</c:v>
                </c:pt>
                <c:pt idx="114">
                  <c:v>-3460.4125278672291</c:v>
                </c:pt>
                <c:pt idx="115">
                  <c:v>-5538.7984457456696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BB-934B-A689-0F1195A95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46880"/>
        <c:axId val="1678595760"/>
      </c:scatterChart>
      <c:valAx>
        <c:axId val="1198446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City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8595760"/>
        <c:crosses val="autoZero"/>
        <c:crossBetween val="midCat"/>
      </c:valAx>
      <c:valAx>
        <c:axId val="1678595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844688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Cost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Earnings</c:v>
          </c:tx>
          <c:spPr>
            <a:ln w="19050">
              <a:noFill/>
            </a:ln>
          </c:spPr>
          <c:xVal>
            <c:numRef>
              <c:f>College!$C$2:$C$117</c:f>
              <c:numCache>
                <c:formatCode>General</c:formatCode>
                <c:ptCount val="116"/>
                <c:pt idx="0">
                  <c:v>22920</c:v>
                </c:pt>
                <c:pt idx="1">
                  <c:v>23429</c:v>
                </c:pt>
                <c:pt idx="2">
                  <c:v>19567</c:v>
                </c:pt>
                <c:pt idx="3">
                  <c:v>25147</c:v>
                </c:pt>
                <c:pt idx="4">
                  <c:v>21979</c:v>
                </c:pt>
                <c:pt idx="5">
                  <c:v>29886</c:v>
                </c:pt>
                <c:pt idx="6">
                  <c:v>34603</c:v>
                </c:pt>
                <c:pt idx="7">
                  <c:v>28107</c:v>
                </c:pt>
                <c:pt idx="8">
                  <c:v>23583</c:v>
                </c:pt>
                <c:pt idx="9">
                  <c:v>34086</c:v>
                </c:pt>
                <c:pt idx="10">
                  <c:v>19156</c:v>
                </c:pt>
                <c:pt idx="11">
                  <c:v>31564</c:v>
                </c:pt>
                <c:pt idx="12">
                  <c:v>33821</c:v>
                </c:pt>
                <c:pt idx="13">
                  <c:v>23415</c:v>
                </c:pt>
                <c:pt idx="14">
                  <c:v>22644</c:v>
                </c:pt>
                <c:pt idx="15">
                  <c:v>19647</c:v>
                </c:pt>
                <c:pt idx="16">
                  <c:v>23518</c:v>
                </c:pt>
                <c:pt idx="17">
                  <c:v>16575</c:v>
                </c:pt>
                <c:pt idx="18">
                  <c:v>27080</c:v>
                </c:pt>
                <c:pt idx="19">
                  <c:v>29678</c:v>
                </c:pt>
                <c:pt idx="20">
                  <c:v>21713</c:v>
                </c:pt>
                <c:pt idx="21">
                  <c:v>13902</c:v>
                </c:pt>
                <c:pt idx="22">
                  <c:v>27652</c:v>
                </c:pt>
                <c:pt idx="23">
                  <c:v>33742</c:v>
                </c:pt>
                <c:pt idx="24">
                  <c:v>19414</c:v>
                </c:pt>
                <c:pt idx="25">
                  <c:v>29864</c:v>
                </c:pt>
                <c:pt idx="26">
                  <c:v>19466</c:v>
                </c:pt>
                <c:pt idx="27">
                  <c:v>22787</c:v>
                </c:pt>
                <c:pt idx="28">
                  <c:v>31898</c:v>
                </c:pt>
                <c:pt idx="29">
                  <c:v>31810</c:v>
                </c:pt>
                <c:pt idx="30">
                  <c:v>21558</c:v>
                </c:pt>
                <c:pt idx="31">
                  <c:v>14398</c:v>
                </c:pt>
                <c:pt idx="32">
                  <c:v>24266</c:v>
                </c:pt>
                <c:pt idx="33">
                  <c:v>15403</c:v>
                </c:pt>
                <c:pt idx="34">
                  <c:v>24402</c:v>
                </c:pt>
                <c:pt idx="35">
                  <c:v>28155</c:v>
                </c:pt>
                <c:pt idx="36">
                  <c:v>24246</c:v>
                </c:pt>
                <c:pt idx="37">
                  <c:v>23162</c:v>
                </c:pt>
                <c:pt idx="38">
                  <c:v>20967</c:v>
                </c:pt>
                <c:pt idx="39">
                  <c:v>22231</c:v>
                </c:pt>
                <c:pt idx="40">
                  <c:v>30720</c:v>
                </c:pt>
                <c:pt idx="41">
                  <c:v>20252</c:v>
                </c:pt>
                <c:pt idx="42">
                  <c:v>31958</c:v>
                </c:pt>
                <c:pt idx="43">
                  <c:v>24423</c:v>
                </c:pt>
                <c:pt idx="44">
                  <c:v>24614</c:v>
                </c:pt>
                <c:pt idx="45">
                  <c:v>21531</c:v>
                </c:pt>
                <c:pt idx="46">
                  <c:v>23921</c:v>
                </c:pt>
                <c:pt idx="47">
                  <c:v>25316</c:v>
                </c:pt>
                <c:pt idx="48">
                  <c:v>32534</c:v>
                </c:pt>
                <c:pt idx="49">
                  <c:v>32636</c:v>
                </c:pt>
                <c:pt idx="50">
                  <c:v>24893</c:v>
                </c:pt>
                <c:pt idx="51">
                  <c:v>25613</c:v>
                </c:pt>
                <c:pt idx="52">
                  <c:v>21546</c:v>
                </c:pt>
                <c:pt idx="53">
                  <c:v>21127</c:v>
                </c:pt>
                <c:pt idx="54">
                  <c:v>33074</c:v>
                </c:pt>
                <c:pt idx="55">
                  <c:v>22473</c:v>
                </c:pt>
                <c:pt idx="56">
                  <c:v>20675</c:v>
                </c:pt>
                <c:pt idx="57">
                  <c:v>25918</c:v>
                </c:pt>
                <c:pt idx="58">
                  <c:v>22275</c:v>
                </c:pt>
                <c:pt idx="59">
                  <c:v>25539</c:v>
                </c:pt>
                <c:pt idx="60">
                  <c:v>15685</c:v>
                </c:pt>
                <c:pt idx="61">
                  <c:v>24730</c:v>
                </c:pt>
                <c:pt idx="62">
                  <c:v>25936</c:v>
                </c:pt>
                <c:pt idx="63">
                  <c:v>22204</c:v>
                </c:pt>
                <c:pt idx="64">
                  <c:v>28458</c:v>
                </c:pt>
                <c:pt idx="65">
                  <c:v>17437</c:v>
                </c:pt>
                <c:pt idx="66">
                  <c:v>19721</c:v>
                </c:pt>
                <c:pt idx="67">
                  <c:v>24850</c:v>
                </c:pt>
                <c:pt idx="68">
                  <c:v>24961</c:v>
                </c:pt>
                <c:pt idx="69">
                  <c:v>23486</c:v>
                </c:pt>
                <c:pt idx="70">
                  <c:v>13735</c:v>
                </c:pt>
                <c:pt idx="71">
                  <c:v>34841</c:v>
                </c:pt>
                <c:pt idx="72">
                  <c:v>35159</c:v>
                </c:pt>
                <c:pt idx="73">
                  <c:v>21046</c:v>
                </c:pt>
                <c:pt idx="74">
                  <c:v>9938</c:v>
                </c:pt>
                <c:pt idx="75">
                  <c:v>28210</c:v>
                </c:pt>
                <c:pt idx="76">
                  <c:v>19254</c:v>
                </c:pt>
                <c:pt idx="77">
                  <c:v>26451</c:v>
                </c:pt>
                <c:pt idx="78">
                  <c:v>33838</c:v>
                </c:pt>
                <c:pt idx="79">
                  <c:v>29427</c:v>
                </c:pt>
                <c:pt idx="80">
                  <c:v>22593</c:v>
                </c:pt>
                <c:pt idx="81">
                  <c:v>33557</c:v>
                </c:pt>
                <c:pt idx="82">
                  <c:v>29085</c:v>
                </c:pt>
                <c:pt idx="83">
                  <c:v>31293</c:v>
                </c:pt>
                <c:pt idx="84">
                  <c:v>27674</c:v>
                </c:pt>
                <c:pt idx="85">
                  <c:v>21815</c:v>
                </c:pt>
                <c:pt idx="86">
                  <c:v>27507</c:v>
                </c:pt>
                <c:pt idx="87">
                  <c:v>24954</c:v>
                </c:pt>
                <c:pt idx="88">
                  <c:v>28912</c:v>
                </c:pt>
                <c:pt idx="89">
                  <c:v>20845</c:v>
                </c:pt>
                <c:pt idx="90">
                  <c:v>16681</c:v>
                </c:pt>
                <c:pt idx="91">
                  <c:v>21455</c:v>
                </c:pt>
                <c:pt idx="92">
                  <c:v>30206</c:v>
                </c:pt>
                <c:pt idx="93">
                  <c:v>25702</c:v>
                </c:pt>
                <c:pt idx="94">
                  <c:v>22389</c:v>
                </c:pt>
                <c:pt idx="95">
                  <c:v>29362</c:v>
                </c:pt>
                <c:pt idx="96">
                  <c:v>29140</c:v>
                </c:pt>
                <c:pt idx="97">
                  <c:v>30394</c:v>
                </c:pt>
                <c:pt idx="98">
                  <c:v>32115</c:v>
                </c:pt>
                <c:pt idx="99">
                  <c:v>25057</c:v>
                </c:pt>
                <c:pt idx="100">
                  <c:v>26608</c:v>
                </c:pt>
                <c:pt idx="101">
                  <c:v>31593</c:v>
                </c:pt>
                <c:pt idx="102">
                  <c:v>31915</c:v>
                </c:pt>
                <c:pt idx="103">
                  <c:v>27955</c:v>
                </c:pt>
                <c:pt idx="104">
                  <c:v>30318</c:v>
                </c:pt>
                <c:pt idx="105">
                  <c:v>22124</c:v>
                </c:pt>
                <c:pt idx="106">
                  <c:v>26491</c:v>
                </c:pt>
                <c:pt idx="107">
                  <c:v>30255</c:v>
                </c:pt>
                <c:pt idx="108">
                  <c:v>19739</c:v>
                </c:pt>
                <c:pt idx="109">
                  <c:v>18292</c:v>
                </c:pt>
                <c:pt idx="110">
                  <c:v>28517</c:v>
                </c:pt>
                <c:pt idx="111">
                  <c:v>33181</c:v>
                </c:pt>
                <c:pt idx="112">
                  <c:v>27387</c:v>
                </c:pt>
                <c:pt idx="113">
                  <c:v>30312</c:v>
                </c:pt>
                <c:pt idx="114">
                  <c:v>15311</c:v>
                </c:pt>
                <c:pt idx="115">
                  <c:v>26616</c:v>
                </c:pt>
              </c:numCache>
            </c:numRef>
          </c:xVal>
          <c:yVal>
            <c:numRef>
              <c:f>College!$B$2:$B$117</c:f>
              <c:numCache>
                <c:formatCode>General</c:formatCode>
                <c:ptCount val="116"/>
                <c:pt idx="0">
                  <c:v>44800</c:v>
                </c:pt>
                <c:pt idx="1">
                  <c:v>45100</c:v>
                </c:pt>
                <c:pt idx="2">
                  <c:v>42300</c:v>
                </c:pt>
                <c:pt idx="3">
                  <c:v>49200</c:v>
                </c:pt>
                <c:pt idx="4">
                  <c:v>37900</c:v>
                </c:pt>
                <c:pt idx="5">
                  <c:v>74900</c:v>
                </c:pt>
                <c:pt idx="6">
                  <c:v>60600</c:v>
                </c:pt>
                <c:pt idx="7">
                  <c:v>52900</c:v>
                </c:pt>
                <c:pt idx="8">
                  <c:v>44000</c:v>
                </c:pt>
                <c:pt idx="9">
                  <c:v>54500</c:v>
                </c:pt>
                <c:pt idx="10">
                  <c:v>45200</c:v>
                </c:pt>
                <c:pt idx="11">
                  <c:v>40400</c:v>
                </c:pt>
                <c:pt idx="12">
                  <c:v>51800</c:v>
                </c:pt>
                <c:pt idx="13">
                  <c:v>44100</c:v>
                </c:pt>
                <c:pt idx="14">
                  <c:v>38600</c:v>
                </c:pt>
                <c:pt idx="15">
                  <c:v>51900</c:v>
                </c:pt>
                <c:pt idx="16">
                  <c:v>47600</c:v>
                </c:pt>
                <c:pt idx="17">
                  <c:v>35900</c:v>
                </c:pt>
                <c:pt idx="18">
                  <c:v>48300</c:v>
                </c:pt>
                <c:pt idx="19">
                  <c:v>52100</c:v>
                </c:pt>
                <c:pt idx="20">
                  <c:v>42300</c:v>
                </c:pt>
                <c:pt idx="21">
                  <c:v>44400</c:v>
                </c:pt>
                <c:pt idx="22">
                  <c:v>50900</c:v>
                </c:pt>
                <c:pt idx="23">
                  <c:v>61100</c:v>
                </c:pt>
                <c:pt idx="24">
                  <c:v>32300</c:v>
                </c:pt>
                <c:pt idx="25">
                  <c:v>40800</c:v>
                </c:pt>
                <c:pt idx="26">
                  <c:v>48100</c:v>
                </c:pt>
                <c:pt idx="27">
                  <c:v>43600</c:v>
                </c:pt>
                <c:pt idx="28">
                  <c:v>44500</c:v>
                </c:pt>
                <c:pt idx="29">
                  <c:v>42800</c:v>
                </c:pt>
                <c:pt idx="30">
                  <c:v>37600</c:v>
                </c:pt>
                <c:pt idx="31">
                  <c:v>34000</c:v>
                </c:pt>
                <c:pt idx="32">
                  <c:v>38000</c:v>
                </c:pt>
                <c:pt idx="33">
                  <c:v>39700</c:v>
                </c:pt>
                <c:pt idx="34">
                  <c:v>43300</c:v>
                </c:pt>
                <c:pt idx="35">
                  <c:v>52800</c:v>
                </c:pt>
                <c:pt idx="36">
                  <c:v>45500</c:v>
                </c:pt>
                <c:pt idx="37">
                  <c:v>50100</c:v>
                </c:pt>
                <c:pt idx="38">
                  <c:v>43400</c:v>
                </c:pt>
                <c:pt idx="39">
                  <c:v>40500</c:v>
                </c:pt>
                <c:pt idx="40">
                  <c:v>48600</c:v>
                </c:pt>
                <c:pt idx="41">
                  <c:v>37000</c:v>
                </c:pt>
                <c:pt idx="42">
                  <c:v>50400</c:v>
                </c:pt>
                <c:pt idx="43">
                  <c:v>35100</c:v>
                </c:pt>
                <c:pt idx="44">
                  <c:v>45200</c:v>
                </c:pt>
                <c:pt idx="45">
                  <c:v>49400</c:v>
                </c:pt>
                <c:pt idx="46">
                  <c:v>48100</c:v>
                </c:pt>
                <c:pt idx="47">
                  <c:v>40900</c:v>
                </c:pt>
                <c:pt idx="48">
                  <c:v>36700</c:v>
                </c:pt>
                <c:pt idx="49">
                  <c:v>43400</c:v>
                </c:pt>
                <c:pt idx="50">
                  <c:v>51300</c:v>
                </c:pt>
                <c:pt idx="51">
                  <c:v>46000</c:v>
                </c:pt>
                <c:pt idx="52">
                  <c:v>41300</c:v>
                </c:pt>
                <c:pt idx="53">
                  <c:v>42800</c:v>
                </c:pt>
                <c:pt idx="54">
                  <c:v>35500</c:v>
                </c:pt>
                <c:pt idx="55">
                  <c:v>42600</c:v>
                </c:pt>
                <c:pt idx="56">
                  <c:v>44600</c:v>
                </c:pt>
                <c:pt idx="57">
                  <c:v>50600</c:v>
                </c:pt>
                <c:pt idx="58">
                  <c:v>38400</c:v>
                </c:pt>
                <c:pt idx="59">
                  <c:v>39000</c:v>
                </c:pt>
                <c:pt idx="60">
                  <c:v>40700</c:v>
                </c:pt>
                <c:pt idx="61">
                  <c:v>50000</c:v>
                </c:pt>
                <c:pt idx="62">
                  <c:v>43900</c:v>
                </c:pt>
                <c:pt idx="63">
                  <c:v>45500</c:v>
                </c:pt>
                <c:pt idx="64">
                  <c:v>35600</c:v>
                </c:pt>
                <c:pt idx="65">
                  <c:v>44000</c:v>
                </c:pt>
                <c:pt idx="66">
                  <c:v>43900</c:v>
                </c:pt>
                <c:pt idx="67">
                  <c:v>41200</c:v>
                </c:pt>
                <c:pt idx="68">
                  <c:v>58400</c:v>
                </c:pt>
                <c:pt idx="69">
                  <c:v>45900</c:v>
                </c:pt>
                <c:pt idx="70">
                  <c:v>34700</c:v>
                </c:pt>
                <c:pt idx="71">
                  <c:v>59600</c:v>
                </c:pt>
                <c:pt idx="72">
                  <c:v>56400</c:v>
                </c:pt>
                <c:pt idx="73">
                  <c:v>53100</c:v>
                </c:pt>
                <c:pt idx="74">
                  <c:v>39600</c:v>
                </c:pt>
                <c:pt idx="75">
                  <c:v>48100</c:v>
                </c:pt>
                <c:pt idx="76">
                  <c:v>42800</c:v>
                </c:pt>
                <c:pt idx="77">
                  <c:v>42500</c:v>
                </c:pt>
                <c:pt idx="78">
                  <c:v>47200</c:v>
                </c:pt>
                <c:pt idx="79">
                  <c:v>42200</c:v>
                </c:pt>
                <c:pt idx="80">
                  <c:v>46900</c:v>
                </c:pt>
                <c:pt idx="81">
                  <c:v>55200</c:v>
                </c:pt>
                <c:pt idx="82">
                  <c:v>51400</c:v>
                </c:pt>
                <c:pt idx="83">
                  <c:v>46400</c:v>
                </c:pt>
                <c:pt idx="84">
                  <c:v>45100</c:v>
                </c:pt>
                <c:pt idx="85">
                  <c:v>42600</c:v>
                </c:pt>
                <c:pt idx="86">
                  <c:v>49900</c:v>
                </c:pt>
                <c:pt idx="87">
                  <c:v>50000</c:v>
                </c:pt>
                <c:pt idx="88">
                  <c:v>56600</c:v>
                </c:pt>
                <c:pt idx="89">
                  <c:v>46500</c:v>
                </c:pt>
                <c:pt idx="90">
                  <c:v>38900</c:v>
                </c:pt>
                <c:pt idx="91">
                  <c:v>44400</c:v>
                </c:pt>
                <c:pt idx="92">
                  <c:v>64500</c:v>
                </c:pt>
                <c:pt idx="93">
                  <c:v>43200</c:v>
                </c:pt>
                <c:pt idx="94">
                  <c:v>53200</c:v>
                </c:pt>
                <c:pt idx="95">
                  <c:v>51400</c:v>
                </c:pt>
                <c:pt idx="96">
                  <c:v>45900</c:v>
                </c:pt>
                <c:pt idx="97">
                  <c:v>52400</c:v>
                </c:pt>
                <c:pt idx="98">
                  <c:v>51500</c:v>
                </c:pt>
                <c:pt idx="99">
                  <c:v>53800</c:v>
                </c:pt>
                <c:pt idx="100">
                  <c:v>55500</c:v>
                </c:pt>
                <c:pt idx="101">
                  <c:v>56300</c:v>
                </c:pt>
                <c:pt idx="102">
                  <c:v>61000</c:v>
                </c:pt>
                <c:pt idx="103">
                  <c:v>44400</c:v>
                </c:pt>
                <c:pt idx="104">
                  <c:v>66400</c:v>
                </c:pt>
                <c:pt idx="105">
                  <c:v>43200</c:v>
                </c:pt>
                <c:pt idx="106">
                  <c:v>49900</c:v>
                </c:pt>
                <c:pt idx="107">
                  <c:v>48300</c:v>
                </c:pt>
                <c:pt idx="108">
                  <c:v>33600</c:v>
                </c:pt>
                <c:pt idx="109">
                  <c:v>43100</c:v>
                </c:pt>
                <c:pt idx="110">
                  <c:v>55100</c:v>
                </c:pt>
                <c:pt idx="111">
                  <c:v>45100</c:v>
                </c:pt>
                <c:pt idx="112">
                  <c:v>51700</c:v>
                </c:pt>
                <c:pt idx="113">
                  <c:v>49200</c:v>
                </c:pt>
                <c:pt idx="114">
                  <c:v>36100</c:v>
                </c:pt>
                <c:pt idx="115">
                  <c:v>42700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36-E54F-BD41-CA67A230BB0C}"/>
            </c:ext>
          </c:extLst>
        </c:ser>
        <c:ser>
          <c:idx val="1"/>
          <c:order val="1"/>
          <c:tx>
            <c:v>Predicted Earnings</c:v>
          </c:tx>
          <c:spPr>
            <a:ln w="19050">
              <a:noFill/>
            </a:ln>
          </c:spPr>
          <c:xVal>
            <c:numRef>
              <c:f>College!$C$2:$C$117</c:f>
              <c:numCache>
                <c:formatCode>General</c:formatCode>
                <c:ptCount val="116"/>
                <c:pt idx="0">
                  <c:v>22920</c:v>
                </c:pt>
                <c:pt idx="1">
                  <c:v>23429</c:v>
                </c:pt>
                <c:pt idx="2">
                  <c:v>19567</c:v>
                </c:pt>
                <c:pt idx="3">
                  <c:v>25147</c:v>
                </c:pt>
                <c:pt idx="4">
                  <c:v>21979</c:v>
                </c:pt>
                <c:pt idx="5">
                  <c:v>29886</c:v>
                </c:pt>
                <c:pt idx="6">
                  <c:v>34603</c:v>
                </c:pt>
                <c:pt idx="7">
                  <c:v>28107</c:v>
                </c:pt>
                <c:pt idx="8">
                  <c:v>23583</c:v>
                </c:pt>
                <c:pt idx="9">
                  <c:v>34086</c:v>
                </c:pt>
                <c:pt idx="10">
                  <c:v>19156</c:v>
                </c:pt>
                <c:pt idx="11">
                  <c:v>31564</c:v>
                </c:pt>
                <c:pt idx="12">
                  <c:v>33821</c:v>
                </c:pt>
                <c:pt idx="13">
                  <c:v>23415</c:v>
                </c:pt>
                <c:pt idx="14">
                  <c:v>22644</c:v>
                </c:pt>
                <c:pt idx="15">
                  <c:v>19647</c:v>
                </c:pt>
                <c:pt idx="16">
                  <c:v>23518</c:v>
                </c:pt>
                <c:pt idx="17">
                  <c:v>16575</c:v>
                </c:pt>
                <c:pt idx="18">
                  <c:v>27080</c:v>
                </c:pt>
                <c:pt idx="19">
                  <c:v>29678</c:v>
                </c:pt>
                <c:pt idx="20">
                  <c:v>21713</c:v>
                </c:pt>
                <c:pt idx="21">
                  <c:v>13902</c:v>
                </c:pt>
                <c:pt idx="22">
                  <c:v>27652</c:v>
                </c:pt>
                <c:pt idx="23">
                  <c:v>33742</c:v>
                </c:pt>
                <c:pt idx="24">
                  <c:v>19414</c:v>
                </c:pt>
                <c:pt idx="25">
                  <c:v>29864</c:v>
                </c:pt>
                <c:pt idx="26">
                  <c:v>19466</c:v>
                </c:pt>
                <c:pt idx="27">
                  <c:v>22787</c:v>
                </c:pt>
                <c:pt idx="28">
                  <c:v>31898</c:v>
                </c:pt>
                <c:pt idx="29">
                  <c:v>31810</c:v>
                </c:pt>
                <c:pt idx="30">
                  <c:v>21558</c:v>
                </c:pt>
                <c:pt idx="31">
                  <c:v>14398</c:v>
                </c:pt>
                <c:pt idx="32">
                  <c:v>24266</c:v>
                </c:pt>
                <c:pt idx="33">
                  <c:v>15403</c:v>
                </c:pt>
                <c:pt idx="34">
                  <c:v>24402</c:v>
                </c:pt>
                <c:pt idx="35">
                  <c:v>28155</c:v>
                </c:pt>
                <c:pt idx="36">
                  <c:v>24246</c:v>
                </c:pt>
                <c:pt idx="37">
                  <c:v>23162</c:v>
                </c:pt>
                <c:pt idx="38">
                  <c:v>20967</c:v>
                </c:pt>
                <c:pt idx="39">
                  <c:v>22231</c:v>
                </c:pt>
                <c:pt idx="40">
                  <c:v>30720</c:v>
                </c:pt>
                <c:pt idx="41">
                  <c:v>20252</c:v>
                </c:pt>
                <c:pt idx="42">
                  <c:v>31958</c:v>
                </c:pt>
                <c:pt idx="43">
                  <c:v>24423</c:v>
                </c:pt>
                <c:pt idx="44">
                  <c:v>24614</c:v>
                </c:pt>
                <c:pt idx="45">
                  <c:v>21531</c:v>
                </c:pt>
                <c:pt idx="46">
                  <c:v>23921</c:v>
                </c:pt>
                <c:pt idx="47">
                  <c:v>25316</c:v>
                </c:pt>
                <c:pt idx="48">
                  <c:v>32534</c:v>
                </c:pt>
                <c:pt idx="49">
                  <c:v>32636</c:v>
                </c:pt>
                <c:pt idx="50">
                  <c:v>24893</c:v>
                </c:pt>
                <c:pt idx="51">
                  <c:v>25613</c:v>
                </c:pt>
                <c:pt idx="52">
                  <c:v>21546</c:v>
                </c:pt>
                <c:pt idx="53">
                  <c:v>21127</c:v>
                </c:pt>
                <c:pt idx="54">
                  <c:v>33074</c:v>
                </c:pt>
                <c:pt idx="55">
                  <c:v>22473</c:v>
                </c:pt>
                <c:pt idx="56">
                  <c:v>20675</c:v>
                </c:pt>
                <c:pt idx="57">
                  <c:v>25918</c:v>
                </c:pt>
                <c:pt idx="58">
                  <c:v>22275</c:v>
                </c:pt>
                <c:pt idx="59">
                  <c:v>25539</c:v>
                </c:pt>
                <c:pt idx="60">
                  <c:v>15685</c:v>
                </c:pt>
                <c:pt idx="61">
                  <c:v>24730</c:v>
                </c:pt>
                <c:pt idx="62">
                  <c:v>25936</c:v>
                </c:pt>
                <c:pt idx="63">
                  <c:v>22204</c:v>
                </c:pt>
                <c:pt idx="64">
                  <c:v>28458</c:v>
                </c:pt>
                <c:pt idx="65">
                  <c:v>17437</c:v>
                </c:pt>
                <c:pt idx="66">
                  <c:v>19721</c:v>
                </c:pt>
                <c:pt idx="67">
                  <c:v>24850</c:v>
                </c:pt>
                <c:pt idx="68">
                  <c:v>24961</c:v>
                </c:pt>
                <c:pt idx="69">
                  <c:v>23486</c:v>
                </c:pt>
                <c:pt idx="70">
                  <c:v>13735</c:v>
                </c:pt>
                <c:pt idx="71">
                  <c:v>34841</c:v>
                </c:pt>
                <c:pt idx="72">
                  <c:v>35159</c:v>
                </c:pt>
                <c:pt idx="73">
                  <c:v>21046</c:v>
                </c:pt>
                <c:pt idx="74">
                  <c:v>9938</c:v>
                </c:pt>
                <c:pt idx="75">
                  <c:v>28210</c:v>
                </c:pt>
                <c:pt idx="76">
                  <c:v>19254</c:v>
                </c:pt>
                <c:pt idx="77">
                  <c:v>26451</c:v>
                </c:pt>
                <c:pt idx="78">
                  <c:v>33838</c:v>
                </c:pt>
                <c:pt idx="79">
                  <c:v>29427</c:v>
                </c:pt>
                <c:pt idx="80">
                  <c:v>22593</c:v>
                </c:pt>
                <c:pt idx="81">
                  <c:v>33557</c:v>
                </c:pt>
                <c:pt idx="82">
                  <c:v>29085</c:v>
                </c:pt>
                <c:pt idx="83">
                  <c:v>31293</c:v>
                </c:pt>
                <c:pt idx="84">
                  <c:v>27674</c:v>
                </c:pt>
                <c:pt idx="85">
                  <c:v>21815</c:v>
                </c:pt>
                <c:pt idx="86">
                  <c:v>27507</c:v>
                </c:pt>
                <c:pt idx="87">
                  <c:v>24954</c:v>
                </c:pt>
                <c:pt idx="88">
                  <c:v>28912</c:v>
                </c:pt>
                <c:pt idx="89">
                  <c:v>20845</c:v>
                </c:pt>
                <c:pt idx="90">
                  <c:v>16681</c:v>
                </c:pt>
                <c:pt idx="91">
                  <c:v>21455</c:v>
                </c:pt>
                <c:pt idx="92">
                  <c:v>30206</c:v>
                </c:pt>
                <c:pt idx="93">
                  <c:v>25702</c:v>
                </c:pt>
                <c:pt idx="94">
                  <c:v>22389</c:v>
                </c:pt>
                <c:pt idx="95">
                  <c:v>29362</c:v>
                </c:pt>
                <c:pt idx="96">
                  <c:v>29140</c:v>
                </c:pt>
                <c:pt idx="97">
                  <c:v>30394</c:v>
                </c:pt>
                <c:pt idx="98">
                  <c:v>32115</c:v>
                </c:pt>
                <c:pt idx="99">
                  <c:v>25057</c:v>
                </c:pt>
                <c:pt idx="100">
                  <c:v>26608</c:v>
                </c:pt>
                <c:pt idx="101">
                  <c:v>31593</c:v>
                </c:pt>
                <c:pt idx="102">
                  <c:v>31915</c:v>
                </c:pt>
                <c:pt idx="103">
                  <c:v>27955</c:v>
                </c:pt>
                <c:pt idx="104">
                  <c:v>30318</c:v>
                </c:pt>
                <c:pt idx="105">
                  <c:v>22124</c:v>
                </c:pt>
                <c:pt idx="106">
                  <c:v>26491</c:v>
                </c:pt>
                <c:pt idx="107">
                  <c:v>30255</c:v>
                </c:pt>
                <c:pt idx="108">
                  <c:v>19739</c:v>
                </c:pt>
                <c:pt idx="109">
                  <c:v>18292</c:v>
                </c:pt>
                <c:pt idx="110">
                  <c:v>28517</c:v>
                </c:pt>
                <c:pt idx="111">
                  <c:v>33181</c:v>
                </c:pt>
                <c:pt idx="112">
                  <c:v>27387</c:v>
                </c:pt>
                <c:pt idx="113">
                  <c:v>30312</c:v>
                </c:pt>
                <c:pt idx="114">
                  <c:v>15311</c:v>
                </c:pt>
                <c:pt idx="115">
                  <c:v>26616</c:v>
                </c:pt>
              </c:numCache>
            </c:numRef>
          </c:xVal>
          <c:yVal>
            <c:numRef>
              <c:f>College!$I$29:$I$144</c:f>
              <c:numCache>
                <c:formatCode>General</c:formatCode>
                <c:ptCount val="116"/>
                <c:pt idx="0">
                  <c:v>45992.202585257772</c:v>
                </c:pt>
                <c:pt idx="1">
                  <c:v>46211.786112865833</c:v>
                </c:pt>
                <c:pt idx="2">
                  <c:v>42043.768383896408</c:v>
                </c:pt>
                <c:pt idx="3">
                  <c:v>47849.462585218411</c:v>
                </c:pt>
                <c:pt idx="4">
                  <c:v>49139.922742043644</c:v>
                </c:pt>
                <c:pt idx="5">
                  <c:v>54710.969012982401</c:v>
                </c:pt>
                <c:pt idx="6">
                  <c:v>55981.824734397916</c:v>
                </c:pt>
                <c:pt idx="7">
                  <c:v>49065.353845623089</c:v>
                </c:pt>
                <c:pt idx="8">
                  <c:v>45278.406465060587</c:v>
                </c:pt>
                <c:pt idx="9">
                  <c:v>52482.956843379267</c:v>
                </c:pt>
                <c:pt idx="10">
                  <c:v>43469.696594347268</c:v>
                </c:pt>
                <c:pt idx="11">
                  <c:v>49893.075857743002</c:v>
                </c:pt>
                <c:pt idx="12">
                  <c:v>52728.906638962028</c:v>
                </c:pt>
                <c:pt idx="13">
                  <c:v>50262.135092045333</c:v>
                </c:pt>
                <c:pt idx="14">
                  <c:v>42276.784111145593</c:v>
                </c:pt>
                <c:pt idx="15">
                  <c:v>42719.503509612878</c:v>
                </c:pt>
                <c:pt idx="16">
                  <c:v>48524.154518754134</c:v>
                </c:pt>
                <c:pt idx="17">
                  <c:v>34916.87527257749</c:v>
                </c:pt>
                <c:pt idx="18">
                  <c:v>46804.30419442882</c:v>
                </c:pt>
                <c:pt idx="19">
                  <c:v>54017.973130361541</c:v>
                </c:pt>
                <c:pt idx="20">
                  <c:v>43223.429411160163</c:v>
                </c:pt>
                <c:pt idx="21">
                  <c:v>39794.701169736494</c:v>
                </c:pt>
                <c:pt idx="22">
                  <c:v>47477.509794419777</c:v>
                </c:pt>
                <c:pt idx="23">
                  <c:v>51872.290982875325</c:v>
                </c:pt>
                <c:pt idx="24">
                  <c:v>44675.322548568409</c:v>
                </c:pt>
                <c:pt idx="25">
                  <c:v>48199.994888392808</c:v>
                </c:pt>
                <c:pt idx="26">
                  <c:v>44524.843293637845</c:v>
                </c:pt>
                <c:pt idx="27">
                  <c:v>45719.639529983106</c:v>
                </c:pt>
                <c:pt idx="28">
                  <c:v>52241.973463499286</c:v>
                </c:pt>
                <c:pt idx="29">
                  <c:v>50244.613044717633</c:v>
                </c:pt>
                <c:pt idx="30">
                  <c:v>43660.485627678674</c:v>
                </c:pt>
                <c:pt idx="31">
                  <c:v>33750.344253627663</c:v>
                </c:pt>
                <c:pt idx="32">
                  <c:v>41379.324126006199</c:v>
                </c:pt>
                <c:pt idx="33">
                  <c:v>40842.112827877572</c:v>
                </c:pt>
                <c:pt idx="34">
                  <c:v>44853.968155731716</c:v>
                </c:pt>
                <c:pt idx="35">
                  <c:v>52821.302669748249</c:v>
                </c:pt>
                <c:pt idx="36">
                  <c:v>47883.827744918504</c:v>
                </c:pt>
                <c:pt idx="37">
                  <c:v>48301.088120509048</c:v>
                </c:pt>
                <c:pt idx="38">
                  <c:v>41083.161607359492</c:v>
                </c:pt>
                <c:pt idx="39">
                  <c:v>47153.95885472028</c:v>
                </c:pt>
                <c:pt idx="40">
                  <c:v>50697.672148203899</c:v>
                </c:pt>
                <c:pt idx="41">
                  <c:v>40460.841694798779</c:v>
                </c:pt>
                <c:pt idx="42">
                  <c:v>51021.375926215682</c:v>
                </c:pt>
                <c:pt idx="43">
                  <c:v>44089.260364120375</c:v>
                </c:pt>
                <c:pt idx="44">
                  <c:v>47649.269997362666</c:v>
                </c:pt>
                <c:pt idx="45">
                  <c:v>49123.180264647242</c:v>
                </c:pt>
                <c:pt idx="46">
                  <c:v>45498.648551097074</c:v>
                </c:pt>
                <c:pt idx="47">
                  <c:v>44718.970251289982</c:v>
                </c:pt>
                <c:pt idx="48">
                  <c:v>47040.924801951878</c:v>
                </c:pt>
                <c:pt idx="49">
                  <c:v>53664.937386008489</c:v>
                </c:pt>
                <c:pt idx="50">
                  <c:v>46099.483683669125</c:v>
                </c:pt>
                <c:pt idx="51">
                  <c:v>38915.863367826874</c:v>
                </c:pt>
                <c:pt idx="52">
                  <c:v>43796.744962215373</c:v>
                </c:pt>
                <c:pt idx="53">
                  <c:v>45851.556543550716</c:v>
                </c:pt>
                <c:pt idx="54">
                  <c:v>44970.500709663669</c:v>
                </c:pt>
                <c:pt idx="55">
                  <c:v>42878.188878149849</c:v>
                </c:pt>
                <c:pt idx="56">
                  <c:v>45438.468381339131</c:v>
                </c:pt>
                <c:pt idx="57">
                  <c:v>39080.128552614486</c:v>
                </c:pt>
                <c:pt idx="58">
                  <c:v>45392.105968247655</c:v>
                </c:pt>
                <c:pt idx="59">
                  <c:v>46140.893751437507</c:v>
                </c:pt>
                <c:pt idx="60">
                  <c:v>39747.89502756617</c:v>
                </c:pt>
                <c:pt idx="61">
                  <c:v>49341.018394753402</c:v>
                </c:pt>
                <c:pt idx="62">
                  <c:v>46909.296606150143</c:v>
                </c:pt>
                <c:pt idx="63">
                  <c:v>47278.690345740964</c:v>
                </c:pt>
                <c:pt idx="64">
                  <c:v>40719.106357831937</c:v>
                </c:pt>
                <c:pt idx="65">
                  <c:v>41651.698697175365</c:v>
                </c:pt>
                <c:pt idx="66">
                  <c:v>40266.523070931165</c:v>
                </c:pt>
                <c:pt idx="67">
                  <c:v>43487.544103368025</c:v>
                </c:pt>
                <c:pt idx="68">
                  <c:v>44994.014885930563</c:v>
                </c:pt>
                <c:pt idx="69">
                  <c:v>45843.757772049641</c:v>
                </c:pt>
                <c:pt idx="70">
                  <c:v>29034.544344284463</c:v>
                </c:pt>
                <c:pt idx="71">
                  <c:v>56583.01034021494</c:v>
                </c:pt>
                <c:pt idx="72">
                  <c:v>52413.535031503721</c:v>
                </c:pt>
                <c:pt idx="73">
                  <c:v>44040.343567216936</c:v>
                </c:pt>
                <c:pt idx="74">
                  <c:v>33869.570220001398</c:v>
                </c:pt>
                <c:pt idx="75">
                  <c:v>46798.080680468731</c:v>
                </c:pt>
                <c:pt idx="76">
                  <c:v>44113.064356287126</c:v>
                </c:pt>
                <c:pt idx="77">
                  <c:v>45676.869470144462</c:v>
                </c:pt>
                <c:pt idx="78">
                  <c:v>48921.194256197261</c:v>
                </c:pt>
                <c:pt idx="79">
                  <c:v>46834.698804332911</c:v>
                </c:pt>
                <c:pt idx="80">
                  <c:v>44674.747020279938</c:v>
                </c:pt>
                <c:pt idx="81">
                  <c:v>53855.77762267043</c:v>
                </c:pt>
                <c:pt idx="82">
                  <c:v>50627.530090050022</c:v>
                </c:pt>
                <c:pt idx="83">
                  <c:v>48087.4828849572</c:v>
                </c:pt>
                <c:pt idx="84">
                  <c:v>47818.450982237351</c:v>
                </c:pt>
                <c:pt idx="85">
                  <c:v>43058.075237565645</c:v>
                </c:pt>
                <c:pt idx="86">
                  <c:v>46352.645573497561</c:v>
                </c:pt>
                <c:pt idx="87">
                  <c:v>47655.662392452483</c:v>
                </c:pt>
                <c:pt idx="88">
                  <c:v>52689.476913874772</c:v>
                </c:pt>
                <c:pt idx="89">
                  <c:v>45519.19546697881</c:v>
                </c:pt>
                <c:pt idx="90">
                  <c:v>41569.239848292324</c:v>
                </c:pt>
                <c:pt idx="91">
                  <c:v>45567.985770814063</c:v>
                </c:pt>
                <c:pt idx="92">
                  <c:v>53357.113074902714</c:v>
                </c:pt>
                <c:pt idx="93">
                  <c:v>47951.149051022112</c:v>
                </c:pt>
                <c:pt idx="94">
                  <c:v>50276.969033072659</c:v>
                </c:pt>
                <c:pt idx="95">
                  <c:v>52031.314190404475</c:v>
                </c:pt>
                <c:pt idx="96">
                  <c:v>47167.71751606022</c:v>
                </c:pt>
                <c:pt idx="97">
                  <c:v>50382.795473154976</c:v>
                </c:pt>
                <c:pt idx="98">
                  <c:v>53689.687418805595</c:v>
                </c:pt>
                <c:pt idx="99">
                  <c:v>49127.037391748992</c:v>
                </c:pt>
                <c:pt idx="100">
                  <c:v>52399.831133652646</c:v>
                </c:pt>
                <c:pt idx="101">
                  <c:v>52645.409081329592</c:v>
                </c:pt>
                <c:pt idx="102">
                  <c:v>50831.36746094955</c:v>
                </c:pt>
                <c:pt idx="103">
                  <c:v>47506.21858930037</c:v>
                </c:pt>
                <c:pt idx="104">
                  <c:v>48460.678703633457</c:v>
                </c:pt>
                <c:pt idx="105">
                  <c:v>43758.376805824235</c:v>
                </c:pt>
                <c:pt idx="106">
                  <c:v>48219.267227072909</c:v>
                </c:pt>
                <c:pt idx="107">
                  <c:v>48468.11214117059</c:v>
                </c:pt>
                <c:pt idx="108">
                  <c:v>40908.501802470346</c:v>
                </c:pt>
                <c:pt idx="109">
                  <c:v>40069.466137438409</c:v>
                </c:pt>
                <c:pt idx="110">
                  <c:v>48814.22947052354</c:v>
                </c:pt>
                <c:pt idx="111">
                  <c:v>48535.602328403918</c:v>
                </c:pt>
                <c:pt idx="112">
                  <c:v>43632.18880992847</c:v>
                </c:pt>
                <c:pt idx="113">
                  <c:v>52764.059519414848</c:v>
                </c:pt>
                <c:pt idx="114">
                  <c:v>39560.412527867229</c:v>
                </c:pt>
                <c:pt idx="115">
                  <c:v>48238.79844574567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36-E54F-BD41-CA67A230B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081792"/>
        <c:axId val="1196010736"/>
      </c:scatterChart>
      <c:valAx>
        <c:axId val="1196081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6010736"/>
        <c:crosses val="autoZero"/>
        <c:crossBetween val="midCat"/>
      </c:valAx>
      <c:valAx>
        <c:axId val="119601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Earnings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60817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Grad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Earnings</c:v>
          </c:tx>
          <c:spPr>
            <a:ln w="19050">
              <a:noFill/>
            </a:ln>
          </c:spPr>
          <c:xVal>
            <c:numRef>
              <c:f>College!$D$2:$D$117</c:f>
              <c:numCache>
                <c:formatCode>General</c:formatCode>
                <c:ptCount val="116"/>
                <c:pt idx="0">
                  <c:v>62</c:v>
                </c:pt>
                <c:pt idx="1">
                  <c:v>73</c:v>
                </c:pt>
                <c:pt idx="2">
                  <c:v>63</c:v>
                </c:pt>
                <c:pt idx="3">
                  <c:v>78</c:v>
                </c:pt>
                <c:pt idx="4">
                  <c:v>78</c:v>
                </c:pt>
                <c:pt idx="5">
                  <c:v>86</c:v>
                </c:pt>
                <c:pt idx="6">
                  <c:v>84</c:v>
                </c:pt>
                <c:pt idx="7">
                  <c:v>65</c:v>
                </c:pt>
                <c:pt idx="8">
                  <c:v>65</c:v>
                </c:pt>
                <c:pt idx="9">
                  <c:v>68</c:v>
                </c:pt>
                <c:pt idx="10">
                  <c:v>61</c:v>
                </c:pt>
                <c:pt idx="11">
                  <c:v>62</c:v>
                </c:pt>
                <c:pt idx="12">
                  <c:v>74</c:v>
                </c:pt>
                <c:pt idx="13">
                  <c:v>80</c:v>
                </c:pt>
                <c:pt idx="14">
                  <c:v>56</c:v>
                </c:pt>
                <c:pt idx="15">
                  <c:v>54</c:v>
                </c:pt>
                <c:pt idx="16">
                  <c:v>81</c:v>
                </c:pt>
                <c:pt idx="17">
                  <c:v>43</c:v>
                </c:pt>
                <c:pt idx="18">
                  <c:v>69</c:v>
                </c:pt>
                <c:pt idx="19">
                  <c:v>85</c:v>
                </c:pt>
                <c:pt idx="20">
                  <c:v>62</c:v>
                </c:pt>
                <c:pt idx="21">
                  <c:v>65</c:v>
                </c:pt>
                <c:pt idx="22">
                  <c:v>69</c:v>
                </c:pt>
                <c:pt idx="23">
                  <c:v>67</c:v>
                </c:pt>
                <c:pt idx="24">
                  <c:v>71</c:v>
                </c:pt>
                <c:pt idx="25">
                  <c:v>63</c:v>
                </c:pt>
                <c:pt idx="26">
                  <c:v>74</c:v>
                </c:pt>
                <c:pt idx="27">
                  <c:v>60</c:v>
                </c:pt>
                <c:pt idx="28">
                  <c:v>83</c:v>
                </c:pt>
                <c:pt idx="29">
                  <c:v>72</c:v>
                </c:pt>
                <c:pt idx="30">
                  <c:v>57</c:v>
                </c:pt>
                <c:pt idx="31">
                  <c:v>37</c:v>
                </c:pt>
                <c:pt idx="32">
                  <c:v>47</c:v>
                </c:pt>
                <c:pt idx="33">
                  <c:v>57</c:v>
                </c:pt>
                <c:pt idx="34">
                  <c:v>63</c:v>
                </c:pt>
                <c:pt idx="35">
                  <c:v>82</c:v>
                </c:pt>
                <c:pt idx="36">
                  <c:v>67</c:v>
                </c:pt>
                <c:pt idx="37">
                  <c:v>83</c:v>
                </c:pt>
                <c:pt idx="38">
                  <c:v>40</c:v>
                </c:pt>
                <c:pt idx="39">
                  <c:v>71</c:v>
                </c:pt>
                <c:pt idx="40">
                  <c:v>78</c:v>
                </c:pt>
                <c:pt idx="41">
                  <c:v>58</c:v>
                </c:pt>
                <c:pt idx="42">
                  <c:v>76</c:v>
                </c:pt>
                <c:pt idx="43">
                  <c:v>54</c:v>
                </c:pt>
                <c:pt idx="44">
                  <c:v>75</c:v>
                </c:pt>
                <c:pt idx="45">
                  <c:v>79</c:v>
                </c:pt>
                <c:pt idx="46">
                  <c:v>67</c:v>
                </c:pt>
                <c:pt idx="47">
                  <c:v>49</c:v>
                </c:pt>
                <c:pt idx="48">
                  <c:v>46</c:v>
                </c:pt>
                <c:pt idx="49">
                  <c:v>75</c:v>
                </c:pt>
                <c:pt idx="50">
                  <c:v>68</c:v>
                </c:pt>
                <c:pt idx="51">
                  <c:v>41</c:v>
                </c:pt>
                <c:pt idx="52">
                  <c:v>57</c:v>
                </c:pt>
                <c:pt idx="53">
                  <c:v>64</c:v>
                </c:pt>
                <c:pt idx="54">
                  <c:v>41</c:v>
                </c:pt>
                <c:pt idx="55">
                  <c:v>59</c:v>
                </c:pt>
                <c:pt idx="56">
                  <c:v>73</c:v>
                </c:pt>
                <c:pt idx="57">
                  <c:v>38</c:v>
                </c:pt>
                <c:pt idx="58">
                  <c:v>61</c:v>
                </c:pt>
                <c:pt idx="59">
                  <c:v>62</c:v>
                </c:pt>
                <c:pt idx="60">
                  <c:v>58</c:v>
                </c:pt>
                <c:pt idx="61">
                  <c:v>74</c:v>
                </c:pt>
                <c:pt idx="62">
                  <c:v>70</c:v>
                </c:pt>
                <c:pt idx="63">
                  <c:v>67</c:v>
                </c:pt>
                <c:pt idx="64">
                  <c:v>41</c:v>
                </c:pt>
                <c:pt idx="65">
                  <c:v>66</c:v>
                </c:pt>
                <c:pt idx="66">
                  <c:v>59</c:v>
                </c:pt>
                <c:pt idx="67">
                  <c:v>59</c:v>
                </c:pt>
                <c:pt idx="68">
                  <c:v>53</c:v>
                </c:pt>
                <c:pt idx="69">
                  <c:v>70</c:v>
                </c:pt>
                <c:pt idx="70">
                  <c:v>32</c:v>
                </c:pt>
                <c:pt idx="71">
                  <c:v>86</c:v>
                </c:pt>
                <c:pt idx="72">
                  <c:v>76</c:v>
                </c:pt>
                <c:pt idx="73">
                  <c:v>58</c:v>
                </c:pt>
                <c:pt idx="74">
                  <c:v>43</c:v>
                </c:pt>
                <c:pt idx="75">
                  <c:v>67</c:v>
                </c:pt>
                <c:pt idx="76">
                  <c:v>73</c:v>
                </c:pt>
                <c:pt idx="77">
                  <c:v>65</c:v>
                </c:pt>
                <c:pt idx="78">
                  <c:v>62</c:v>
                </c:pt>
                <c:pt idx="79">
                  <c:v>69</c:v>
                </c:pt>
                <c:pt idx="80">
                  <c:v>68</c:v>
                </c:pt>
                <c:pt idx="81">
                  <c:v>77</c:v>
                </c:pt>
                <c:pt idx="82">
                  <c:v>69</c:v>
                </c:pt>
                <c:pt idx="83">
                  <c:v>70</c:v>
                </c:pt>
                <c:pt idx="84">
                  <c:v>67</c:v>
                </c:pt>
                <c:pt idx="85">
                  <c:v>64</c:v>
                </c:pt>
                <c:pt idx="86">
                  <c:v>56</c:v>
                </c:pt>
                <c:pt idx="87">
                  <c:v>75</c:v>
                </c:pt>
                <c:pt idx="88">
                  <c:v>81</c:v>
                </c:pt>
                <c:pt idx="89">
                  <c:v>66</c:v>
                </c:pt>
                <c:pt idx="90">
                  <c:v>65</c:v>
                </c:pt>
                <c:pt idx="91">
                  <c:v>75</c:v>
                </c:pt>
                <c:pt idx="92">
                  <c:v>80</c:v>
                </c:pt>
                <c:pt idx="93">
                  <c:v>67</c:v>
                </c:pt>
                <c:pt idx="94">
                  <c:v>81</c:v>
                </c:pt>
                <c:pt idx="95">
                  <c:v>77</c:v>
                </c:pt>
                <c:pt idx="96">
                  <c:v>55</c:v>
                </c:pt>
                <c:pt idx="97">
                  <c:v>81</c:v>
                </c:pt>
                <c:pt idx="98">
                  <c:v>78</c:v>
                </c:pt>
                <c:pt idx="99">
                  <c:v>72</c:v>
                </c:pt>
                <c:pt idx="100">
                  <c:v>85</c:v>
                </c:pt>
                <c:pt idx="101">
                  <c:v>75</c:v>
                </c:pt>
                <c:pt idx="102">
                  <c:v>68</c:v>
                </c:pt>
                <c:pt idx="103">
                  <c:v>59</c:v>
                </c:pt>
                <c:pt idx="104">
                  <c:v>57</c:v>
                </c:pt>
                <c:pt idx="105">
                  <c:v>64</c:v>
                </c:pt>
                <c:pt idx="106">
                  <c:v>76</c:v>
                </c:pt>
                <c:pt idx="107">
                  <c:v>69</c:v>
                </c:pt>
                <c:pt idx="108">
                  <c:v>57</c:v>
                </c:pt>
                <c:pt idx="109">
                  <c:v>59</c:v>
                </c:pt>
                <c:pt idx="110">
                  <c:v>61</c:v>
                </c:pt>
                <c:pt idx="111">
                  <c:v>67</c:v>
                </c:pt>
                <c:pt idx="112">
                  <c:v>56</c:v>
                </c:pt>
                <c:pt idx="113">
                  <c:v>78</c:v>
                </c:pt>
                <c:pt idx="114">
                  <c:v>54</c:v>
                </c:pt>
                <c:pt idx="115">
                  <c:v>64</c:v>
                </c:pt>
              </c:numCache>
            </c:numRef>
          </c:xVal>
          <c:yVal>
            <c:numRef>
              <c:f>College!$B$2:$B$117</c:f>
              <c:numCache>
                <c:formatCode>General</c:formatCode>
                <c:ptCount val="116"/>
                <c:pt idx="0">
                  <c:v>44800</c:v>
                </c:pt>
                <c:pt idx="1">
                  <c:v>45100</c:v>
                </c:pt>
                <c:pt idx="2">
                  <c:v>42300</c:v>
                </c:pt>
                <c:pt idx="3">
                  <c:v>49200</c:v>
                </c:pt>
                <c:pt idx="4">
                  <c:v>37900</c:v>
                </c:pt>
                <c:pt idx="5">
                  <c:v>74900</c:v>
                </c:pt>
                <c:pt idx="6">
                  <c:v>60600</c:v>
                </c:pt>
                <c:pt idx="7">
                  <c:v>52900</c:v>
                </c:pt>
                <c:pt idx="8">
                  <c:v>44000</c:v>
                </c:pt>
                <c:pt idx="9">
                  <c:v>54500</c:v>
                </c:pt>
                <c:pt idx="10">
                  <c:v>45200</c:v>
                </c:pt>
                <c:pt idx="11">
                  <c:v>40400</c:v>
                </c:pt>
                <c:pt idx="12">
                  <c:v>51800</c:v>
                </c:pt>
                <c:pt idx="13">
                  <c:v>44100</c:v>
                </c:pt>
                <c:pt idx="14">
                  <c:v>38600</c:v>
                </c:pt>
                <c:pt idx="15">
                  <c:v>51900</c:v>
                </c:pt>
                <c:pt idx="16">
                  <c:v>47600</c:v>
                </c:pt>
                <c:pt idx="17">
                  <c:v>35900</c:v>
                </c:pt>
                <c:pt idx="18">
                  <c:v>48300</c:v>
                </c:pt>
                <c:pt idx="19">
                  <c:v>52100</c:v>
                </c:pt>
                <c:pt idx="20">
                  <c:v>42300</c:v>
                </c:pt>
                <c:pt idx="21">
                  <c:v>44400</c:v>
                </c:pt>
                <c:pt idx="22">
                  <c:v>50900</c:v>
                </c:pt>
                <c:pt idx="23">
                  <c:v>61100</c:v>
                </c:pt>
                <c:pt idx="24">
                  <c:v>32300</c:v>
                </c:pt>
                <c:pt idx="25">
                  <c:v>40800</c:v>
                </c:pt>
                <c:pt idx="26">
                  <c:v>48100</c:v>
                </c:pt>
                <c:pt idx="27">
                  <c:v>43600</c:v>
                </c:pt>
                <c:pt idx="28">
                  <c:v>44500</c:v>
                </c:pt>
                <c:pt idx="29">
                  <c:v>42800</c:v>
                </c:pt>
                <c:pt idx="30">
                  <c:v>37600</c:v>
                </c:pt>
                <c:pt idx="31">
                  <c:v>34000</c:v>
                </c:pt>
                <c:pt idx="32">
                  <c:v>38000</c:v>
                </c:pt>
                <c:pt idx="33">
                  <c:v>39700</c:v>
                </c:pt>
                <c:pt idx="34">
                  <c:v>43300</c:v>
                </c:pt>
                <c:pt idx="35">
                  <c:v>52800</c:v>
                </c:pt>
                <c:pt idx="36">
                  <c:v>45500</c:v>
                </c:pt>
                <c:pt idx="37">
                  <c:v>50100</c:v>
                </c:pt>
                <c:pt idx="38">
                  <c:v>43400</c:v>
                </c:pt>
                <c:pt idx="39">
                  <c:v>40500</c:v>
                </c:pt>
                <c:pt idx="40">
                  <c:v>48600</c:v>
                </c:pt>
                <c:pt idx="41">
                  <c:v>37000</c:v>
                </c:pt>
                <c:pt idx="42">
                  <c:v>50400</c:v>
                </c:pt>
                <c:pt idx="43">
                  <c:v>35100</c:v>
                </c:pt>
                <c:pt idx="44">
                  <c:v>45200</c:v>
                </c:pt>
                <c:pt idx="45">
                  <c:v>49400</c:v>
                </c:pt>
                <c:pt idx="46">
                  <c:v>48100</c:v>
                </c:pt>
                <c:pt idx="47">
                  <c:v>40900</c:v>
                </c:pt>
                <c:pt idx="48">
                  <c:v>36700</c:v>
                </c:pt>
                <c:pt idx="49">
                  <c:v>43400</c:v>
                </c:pt>
                <c:pt idx="50">
                  <c:v>51300</c:v>
                </c:pt>
                <c:pt idx="51">
                  <c:v>46000</c:v>
                </c:pt>
                <c:pt idx="52">
                  <c:v>41300</c:v>
                </c:pt>
                <c:pt idx="53">
                  <c:v>42800</c:v>
                </c:pt>
                <c:pt idx="54">
                  <c:v>35500</c:v>
                </c:pt>
                <c:pt idx="55">
                  <c:v>42600</c:v>
                </c:pt>
                <c:pt idx="56">
                  <c:v>44600</c:v>
                </c:pt>
                <c:pt idx="57">
                  <c:v>50600</c:v>
                </c:pt>
                <c:pt idx="58">
                  <c:v>38400</c:v>
                </c:pt>
                <c:pt idx="59">
                  <c:v>39000</c:v>
                </c:pt>
                <c:pt idx="60">
                  <c:v>40700</c:v>
                </c:pt>
                <c:pt idx="61">
                  <c:v>50000</c:v>
                </c:pt>
                <c:pt idx="62">
                  <c:v>43900</c:v>
                </c:pt>
                <c:pt idx="63">
                  <c:v>45500</c:v>
                </c:pt>
                <c:pt idx="64">
                  <c:v>35600</c:v>
                </c:pt>
                <c:pt idx="65">
                  <c:v>44000</c:v>
                </c:pt>
                <c:pt idx="66">
                  <c:v>43900</c:v>
                </c:pt>
                <c:pt idx="67">
                  <c:v>41200</c:v>
                </c:pt>
                <c:pt idx="68">
                  <c:v>58400</c:v>
                </c:pt>
                <c:pt idx="69">
                  <c:v>45900</c:v>
                </c:pt>
                <c:pt idx="70">
                  <c:v>34700</c:v>
                </c:pt>
                <c:pt idx="71">
                  <c:v>59600</c:v>
                </c:pt>
                <c:pt idx="72">
                  <c:v>56400</c:v>
                </c:pt>
                <c:pt idx="73">
                  <c:v>53100</c:v>
                </c:pt>
                <c:pt idx="74">
                  <c:v>39600</c:v>
                </c:pt>
                <c:pt idx="75">
                  <c:v>48100</c:v>
                </c:pt>
                <c:pt idx="76">
                  <c:v>42800</c:v>
                </c:pt>
                <c:pt idx="77">
                  <c:v>42500</c:v>
                </c:pt>
                <c:pt idx="78">
                  <c:v>47200</c:v>
                </c:pt>
                <c:pt idx="79">
                  <c:v>42200</c:v>
                </c:pt>
                <c:pt idx="80">
                  <c:v>46900</c:v>
                </c:pt>
                <c:pt idx="81">
                  <c:v>55200</c:v>
                </c:pt>
                <c:pt idx="82">
                  <c:v>51400</c:v>
                </c:pt>
                <c:pt idx="83">
                  <c:v>46400</c:v>
                </c:pt>
                <c:pt idx="84">
                  <c:v>45100</c:v>
                </c:pt>
                <c:pt idx="85">
                  <c:v>42600</c:v>
                </c:pt>
                <c:pt idx="86">
                  <c:v>49900</c:v>
                </c:pt>
                <c:pt idx="87">
                  <c:v>50000</c:v>
                </c:pt>
                <c:pt idx="88">
                  <c:v>56600</c:v>
                </c:pt>
                <c:pt idx="89">
                  <c:v>46500</c:v>
                </c:pt>
                <c:pt idx="90">
                  <c:v>38900</c:v>
                </c:pt>
                <c:pt idx="91">
                  <c:v>44400</c:v>
                </c:pt>
                <c:pt idx="92">
                  <c:v>64500</c:v>
                </c:pt>
                <c:pt idx="93">
                  <c:v>43200</c:v>
                </c:pt>
                <c:pt idx="94">
                  <c:v>53200</c:v>
                </c:pt>
                <c:pt idx="95">
                  <c:v>51400</c:v>
                </c:pt>
                <c:pt idx="96">
                  <c:v>45900</c:v>
                </c:pt>
                <c:pt idx="97">
                  <c:v>52400</c:v>
                </c:pt>
                <c:pt idx="98">
                  <c:v>51500</c:v>
                </c:pt>
                <c:pt idx="99">
                  <c:v>53800</c:v>
                </c:pt>
                <c:pt idx="100">
                  <c:v>55500</c:v>
                </c:pt>
                <c:pt idx="101">
                  <c:v>56300</c:v>
                </c:pt>
                <c:pt idx="102">
                  <c:v>61000</c:v>
                </c:pt>
                <c:pt idx="103">
                  <c:v>44400</c:v>
                </c:pt>
                <c:pt idx="104">
                  <c:v>66400</c:v>
                </c:pt>
                <c:pt idx="105">
                  <c:v>43200</c:v>
                </c:pt>
                <c:pt idx="106">
                  <c:v>49900</c:v>
                </c:pt>
                <c:pt idx="107">
                  <c:v>48300</c:v>
                </c:pt>
                <c:pt idx="108">
                  <c:v>33600</c:v>
                </c:pt>
                <c:pt idx="109">
                  <c:v>43100</c:v>
                </c:pt>
                <c:pt idx="110">
                  <c:v>55100</c:v>
                </c:pt>
                <c:pt idx="111">
                  <c:v>45100</c:v>
                </c:pt>
                <c:pt idx="112">
                  <c:v>51700</c:v>
                </c:pt>
                <c:pt idx="113">
                  <c:v>49200</c:v>
                </c:pt>
                <c:pt idx="114">
                  <c:v>36100</c:v>
                </c:pt>
                <c:pt idx="115">
                  <c:v>42700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71-ED4D-BF2D-40BDEAE1326C}"/>
            </c:ext>
          </c:extLst>
        </c:ser>
        <c:ser>
          <c:idx val="1"/>
          <c:order val="1"/>
          <c:tx>
            <c:v>Predicted Earnings</c:v>
          </c:tx>
          <c:spPr>
            <a:ln w="19050">
              <a:noFill/>
            </a:ln>
          </c:spPr>
          <c:xVal>
            <c:numRef>
              <c:f>College!$D$2:$D$117</c:f>
              <c:numCache>
                <c:formatCode>General</c:formatCode>
                <c:ptCount val="116"/>
                <c:pt idx="0">
                  <c:v>62</c:v>
                </c:pt>
                <c:pt idx="1">
                  <c:v>73</c:v>
                </c:pt>
                <c:pt idx="2">
                  <c:v>63</c:v>
                </c:pt>
                <c:pt idx="3">
                  <c:v>78</c:v>
                </c:pt>
                <c:pt idx="4">
                  <c:v>78</c:v>
                </c:pt>
                <c:pt idx="5">
                  <c:v>86</c:v>
                </c:pt>
                <c:pt idx="6">
                  <c:v>84</c:v>
                </c:pt>
                <c:pt idx="7">
                  <c:v>65</c:v>
                </c:pt>
                <c:pt idx="8">
                  <c:v>65</c:v>
                </c:pt>
                <c:pt idx="9">
                  <c:v>68</c:v>
                </c:pt>
                <c:pt idx="10">
                  <c:v>61</c:v>
                </c:pt>
                <c:pt idx="11">
                  <c:v>62</c:v>
                </c:pt>
                <c:pt idx="12">
                  <c:v>74</c:v>
                </c:pt>
                <c:pt idx="13">
                  <c:v>80</c:v>
                </c:pt>
                <c:pt idx="14">
                  <c:v>56</c:v>
                </c:pt>
                <c:pt idx="15">
                  <c:v>54</c:v>
                </c:pt>
                <c:pt idx="16">
                  <c:v>81</c:v>
                </c:pt>
                <c:pt idx="17">
                  <c:v>43</c:v>
                </c:pt>
                <c:pt idx="18">
                  <c:v>69</c:v>
                </c:pt>
                <c:pt idx="19">
                  <c:v>85</c:v>
                </c:pt>
                <c:pt idx="20">
                  <c:v>62</c:v>
                </c:pt>
                <c:pt idx="21">
                  <c:v>65</c:v>
                </c:pt>
                <c:pt idx="22">
                  <c:v>69</c:v>
                </c:pt>
                <c:pt idx="23">
                  <c:v>67</c:v>
                </c:pt>
                <c:pt idx="24">
                  <c:v>71</c:v>
                </c:pt>
                <c:pt idx="25">
                  <c:v>63</c:v>
                </c:pt>
                <c:pt idx="26">
                  <c:v>74</c:v>
                </c:pt>
                <c:pt idx="27">
                  <c:v>60</c:v>
                </c:pt>
                <c:pt idx="28">
                  <c:v>83</c:v>
                </c:pt>
                <c:pt idx="29">
                  <c:v>72</c:v>
                </c:pt>
                <c:pt idx="30">
                  <c:v>57</c:v>
                </c:pt>
                <c:pt idx="31">
                  <c:v>37</c:v>
                </c:pt>
                <c:pt idx="32">
                  <c:v>47</c:v>
                </c:pt>
                <c:pt idx="33">
                  <c:v>57</c:v>
                </c:pt>
                <c:pt idx="34">
                  <c:v>63</c:v>
                </c:pt>
                <c:pt idx="35">
                  <c:v>82</c:v>
                </c:pt>
                <c:pt idx="36">
                  <c:v>67</c:v>
                </c:pt>
                <c:pt idx="37">
                  <c:v>83</c:v>
                </c:pt>
                <c:pt idx="38">
                  <c:v>40</c:v>
                </c:pt>
                <c:pt idx="39">
                  <c:v>71</c:v>
                </c:pt>
                <c:pt idx="40">
                  <c:v>78</c:v>
                </c:pt>
                <c:pt idx="41">
                  <c:v>58</c:v>
                </c:pt>
                <c:pt idx="42">
                  <c:v>76</c:v>
                </c:pt>
                <c:pt idx="43">
                  <c:v>54</c:v>
                </c:pt>
                <c:pt idx="44">
                  <c:v>75</c:v>
                </c:pt>
                <c:pt idx="45">
                  <c:v>79</c:v>
                </c:pt>
                <c:pt idx="46">
                  <c:v>67</c:v>
                </c:pt>
                <c:pt idx="47">
                  <c:v>49</c:v>
                </c:pt>
                <c:pt idx="48">
                  <c:v>46</c:v>
                </c:pt>
                <c:pt idx="49">
                  <c:v>75</c:v>
                </c:pt>
                <c:pt idx="50">
                  <c:v>68</c:v>
                </c:pt>
                <c:pt idx="51">
                  <c:v>41</c:v>
                </c:pt>
                <c:pt idx="52">
                  <c:v>57</c:v>
                </c:pt>
                <c:pt idx="53">
                  <c:v>64</c:v>
                </c:pt>
                <c:pt idx="54">
                  <c:v>41</c:v>
                </c:pt>
                <c:pt idx="55">
                  <c:v>59</c:v>
                </c:pt>
                <c:pt idx="56">
                  <c:v>73</c:v>
                </c:pt>
                <c:pt idx="57">
                  <c:v>38</c:v>
                </c:pt>
                <c:pt idx="58">
                  <c:v>61</c:v>
                </c:pt>
                <c:pt idx="59">
                  <c:v>62</c:v>
                </c:pt>
                <c:pt idx="60">
                  <c:v>58</c:v>
                </c:pt>
                <c:pt idx="61">
                  <c:v>74</c:v>
                </c:pt>
                <c:pt idx="62">
                  <c:v>70</c:v>
                </c:pt>
                <c:pt idx="63">
                  <c:v>67</c:v>
                </c:pt>
                <c:pt idx="64">
                  <c:v>41</c:v>
                </c:pt>
                <c:pt idx="65">
                  <c:v>66</c:v>
                </c:pt>
                <c:pt idx="66">
                  <c:v>59</c:v>
                </c:pt>
                <c:pt idx="67">
                  <c:v>59</c:v>
                </c:pt>
                <c:pt idx="68">
                  <c:v>53</c:v>
                </c:pt>
                <c:pt idx="69">
                  <c:v>70</c:v>
                </c:pt>
                <c:pt idx="70">
                  <c:v>32</c:v>
                </c:pt>
                <c:pt idx="71">
                  <c:v>86</c:v>
                </c:pt>
                <c:pt idx="72">
                  <c:v>76</c:v>
                </c:pt>
                <c:pt idx="73">
                  <c:v>58</c:v>
                </c:pt>
                <c:pt idx="74">
                  <c:v>43</c:v>
                </c:pt>
                <c:pt idx="75">
                  <c:v>67</c:v>
                </c:pt>
                <c:pt idx="76">
                  <c:v>73</c:v>
                </c:pt>
                <c:pt idx="77">
                  <c:v>65</c:v>
                </c:pt>
                <c:pt idx="78">
                  <c:v>62</c:v>
                </c:pt>
                <c:pt idx="79">
                  <c:v>69</c:v>
                </c:pt>
                <c:pt idx="80">
                  <c:v>68</c:v>
                </c:pt>
                <c:pt idx="81">
                  <c:v>77</c:v>
                </c:pt>
                <c:pt idx="82">
                  <c:v>69</c:v>
                </c:pt>
                <c:pt idx="83">
                  <c:v>70</c:v>
                </c:pt>
                <c:pt idx="84">
                  <c:v>67</c:v>
                </c:pt>
                <c:pt idx="85">
                  <c:v>64</c:v>
                </c:pt>
                <c:pt idx="86">
                  <c:v>56</c:v>
                </c:pt>
                <c:pt idx="87">
                  <c:v>75</c:v>
                </c:pt>
                <c:pt idx="88">
                  <c:v>81</c:v>
                </c:pt>
                <c:pt idx="89">
                  <c:v>66</c:v>
                </c:pt>
                <c:pt idx="90">
                  <c:v>65</c:v>
                </c:pt>
                <c:pt idx="91">
                  <c:v>75</c:v>
                </c:pt>
                <c:pt idx="92">
                  <c:v>80</c:v>
                </c:pt>
                <c:pt idx="93">
                  <c:v>67</c:v>
                </c:pt>
                <c:pt idx="94">
                  <c:v>81</c:v>
                </c:pt>
                <c:pt idx="95">
                  <c:v>77</c:v>
                </c:pt>
                <c:pt idx="96">
                  <c:v>55</c:v>
                </c:pt>
                <c:pt idx="97">
                  <c:v>81</c:v>
                </c:pt>
                <c:pt idx="98">
                  <c:v>78</c:v>
                </c:pt>
                <c:pt idx="99">
                  <c:v>72</c:v>
                </c:pt>
                <c:pt idx="100">
                  <c:v>85</c:v>
                </c:pt>
                <c:pt idx="101">
                  <c:v>75</c:v>
                </c:pt>
                <c:pt idx="102">
                  <c:v>68</c:v>
                </c:pt>
                <c:pt idx="103">
                  <c:v>59</c:v>
                </c:pt>
                <c:pt idx="104">
                  <c:v>57</c:v>
                </c:pt>
                <c:pt idx="105">
                  <c:v>64</c:v>
                </c:pt>
                <c:pt idx="106">
                  <c:v>76</c:v>
                </c:pt>
                <c:pt idx="107">
                  <c:v>69</c:v>
                </c:pt>
                <c:pt idx="108">
                  <c:v>57</c:v>
                </c:pt>
                <c:pt idx="109">
                  <c:v>59</c:v>
                </c:pt>
                <c:pt idx="110">
                  <c:v>61</c:v>
                </c:pt>
                <c:pt idx="111">
                  <c:v>67</c:v>
                </c:pt>
                <c:pt idx="112">
                  <c:v>56</c:v>
                </c:pt>
                <c:pt idx="113">
                  <c:v>78</c:v>
                </c:pt>
                <c:pt idx="114">
                  <c:v>54</c:v>
                </c:pt>
                <c:pt idx="115">
                  <c:v>64</c:v>
                </c:pt>
              </c:numCache>
            </c:numRef>
          </c:xVal>
          <c:yVal>
            <c:numRef>
              <c:f>College!$I$29:$I$144</c:f>
              <c:numCache>
                <c:formatCode>General</c:formatCode>
                <c:ptCount val="116"/>
                <c:pt idx="0">
                  <c:v>45992.202585257772</c:v>
                </c:pt>
                <c:pt idx="1">
                  <c:v>46211.786112865833</c:v>
                </c:pt>
                <c:pt idx="2">
                  <c:v>42043.768383896408</c:v>
                </c:pt>
                <c:pt idx="3">
                  <c:v>47849.462585218411</c:v>
                </c:pt>
                <c:pt idx="4">
                  <c:v>49139.922742043644</c:v>
                </c:pt>
                <c:pt idx="5">
                  <c:v>54710.969012982401</c:v>
                </c:pt>
                <c:pt idx="6">
                  <c:v>55981.824734397916</c:v>
                </c:pt>
                <c:pt idx="7">
                  <c:v>49065.353845623089</c:v>
                </c:pt>
                <c:pt idx="8">
                  <c:v>45278.406465060587</c:v>
                </c:pt>
                <c:pt idx="9">
                  <c:v>52482.956843379267</c:v>
                </c:pt>
                <c:pt idx="10">
                  <c:v>43469.696594347268</c:v>
                </c:pt>
                <c:pt idx="11">
                  <c:v>49893.075857743002</c:v>
                </c:pt>
                <c:pt idx="12">
                  <c:v>52728.906638962028</c:v>
                </c:pt>
                <c:pt idx="13">
                  <c:v>50262.135092045333</c:v>
                </c:pt>
                <c:pt idx="14">
                  <c:v>42276.784111145593</c:v>
                </c:pt>
                <c:pt idx="15">
                  <c:v>42719.503509612878</c:v>
                </c:pt>
                <c:pt idx="16">
                  <c:v>48524.154518754134</c:v>
                </c:pt>
                <c:pt idx="17">
                  <c:v>34916.87527257749</c:v>
                </c:pt>
                <c:pt idx="18">
                  <c:v>46804.30419442882</c:v>
                </c:pt>
                <c:pt idx="19">
                  <c:v>54017.973130361541</c:v>
                </c:pt>
                <c:pt idx="20">
                  <c:v>43223.429411160163</c:v>
                </c:pt>
                <c:pt idx="21">
                  <c:v>39794.701169736494</c:v>
                </c:pt>
                <c:pt idx="22">
                  <c:v>47477.509794419777</c:v>
                </c:pt>
                <c:pt idx="23">
                  <c:v>51872.290982875325</c:v>
                </c:pt>
                <c:pt idx="24">
                  <c:v>44675.322548568409</c:v>
                </c:pt>
                <c:pt idx="25">
                  <c:v>48199.994888392808</c:v>
                </c:pt>
                <c:pt idx="26">
                  <c:v>44524.843293637845</c:v>
                </c:pt>
                <c:pt idx="27">
                  <c:v>45719.639529983106</c:v>
                </c:pt>
                <c:pt idx="28">
                  <c:v>52241.973463499286</c:v>
                </c:pt>
                <c:pt idx="29">
                  <c:v>50244.613044717633</c:v>
                </c:pt>
                <c:pt idx="30">
                  <c:v>43660.485627678674</c:v>
                </c:pt>
                <c:pt idx="31">
                  <c:v>33750.344253627663</c:v>
                </c:pt>
                <c:pt idx="32">
                  <c:v>41379.324126006199</c:v>
                </c:pt>
                <c:pt idx="33">
                  <c:v>40842.112827877572</c:v>
                </c:pt>
                <c:pt idx="34">
                  <c:v>44853.968155731716</c:v>
                </c:pt>
                <c:pt idx="35">
                  <c:v>52821.302669748249</c:v>
                </c:pt>
                <c:pt idx="36">
                  <c:v>47883.827744918504</c:v>
                </c:pt>
                <c:pt idx="37">
                  <c:v>48301.088120509048</c:v>
                </c:pt>
                <c:pt idx="38">
                  <c:v>41083.161607359492</c:v>
                </c:pt>
                <c:pt idx="39">
                  <c:v>47153.95885472028</c:v>
                </c:pt>
                <c:pt idx="40">
                  <c:v>50697.672148203899</c:v>
                </c:pt>
                <c:pt idx="41">
                  <c:v>40460.841694798779</c:v>
                </c:pt>
                <c:pt idx="42">
                  <c:v>51021.375926215682</c:v>
                </c:pt>
                <c:pt idx="43">
                  <c:v>44089.260364120375</c:v>
                </c:pt>
                <c:pt idx="44">
                  <c:v>47649.269997362666</c:v>
                </c:pt>
                <c:pt idx="45">
                  <c:v>49123.180264647242</c:v>
                </c:pt>
                <c:pt idx="46">
                  <c:v>45498.648551097074</c:v>
                </c:pt>
                <c:pt idx="47">
                  <c:v>44718.970251289982</c:v>
                </c:pt>
                <c:pt idx="48">
                  <c:v>47040.924801951878</c:v>
                </c:pt>
                <c:pt idx="49">
                  <c:v>53664.937386008489</c:v>
                </c:pt>
                <c:pt idx="50">
                  <c:v>46099.483683669125</c:v>
                </c:pt>
                <c:pt idx="51">
                  <c:v>38915.863367826874</c:v>
                </c:pt>
                <c:pt idx="52">
                  <c:v>43796.744962215373</c:v>
                </c:pt>
                <c:pt idx="53">
                  <c:v>45851.556543550716</c:v>
                </c:pt>
                <c:pt idx="54">
                  <c:v>44970.500709663669</c:v>
                </c:pt>
                <c:pt idx="55">
                  <c:v>42878.188878149849</c:v>
                </c:pt>
                <c:pt idx="56">
                  <c:v>45438.468381339131</c:v>
                </c:pt>
                <c:pt idx="57">
                  <c:v>39080.128552614486</c:v>
                </c:pt>
                <c:pt idx="58">
                  <c:v>45392.105968247655</c:v>
                </c:pt>
                <c:pt idx="59">
                  <c:v>46140.893751437507</c:v>
                </c:pt>
                <c:pt idx="60">
                  <c:v>39747.89502756617</c:v>
                </c:pt>
                <c:pt idx="61">
                  <c:v>49341.018394753402</c:v>
                </c:pt>
                <c:pt idx="62">
                  <c:v>46909.296606150143</c:v>
                </c:pt>
                <c:pt idx="63">
                  <c:v>47278.690345740964</c:v>
                </c:pt>
                <c:pt idx="64">
                  <c:v>40719.106357831937</c:v>
                </c:pt>
                <c:pt idx="65">
                  <c:v>41651.698697175365</c:v>
                </c:pt>
                <c:pt idx="66">
                  <c:v>40266.523070931165</c:v>
                </c:pt>
                <c:pt idx="67">
                  <c:v>43487.544103368025</c:v>
                </c:pt>
                <c:pt idx="68">
                  <c:v>44994.014885930563</c:v>
                </c:pt>
                <c:pt idx="69">
                  <c:v>45843.757772049641</c:v>
                </c:pt>
                <c:pt idx="70">
                  <c:v>29034.544344284463</c:v>
                </c:pt>
                <c:pt idx="71">
                  <c:v>56583.01034021494</c:v>
                </c:pt>
                <c:pt idx="72">
                  <c:v>52413.535031503721</c:v>
                </c:pt>
                <c:pt idx="73">
                  <c:v>44040.343567216936</c:v>
                </c:pt>
                <c:pt idx="74">
                  <c:v>33869.570220001398</c:v>
                </c:pt>
                <c:pt idx="75">
                  <c:v>46798.080680468731</c:v>
                </c:pt>
                <c:pt idx="76">
                  <c:v>44113.064356287126</c:v>
                </c:pt>
                <c:pt idx="77">
                  <c:v>45676.869470144462</c:v>
                </c:pt>
                <c:pt idx="78">
                  <c:v>48921.194256197261</c:v>
                </c:pt>
                <c:pt idx="79">
                  <c:v>46834.698804332911</c:v>
                </c:pt>
                <c:pt idx="80">
                  <c:v>44674.747020279938</c:v>
                </c:pt>
                <c:pt idx="81">
                  <c:v>53855.77762267043</c:v>
                </c:pt>
                <c:pt idx="82">
                  <c:v>50627.530090050022</c:v>
                </c:pt>
                <c:pt idx="83">
                  <c:v>48087.4828849572</c:v>
                </c:pt>
                <c:pt idx="84">
                  <c:v>47818.450982237351</c:v>
                </c:pt>
                <c:pt idx="85">
                  <c:v>43058.075237565645</c:v>
                </c:pt>
                <c:pt idx="86">
                  <c:v>46352.645573497561</c:v>
                </c:pt>
                <c:pt idx="87">
                  <c:v>47655.662392452483</c:v>
                </c:pt>
                <c:pt idx="88">
                  <c:v>52689.476913874772</c:v>
                </c:pt>
                <c:pt idx="89">
                  <c:v>45519.19546697881</c:v>
                </c:pt>
                <c:pt idx="90">
                  <c:v>41569.239848292324</c:v>
                </c:pt>
                <c:pt idx="91">
                  <c:v>45567.985770814063</c:v>
                </c:pt>
                <c:pt idx="92">
                  <c:v>53357.113074902714</c:v>
                </c:pt>
                <c:pt idx="93">
                  <c:v>47951.149051022112</c:v>
                </c:pt>
                <c:pt idx="94">
                  <c:v>50276.969033072659</c:v>
                </c:pt>
                <c:pt idx="95">
                  <c:v>52031.314190404475</c:v>
                </c:pt>
                <c:pt idx="96">
                  <c:v>47167.71751606022</c:v>
                </c:pt>
                <c:pt idx="97">
                  <c:v>50382.795473154976</c:v>
                </c:pt>
                <c:pt idx="98">
                  <c:v>53689.687418805595</c:v>
                </c:pt>
                <c:pt idx="99">
                  <c:v>49127.037391748992</c:v>
                </c:pt>
                <c:pt idx="100">
                  <c:v>52399.831133652646</c:v>
                </c:pt>
                <c:pt idx="101">
                  <c:v>52645.409081329592</c:v>
                </c:pt>
                <c:pt idx="102">
                  <c:v>50831.36746094955</c:v>
                </c:pt>
                <c:pt idx="103">
                  <c:v>47506.21858930037</c:v>
                </c:pt>
                <c:pt idx="104">
                  <c:v>48460.678703633457</c:v>
                </c:pt>
                <c:pt idx="105">
                  <c:v>43758.376805824235</c:v>
                </c:pt>
                <c:pt idx="106">
                  <c:v>48219.267227072909</c:v>
                </c:pt>
                <c:pt idx="107">
                  <c:v>48468.11214117059</c:v>
                </c:pt>
                <c:pt idx="108">
                  <c:v>40908.501802470346</c:v>
                </c:pt>
                <c:pt idx="109">
                  <c:v>40069.466137438409</c:v>
                </c:pt>
                <c:pt idx="110">
                  <c:v>48814.22947052354</c:v>
                </c:pt>
                <c:pt idx="111">
                  <c:v>48535.602328403918</c:v>
                </c:pt>
                <c:pt idx="112">
                  <c:v>43632.18880992847</c:v>
                </c:pt>
                <c:pt idx="113">
                  <c:v>52764.059519414848</c:v>
                </c:pt>
                <c:pt idx="114">
                  <c:v>39560.412527867229</c:v>
                </c:pt>
                <c:pt idx="115">
                  <c:v>48238.79844574567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71-ED4D-BF2D-40BDEAE13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242064"/>
        <c:axId val="1684326224"/>
      </c:scatterChart>
      <c:valAx>
        <c:axId val="1684242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Grad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326224"/>
        <c:crosses val="autoZero"/>
        <c:crossBetween val="midCat"/>
      </c:valAx>
      <c:valAx>
        <c:axId val="1684326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Earnings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2420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Debt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Earnings</c:v>
          </c:tx>
          <c:spPr>
            <a:ln w="19050">
              <a:noFill/>
            </a:ln>
          </c:spPr>
          <c:xVal>
            <c:numRef>
              <c:f>College!$E$2:$E$117</c:f>
              <c:numCache>
                <c:formatCode>General</c:formatCode>
                <c:ptCount val="116"/>
                <c:pt idx="0">
                  <c:v>88</c:v>
                </c:pt>
                <c:pt idx="1">
                  <c:v>92</c:v>
                </c:pt>
                <c:pt idx="2">
                  <c:v>87</c:v>
                </c:pt>
                <c:pt idx="3">
                  <c:v>92</c:v>
                </c:pt>
                <c:pt idx="4">
                  <c:v>93</c:v>
                </c:pt>
                <c:pt idx="5">
                  <c:v>98</c:v>
                </c:pt>
                <c:pt idx="6">
                  <c:v>95</c:v>
                </c:pt>
                <c:pt idx="7">
                  <c:v>90</c:v>
                </c:pt>
                <c:pt idx="8">
                  <c:v>95</c:v>
                </c:pt>
                <c:pt idx="9">
                  <c:v>92</c:v>
                </c:pt>
                <c:pt idx="10">
                  <c:v>83</c:v>
                </c:pt>
                <c:pt idx="11">
                  <c:v>89</c:v>
                </c:pt>
                <c:pt idx="12">
                  <c:v>87</c:v>
                </c:pt>
                <c:pt idx="13">
                  <c:v>94</c:v>
                </c:pt>
                <c:pt idx="14">
                  <c:v>88</c:v>
                </c:pt>
                <c:pt idx="15">
                  <c:v>85</c:v>
                </c:pt>
                <c:pt idx="16">
                  <c:v>98</c:v>
                </c:pt>
                <c:pt idx="17">
                  <c:v>71</c:v>
                </c:pt>
                <c:pt idx="18">
                  <c:v>90</c:v>
                </c:pt>
                <c:pt idx="19">
                  <c:v>95</c:v>
                </c:pt>
                <c:pt idx="20">
                  <c:v>90</c:v>
                </c:pt>
                <c:pt idx="21">
                  <c:v>86</c:v>
                </c:pt>
                <c:pt idx="22">
                  <c:v>93</c:v>
                </c:pt>
                <c:pt idx="23">
                  <c:v>90</c:v>
                </c:pt>
                <c:pt idx="24">
                  <c:v>96</c:v>
                </c:pt>
                <c:pt idx="25">
                  <c:v>81</c:v>
                </c:pt>
                <c:pt idx="26">
                  <c:v>91</c:v>
                </c:pt>
                <c:pt idx="27">
                  <c:v>89</c:v>
                </c:pt>
                <c:pt idx="28">
                  <c:v>96</c:v>
                </c:pt>
                <c:pt idx="29">
                  <c:v>96</c:v>
                </c:pt>
                <c:pt idx="30">
                  <c:v>82</c:v>
                </c:pt>
                <c:pt idx="31">
                  <c:v>77</c:v>
                </c:pt>
                <c:pt idx="32">
                  <c:v>88</c:v>
                </c:pt>
                <c:pt idx="33">
                  <c:v>81</c:v>
                </c:pt>
                <c:pt idx="34">
                  <c:v>92</c:v>
                </c:pt>
                <c:pt idx="35">
                  <c:v>95</c:v>
                </c:pt>
                <c:pt idx="36">
                  <c:v>91</c:v>
                </c:pt>
                <c:pt idx="37">
                  <c:v>95</c:v>
                </c:pt>
                <c:pt idx="38">
                  <c:v>87</c:v>
                </c:pt>
                <c:pt idx="39">
                  <c:v>87</c:v>
                </c:pt>
                <c:pt idx="40">
                  <c:v>95</c:v>
                </c:pt>
                <c:pt idx="41">
                  <c:v>80</c:v>
                </c:pt>
                <c:pt idx="42">
                  <c:v>96</c:v>
                </c:pt>
                <c:pt idx="43">
                  <c:v>80</c:v>
                </c:pt>
                <c:pt idx="44">
                  <c:v>96</c:v>
                </c:pt>
                <c:pt idx="45">
                  <c:v>93</c:v>
                </c:pt>
                <c:pt idx="46">
                  <c:v>93</c:v>
                </c:pt>
                <c:pt idx="47">
                  <c:v>88</c:v>
                </c:pt>
                <c:pt idx="48">
                  <c:v>86</c:v>
                </c:pt>
                <c:pt idx="49">
                  <c:v>96</c:v>
                </c:pt>
                <c:pt idx="50">
                  <c:v>93</c:v>
                </c:pt>
                <c:pt idx="51">
                  <c:v>74</c:v>
                </c:pt>
                <c:pt idx="52">
                  <c:v>83</c:v>
                </c:pt>
                <c:pt idx="53">
                  <c:v>90</c:v>
                </c:pt>
                <c:pt idx="54">
                  <c:v>76</c:v>
                </c:pt>
                <c:pt idx="55">
                  <c:v>89</c:v>
                </c:pt>
                <c:pt idx="56">
                  <c:v>95</c:v>
                </c:pt>
                <c:pt idx="57">
                  <c:v>78</c:v>
                </c:pt>
                <c:pt idx="58">
                  <c:v>87</c:v>
                </c:pt>
                <c:pt idx="59">
                  <c:v>81</c:v>
                </c:pt>
                <c:pt idx="60">
                  <c:v>89</c:v>
                </c:pt>
                <c:pt idx="61">
                  <c:v>91</c:v>
                </c:pt>
                <c:pt idx="62">
                  <c:v>93</c:v>
                </c:pt>
                <c:pt idx="63">
                  <c:v>93</c:v>
                </c:pt>
                <c:pt idx="64">
                  <c:v>78</c:v>
                </c:pt>
                <c:pt idx="65">
                  <c:v>87</c:v>
                </c:pt>
                <c:pt idx="66">
                  <c:v>79</c:v>
                </c:pt>
                <c:pt idx="67">
                  <c:v>86</c:v>
                </c:pt>
                <c:pt idx="68">
                  <c:v>86</c:v>
                </c:pt>
                <c:pt idx="69">
                  <c:v>93</c:v>
                </c:pt>
                <c:pt idx="70">
                  <c:v>52</c:v>
                </c:pt>
                <c:pt idx="71">
                  <c:v>96</c:v>
                </c:pt>
                <c:pt idx="72">
                  <c:v>96</c:v>
                </c:pt>
                <c:pt idx="73">
                  <c:v>85</c:v>
                </c:pt>
                <c:pt idx="74">
                  <c:v>84</c:v>
                </c:pt>
                <c:pt idx="75">
                  <c:v>89</c:v>
                </c:pt>
                <c:pt idx="76">
                  <c:v>90</c:v>
                </c:pt>
                <c:pt idx="77">
                  <c:v>89</c:v>
                </c:pt>
                <c:pt idx="78">
                  <c:v>93</c:v>
                </c:pt>
                <c:pt idx="79">
                  <c:v>83</c:v>
                </c:pt>
                <c:pt idx="80">
                  <c:v>90</c:v>
                </c:pt>
                <c:pt idx="81">
                  <c:v>92</c:v>
                </c:pt>
                <c:pt idx="82">
                  <c:v>93</c:v>
                </c:pt>
                <c:pt idx="83">
                  <c:v>67</c:v>
                </c:pt>
                <c:pt idx="84">
                  <c:v>80</c:v>
                </c:pt>
                <c:pt idx="85">
                  <c:v>86</c:v>
                </c:pt>
                <c:pt idx="86">
                  <c:v>84</c:v>
                </c:pt>
                <c:pt idx="87">
                  <c:v>95</c:v>
                </c:pt>
                <c:pt idx="88">
                  <c:v>93</c:v>
                </c:pt>
                <c:pt idx="89">
                  <c:v>86</c:v>
                </c:pt>
                <c:pt idx="90">
                  <c:v>90</c:v>
                </c:pt>
                <c:pt idx="91">
                  <c:v>91</c:v>
                </c:pt>
                <c:pt idx="92">
                  <c:v>95</c:v>
                </c:pt>
                <c:pt idx="93">
                  <c:v>87</c:v>
                </c:pt>
                <c:pt idx="94">
                  <c:v>96</c:v>
                </c:pt>
                <c:pt idx="95">
                  <c:v>92</c:v>
                </c:pt>
                <c:pt idx="96">
                  <c:v>86</c:v>
                </c:pt>
                <c:pt idx="97">
                  <c:v>90</c:v>
                </c:pt>
                <c:pt idx="98">
                  <c:v>94</c:v>
                </c:pt>
                <c:pt idx="99">
                  <c:v>91</c:v>
                </c:pt>
                <c:pt idx="100">
                  <c:v>93</c:v>
                </c:pt>
                <c:pt idx="101">
                  <c:v>92</c:v>
                </c:pt>
                <c:pt idx="102">
                  <c:v>87</c:v>
                </c:pt>
                <c:pt idx="103">
                  <c:v>87</c:v>
                </c:pt>
                <c:pt idx="104">
                  <c:v>89</c:v>
                </c:pt>
                <c:pt idx="105">
                  <c:v>90</c:v>
                </c:pt>
                <c:pt idx="106">
                  <c:v>93</c:v>
                </c:pt>
                <c:pt idx="107">
                  <c:v>92</c:v>
                </c:pt>
                <c:pt idx="108">
                  <c:v>86</c:v>
                </c:pt>
                <c:pt idx="109">
                  <c:v>82</c:v>
                </c:pt>
                <c:pt idx="110">
                  <c:v>92</c:v>
                </c:pt>
                <c:pt idx="111">
                  <c:v>86</c:v>
                </c:pt>
                <c:pt idx="112">
                  <c:v>83</c:v>
                </c:pt>
                <c:pt idx="113">
                  <c:v>93</c:v>
                </c:pt>
                <c:pt idx="114">
                  <c:v>76</c:v>
                </c:pt>
                <c:pt idx="115">
                  <c:v>90</c:v>
                </c:pt>
              </c:numCache>
            </c:numRef>
          </c:xVal>
          <c:yVal>
            <c:numRef>
              <c:f>College!$B$2:$B$117</c:f>
              <c:numCache>
                <c:formatCode>General</c:formatCode>
                <c:ptCount val="116"/>
                <c:pt idx="0">
                  <c:v>44800</c:v>
                </c:pt>
                <c:pt idx="1">
                  <c:v>45100</c:v>
                </c:pt>
                <c:pt idx="2">
                  <c:v>42300</c:v>
                </c:pt>
                <c:pt idx="3">
                  <c:v>49200</c:v>
                </c:pt>
                <c:pt idx="4">
                  <c:v>37900</c:v>
                </c:pt>
                <c:pt idx="5">
                  <c:v>74900</c:v>
                </c:pt>
                <c:pt idx="6">
                  <c:v>60600</c:v>
                </c:pt>
                <c:pt idx="7">
                  <c:v>52900</c:v>
                </c:pt>
                <c:pt idx="8">
                  <c:v>44000</c:v>
                </c:pt>
                <c:pt idx="9">
                  <c:v>54500</c:v>
                </c:pt>
                <c:pt idx="10">
                  <c:v>45200</c:v>
                </c:pt>
                <c:pt idx="11">
                  <c:v>40400</c:v>
                </c:pt>
                <c:pt idx="12">
                  <c:v>51800</c:v>
                </c:pt>
                <c:pt idx="13">
                  <c:v>44100</c:v>
                </c:pt>
                <c:pt idx="14">
                  <c:v>38600</c:v>
                </c:pt>
                <c:pt idx="15">
                  <c:v>51900</c:v>
                </c:pt>
                <c:pt idx="16">
                  <c:v>47600</c:v>
                </c:pt>
                <c:pt idx="17">
                  <c:v>35900</c:v>
                </c:pt>
                <c:pt idx="18">
                  <c:v>48300</c:v>
                </c:pt>
                <c:pt idx="19">
                  <c:v>52100</c:v>
                </c:pt>
                <c:pt idx="20">
                  <c:v>42300</c:v>
                </c:pt>
                <c:pt idx="21">
                  <c:v>44400</c:v>
                </c:pt>
                <c:pt idx="22">
                  <c:v>50900</c:v>
                </c:pt>
                <c:pt idx="23">
                  <c:v>61100</c:v>
                </c:pt>
                <c:pt idx="24">
                  <c:v>32300</c:v>
                </c:pt>
                <c:pt idx="25">
                  <c:v>40800</c:v>
                </c:pt>
                <c:pt idx="26">
                  <c:v>48100</c:v>
                </c:pt>
                <c:pt idx="27">
                  <c:v>43600</c:v>
                </c:pt>
                <c:pt idx="28">
                  <c:v>44500</c:v>
                </c:pt>
                <c:pt idx="29">
                  <c:v>42800</c:v>
                </c:pt>
                <c:pt idx="30">
                  <c:v>37600</c:v>
                </c:pt>
                <c:pt idx="31">
                  <c:v>34000</c:v>
                </c:pt>
                <c:pt idx="32">
                  <c:v>38000</c:v>
                </c:pt>
                <c:pt idx="33">
                  <c:v>39700</c:v>
                </c:pt>
                <c:pt idx="34">
                  <c:v>43300</c:v>
                </c:pt>
                <c:pt idx="35">
                  <c:v>52800</c:v>
                </c:pt>
                <c:pt idx="36">
                  <c:v>45500</c:v>
                </c:pt>
                <c:pt idx="37">
                  <c:v>50100</c:v>
                </c:pt>
                <c:pt idx="38">
                  <c:v>43400</c:v>
                </c:pt>
                <c:pt idx="39">
                  <c:v>40500</c:v>
                </c:pt>
                <c:pt idx="40">
                  <c:v>48600</c:v>
                </c:pt>
                <c:pt idx="41">
                  <c:v>37000</c:v>
                </c:pt>
                <c:pt idx="42">
                  <c:v>50400</c:v>
                </c:pt>
                <c:pt idx="43">
                  <c:v>35100</c:v>
                </c:pt>
                <c:pt idx="44">
                  <c:v>45200</c:v>
                </c:pt>
                <c:pt idx="45">
                  <c:v>49400</c:v>
                </c:pt>
                <c:pt idx="46">
                  <c:v>48100</c:v>
                </c:pt>
                <c:pt idx="47">
                  <c:v>40900</c:v>
                </c:pt>
                <c:pt idx="48">
                  <c:v>36700</c:v>
                </c:pt>
                <c:pt idx="49">
                  <c:v>43400</c:v>
                </c:pt>
                <c:pt idx="50">
                  <c:v>51300</c:v>
                </c:pt>
                <c:pt idx="51">
                  <c:v>46000</c:v>
                </c:pt>
                <c:pt idx="52">
                  <c:v>41300</c:v>
                </c:pt>
                <c:pt idx="53">
                  <c:v>42800</c:v>
                </c:pt>
                <c:pt idx="54">
                  <c:v>35500</c:v>
                </c:pt>
                <c:pt idx="55">
                  <c:v>42600</c:v>
                </c:pt>
                <c:pt idx="56">
                  <c:v>44600</c:v>
                </c:pt>
                <c:pt idx="57">
                  <c:v>50600</c:v>
                </c:pt>
                <c:pt idx="58">
                  <c:v>38400</c:v>
                </c:pt>
                <c:pt idx="59">
                  <c:v>39000</c:v>
                </c:pt>
                <c:pt idx="60">
                  <c:v>40700</c:v>
                </c:pt>
                <c:pt idx="61">
                  <c:v>50000</c:v>
                </c:pt>
                <c:pt idx="62">
                  <c:v>43900</c:v>
                </c:pt>
                <c:pt idx="63">
                  <c:v>45500</c:v>
                </c:pt>
                <c:pt idx="64">
                  <c:v>35600</c:v>
                </c:pt>
                <c:pt idx="65">
                  <c:v>44000</c:v>
                </c:pt>
                <c:pt idx="66">
                  <c:v>43900</c:v>
                </c:pt>
                <c:pt idx="67">
                  <c:v>41200</c:v>
                </c:pt>
                <c:pt idx="68">
                  <c:v>58400</c:v>
                </c:pt>
                <c:pt idx="69">
                  <c:v>45900</c:v>
                </c:pt>
                <c:pt idx="70">
                  <c:v>34700</c:v>
                </c:pt>
                <c:pt idx="71">
                  <c:v>59600</c:v>
                </c:pt>
                <c:pt idx="72">
                  <c:v>56400</c:v>
                </c:pt>
                <c:pt idx="73">
                  <c:v>53100</c:v>
                </c:pt>
                <c:pt idx="74">
                  <c:v>39600</c:v>
                </c:pt>
                <c:pt idx="75">
                  <c:v>48100</c:v>
                </c:pt>
                <c:pt idx="76">
                  <c:v>42800</c:v>
                </c:pt>
                <c:pt idx="77">
                  <c:v>42500</c:v>
                </c:pt>
                <c:pt idx="78">
                  <c:v>47200</c:v>
                </c:pt>
                <c:pt idx="79">
                  <c:v>42200</c:v>
                </c:pt>
                <c:pt idx="80">
                  <c:v>46900</c:v>
                </c:pt>
                <c:pt idx="81">
                  <c:v>55200</c:v>
                </c:pt>
                <c:pt idx="82">
                  <c:v>51400</c:v>
                </c:pt>
                <c:pt idx="83">
                  <c:v>46400</c:v>
                </c:pt>
                <c:pt idx="84">
                  <c:v>45100</c:v>
                </c:pt>
                <c:pt idx="85">
                  <c:v>42600</c:v>
                </c:pt>
                <c:pt idx="86">
                  <c:v>49900</c:v>
                </c:pt>
                <c:pt idx="87">
                  <c:v>50000</c:v>
                </c:pt>
                <c:pt idx="88">
                  <c:v>56600</c:v>
                </c:pt>
                <c:pt idx="89">
                  <c:v>46500</c:v>
                </c:pt>
                <c:pt idx="90">
                  <c:v>38900</c:v>
                </c:pt>
                <c:pt idx="91">
                  <c:v>44400</c:v>
                </c:pt>
                <c:pt idx="92">
                  <c:v>64500</c:v>
                </c:pt>
                <c:pt idx="93">
                  <c:v>43200</c:v>
                </c:pt>
                <c:pt idx="94">
                  <c:v>53200</c:v>
                </c:pt>
                <c:pt idx="95">
                  <c:v>51400</c:v>
                </c:pt>
                <c:pt idx="96">
                  <c:v>45900</c:v>
                </c:pt>
                <c:pt idx="97">
                  <c:v>52400</c:v>
                </c:pt>
                <c:pt idx="98">
                  <c:v>51500</c:v>
                </c:pt>
                <c:pt idx="99">
                  <c:v>53800</c:v>
                </c:pt>
                <c:pt idx="100">
                  <c:v>55500</c:v>
                </c:pt>
                <c:pt idx="101">
                  <c:v>56300</c:v>
                </c:pt>
                <c:pt idx="102">
                  <c:v>61000</c:v>
                </c:pt>
                <c:pt idx="103">
                  <c:v>44400</c:v>
                </c:pt>
                <c:pt idx="104">
                  <c:v>66400</c:v>
                </c:pt>
                <c:pt idx="105">
                  <c:v>43200</c:v>
                </c:pt>
                <c:pt idx="106">
                  <c:v>49900</c:v>
                </c:pt>
                <c:pt idx="107">
                  <c:v>48300</c:v>
                </c:pt>
                <c:pt idx="108">
                  <c:v>33600</c:v>
                </c:pt>
                <c:pt idx="109">
                  <c:v>43100</c:v>
                </c:pt>
                <c:pt idx="110">
                  <c:v>55100</c:v>
                </c:pt>
                <c:pt idx="111">
                  <c:v>45100</c:v>
                </c:pt>
                <c:pt idx="112">
                  <c:v>51700</c:v>
                </c:pt>
                <c:pt idx="113">
                  <c:v>49200</c:v>
                </c:pt>
                <c:pt idx="114">
                  <c:v>36100</c:v>
                </c:pt>
                <c:pt idx="115">
                  <c:v>42700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34-2147-BA2A-2E5420BCD3DE}"/>
            </c:ext>
          </c:extLst>
        </c:ser>
        <c:ser>
          <c:idx val="1"/>
          <c:order val="1"/>
          <c:tx>
            <c:v>Predicted Earnings</c:v>
          </c:tx>
          <c:spPr>
            <a:ln w="19050">
              <a:noFill/>
            </a:ln>
          </c:spPr>
          <c:xVal>
            <c:numRef>
              <c:f>College!$E$2:$E$117</c:f>
              <c:numCache>
                <c:formatCode>General</c:formatCode>
                <c:ptCount val="116"/>
                <c:pt idx="0">
                  <c:v>88</c:v>
                </c:pt>
                <c:pt idx="1">
                  <c:v>92</c:v>
                </c:pt>
                <c:pt idx="2">
                  <c:v>87</c:v>
                </c:pt>
                <c:pt idx="3">
                  <c:v>92</c:v>
                </c:pt>
                <c:pt idx="4">
                  <c:v>93</c:v>
                </c:pt>
                <c:pt idx="5">
                  <c:v>98</c:v>
                </c:pt>
                <c:pt idx="6">
                  <c:v>95</c:v>
                </c:pt>
                <c:pt idx="7">
                  <c:v>90</c:v>
                </c:pt>
                <c:pt idx="8">
                  <c:v>95</c:v>
                </c:pt>
                <c:pt idx="9">
                  <c:v>92</c:v>
                </c:pt>
                <c:pt idx="10">
                  <c:v>83</c:v>
                </c:pt>
                <c:pt idx="11">
                  <c:v>89</c:v>
                </c:pt>
                <c:pt idx="12">
                  <c:v>87</c:v>
                </c:pt>
                <c:pt idx="13">
                  <c:v>94</c:v>
                </c:pt>
                <c:pt idx="14">
                  <c:v>88</c:v>
                </c:pt>
                <c:pt idx="15">
                  <c:v>85</c:v>
                </c:pt>
                <c:pt idx="16">
                  <c:v>98</c:v>
                </c:pt>
                <c:pt idx="17">
                  <c:v>71</c:v>
                </c:pt>
                <c:pt idx="18">
                  <c:v>90</c:v>
                </c:pt>
                <c:pt idx="19">
                  <c:v>95</c:v>
                </c:pt>
                <c:pt idx="20">
                  <c:v>90</c:v>
                </c:pt>
                <c:pt idx="21">
                  <c:v>86</c:v>
                </c:pt>
                <c:pt idx="22">
                  <c:v>93</c:v>
                </c:pt>
                <c:pt idx="23">
                  <c:v>90</c:v>
                </c:pt>
                <c:pt idx="24">
                  <c:v>96</c:v>
                </c:pt>
                <c:pt idx="25">
                  <c:v>81</c:v>
                </c:pt>
                <c:pt idx="26">
                  <c:v>91</c:v>
                </c:pt>
                <c:pt idx="27">
                  <c:v>89</c:v>
                </c:pt>
                <c:pt idx="28">
                  <c:v>96</c:v>
                </c:pt>
                <c:pt idx="29">
                  <c:v>96</c:v>
                </c:pt>
                <c:pt idx="30">
                  <c:v>82</c:v>
                </c:pt>
                <c:pt idx="31">
                  <c:v>77</c:v>
                </c:pt>
                <c:pt idx="32">
                  <c:v>88</c:v>
                </c:pt>
                <c:pt idx="33">
                  <c:v>81</c:v>
                </c:pt>
                <c:pt idx="34">
                  <c:v>92</c:v>
                </c:pt>
                <c:pt idx="35">
                  <c:v>95</c:v>
                </c:pt>
                <c:pt idx="36">
                  <c:v>91</c:v>
                </c:pt>
                <c:pt idx="37">
                  <c:v>95</c:v>
                </c:pt>
                <c:pt idx="38">
                  <c:v>87</c:v>
                </c:pt>
                <c:pt idx="39">
                  <c:v>87</c:v>
                </c:pt>
                <c:pt idx="40">
                  <c:v>95</c:v>
                </c:pt>
                <c:pt idx="41">
                  <c:v>80</c:v>
                </c:pt>
                <c:pt idx="42">
                  <c:v>96</c:v>
                </c:pt>
                <c:pt idx="43">
                  <c:v>80</c:v>
                </c:pt>
                <c:pt idx="44">
                  <c:v>96</c:v>
                </c:pt>
                <c:pt idx="45">
                  <c:v>93</c:v>
                </c:pt>
                <c:pt idx="46">
                  <c:v>93</c:v>
                </c:pt>
                <c:pt idx="47">
                  <c:v>88</c:v>
                </c:pt>
                <c:pt idx="48">
                  <c:v>86</c:v>
                </c:pt>
                <c:pt idx="49">
                  <c:v>96</c:v>
                </c:pt>
                <c:pt idx="50">
                  <c:v>93</c:v>
                </c:pt>
                <c:pt idx="51">
                  <c:v>74</c:v>
                </c:pt>
                <c:pt idx="52">
                  <c:v>83</c:v>
                </c:pt>
                <c:pt idx="53">
                  <c:v>90</c:v>
                </c:pt>
                <c:pt idx="54">
                  <c:v>76</c:v>
                </c:pt>
                <c:pt idx="55">
                  <c:v>89</c:v>
                </c:pt>
                <c:pt idx="56">
                  <c:v>95</c:v>
                </c:pt>
                <c:pt idx="57">
                  <c:v>78</c:v>
                </c:pt>
                <c:pt idx="58">
                  <c:v>87</c:v>
                </c:pt>
                <c:pt idx="59">
                  <c:v>81</c:v>
                </c:pt>
                <c:pt idx="60">
                  <c:v>89</c:v>
                </c:pt>
                <c:pt idx="61">
                  <c:v>91</c:v>
                </c:pt>
                <c:pt idx="62">
                  <c:v>93</c:v>
                </c:pt>
                <c:pt idx="63">
                  <c:v>93</c:v>
                </c:pt>
                <c:pt idx="64">
                  <c:v>78</c:v>
                </c:pt>
                <c:pt idx="65">
                  <c:v>87</c:v>
                </c:pt>
                <c:pt idx="66">
                  <c:v>79</c:v>
                </c:pt>
                <c:pt idx="67">
                  <c:v>86</c:v>
                </c:pt>
                <c:pt idx="68">
                  <c:v>86</c:v>
                </c:pt>
                <c:pt idx="69">
                  <c:v>93</c:v>
                </c:pt>
                <c:pt idx="70">
                  <c:v>52</c:v>
                </c:pt>
                <c:pt idx="71">
                  <c:v>96</c:v>
                </c:pt>
                <c:pt idx="72">
                  <c:v>96</c:v>
                </c:pt>
                <c:pt idx="73">
                  <c:v>85</c:v>
                </c:pt>
                <c:pt idx="74">
                  <c:v>84</c:v>
                </c:pt>
                <c:pt idx="75">
                  <c:v>89</c:v>
                </c:pt>
                <c:pt idx="76">
                  <c:v>90</c:v>
                </c:pt>
                <c:pt idx="77">
                  <c:v>89</c:v>
                </c:pt>
                <c:pt idx="78">
                  <c:v>93</c:v>
                </c:pt>
                <c:pt idx="79">
                  <c:v>83</c:v>
                </c:pt>
                <c:pt idx="80">
                  <c:v>90</c:v>
                </c:pt>
                <c:pt idx="81">
                  <c:v>92</c:v>
                </c:pt>
                <c:pt idx="82">
                  <c:v>93</c:v>
                </c:pt>
                <c:pt idx="83">
                  <c:v>67</c:v>
                </c:pt>
                <c:pt idx="84">
                  <c:v>80</c:v>
                </c:pt>
                <c:pt idx="85">
                  <c:v>86</c:v>
                </c:pt>
                <c:pt idx="86">
                  <c:v>84</c:v>
                </c:pt>
                <c:pt idx="87">
                  <c:v>95</c:v>
                </c:pt>
                <c:pt idx="88">
                  <c:v>93</c:v>
                </c:pt>
                <c:pt idx="89">
                  <c:v>86</c:v>
                </c:pt>
                <c:pt idx="90">
                  <c:v>90</c:v>
                </c:pt>
                <c:pt idx="91">
                  <c:v>91</c:v>
                </c:pt>
                <c:pt idx="92">
                  <c:v>95</c:v>
                </c:pt>
                <c:pt idx="93">
                  <c:v>87</c:v>
                </c:pt>
                <c:pt idx="94">
                  <c:v>96</c:v>
                </c:pt>
                <c:pt idx="95">
                  <c:v>92</c:v>
                </c:pt>
                <c:pt idx="96">
                  <c:v>86</c:v>
                </c:pt>
                <c:pt idx="97">
                  <c:v>90</c:v>
                </c:pt>
                <c:pt idx="98">
                  <c:v>94</c:v>
                </c:pt>
                <c:pt idx="99">
                  <c:v>91</c:v>
                </c:pt>
                <c:pt idx="100">
                  <c:v>93</c:v>
                </c:pt>
                <c:pt idx="101">
                  <c:v>92</c:v>
                </c:pt>
                <c:pt idx="102">
                  <c:v>87</c:v>
                </c:pt>
                <c:pt idx="103">
                  <c:v>87</c:v>
                </c:pt>
                <c:pt idx="104">
                  <c:v>89</c:v>
                </c:pt>
                <c:pt idx="105">
                  <c:v>90</c:v>
                </c:pt>
                <c:pt idx="106">
                  <c:v>93</c:v>
                </c:pt>
                <c:pt idx="107">
                  <c:v>92</c:v>
                </c:pt>
                <c:pt idx="108">
                  <c:v>86</c:v>
                </c:pt>
                <c:pt idx="109">
                  <c:v>82</c:v>
                </c:pt>
                <c:pt idx="110">
                  <c:v>92</c:v>
                </c:pt>
                <c:pt idx="111">
                  <c:v>86</c:v>
                </c:pt>
                <c:pt idx="112">
                  <c:v>83</c:v>
                </c:pt>
                <c:pt idx="113">
                  <c:v>93</c:v>
                </c:pt>
                <c:pt idx="114">
                  <c:v>76</c:v>
                </c:pt>
                <c:pt idx="115">
                  <c:v>90</c:v>
                </c:pt>
              </c:numCache>
            </c:numRef>
          </c:xVal>
          <c:yVal>
            <c:numRef>
              <c:f>College!$I$29:$I$144</c:f>
              <c:numCache>
                <c:formatCode>General</c:formatCode>
                <c:ptCount val="116"/>
                <c:pt idx="0">
                  <c:v>45992.202585257772</c:v>
                </c:pt>
                <c:pt idx="1">
                  <c:v>46211.786112865833</c:v>
                </c:pt>
                <c:pt idx="2">
                  <c:v>42043.768383896408</c:v>
                </c:pt>
                <c:pt idx="3">
                  <c:v>47849.462585218411</c:v>
                </c:pt>
                <c:pt idx="4">
                  <c:v>49139.922742043644</c:v>
                </c:pt>
                <c:pt idx="5">
                  <c:v>54710.969012982401</c:v>
                </c:pt>
                <c:pt idx="6">
                  <c:v>55981.824734397916</c:v>
                </c:pt>
                <c:pt idx="7">
                  <c:v>49065.353845623089</c:v>
                </c:pt>
                <c:pt idx="8">
                  <c:v>45278.406465060587</c:v>
                </c:pt>
                <c:pt idx="9">
                  <c:v>52482.956843379267</c:v>
                </c:pt>
                <c:pt idx="10">
                  <c:v>43469.696594347268</c:v>
                </c:pt>
                <c:pt idx="11">
                  <c:v>49893.075857743002</c:v>
                </c:pt>
                <c:pt idx="12">
                  <c:v>52728.906638962028</c:v>
                </c:pt>
                <c:pt idx="13">
                  <c:v>50262.135092045333</c:v>
                </c:pt>
                <c:pt idx="14">
                  <c:v>42276.784111145593</c:v>
                </c:pt>
                <c:pt idx="15">
                  <c:v>42719.503509612878</c:v>
                </c:pt>
                <c:pt idx="16">
                  <c:v>48524.154518754134</c:v>
                </c:pt>
                <c:pt idx="17">
                  <c:v>34916.87527257749</c:v>
                </c:pt>
                <c:pt idx="18">
                  <c:v>46804.30419442882</c:v>
                </c:pt>
                <c:pt idx="19">
                  <c:v>54017.973130361541</c:v>
                </c:pt>
                <c:pt idx="20">
                  <c:v>43223.429411160163</c:v>
                </c:pt>
                <c:pt idx="21">
                  <c:v>39794.701169736494</c:v>
                </c:pt>
                <c:pt idx="22">
                  <c:v>47477.509794419777</c:v>
                </c:pt>
                <c:pt idx="23">
                  <c:v>51872.290982875325</c:v>
                </c:pt>
                <c:pt idx="24">
                  <c:v>44675.322548568409</c:v>
                </c:pt>
                <c:pt idx="25">
                  <c:v>48199.994888392808</c:v>
                </c:pt>
                <c:pt idx="26">
                  <c:v>44524.843293637845</c:v>
                </c:pt>
                <c:pt idx="27">
                  <c:v>45719.639529983106</c:v>
                </c:pt>
                <c:pt idx="28">
                  <c:v>52241.973463499286</c:v>
                </c:pt>
                <c:pt idx="29">
                  <c:v>50244.613044717633</c:v>
                </c:pt>
                <c:pt idx="30">
                  <c:v>43660.485627678674</c:v>
                </c:pt>
                <c:pt idx="31">
                  <c:v>33750.344253627663</c:v>
                </c:pt>
                <c:pt idx="32">
                  <c:v>41379.324126006199</c:v>
                </c:pt>
                <c:pt idx="33">
                  <c:v>40842.112827877572</c:v>
                </c:pt>
                <c:pt idx="34">
                  <c:v>44853.968155731716</c:v>
                </c:pt>
                <c:pt idx="35">
                  <c:v>52821.302669748249</c:v>
                </c:pt>
                <c:pt idx="36">
                  <c:v>47883.827744918504</c:v>
                </c:pt>
                <c:pt idx="37">
                  <c:v>48301.088120509048</c:v>
                </c:pt>
                <c:pt idx="38">
                  <c:v>41083.161607359492</c:v>
                </c:pt>
                <c:pt idx="39">
                  <c:v>47153.95885472028</c:v>
                </c:pt>
                <c:pt idx="40">
                  <c:v>50697.672148203899</c:v>
                </c:pt>
                <c:pt idx="41">
                  <c:v>40460.841694798779</c:v>
                </c:pt>
                <c:pt idx="42">
                  <c:v>51021.375926215682</c:v>
                </c:pt>
                <c:pt idx="43">
                  <c:v>44089.260364120375</c:v>
                </c:pt>
                <c:pt idx="44">
                  <c:v>47649.269997362666</c:v>
                </c:pt>
                <c:pt idx="45">
                  <c:v>49123.180264647242</c:v>
                </c:pt>
                <c:pt idx="46">
                  <c:v>45498.648551097074</c:v>
                </c:pt>
                <c:pt idx="47">
                  <c:v>44718.970251289982</c:v>
                </c:pt>
                <c:pt idx="48">
                  <c:v>47040.924801951878</c:v>
                </c:pt>
                <c:pt idx="49">
                  <c:v>53664.937386008489</c:v>
                </c:pt>
                <c:pt idx="50">
                  <c:v>46099.483683669125</c:v>
                </c:pt>
                <c:pt idx="51">
                  <c:v>38915.863367826874</c:v>
                </c:pt>
                <c:pt idx="52">
                  <c:v>43796.744962215373</c:v>
                </c:pt>
                <c:pt idx="53">
                  <c:v>45851.556543550716</c:v>
                </c:pt>
                <c:pt idx="54">
                  <c:v>44970.500709663669</c:v>
                </c:pt>
                <c:pt idx="55">
                  <c:v>42878.188878149849</c:v>
                </c:pt>
                <c:pt idx="56">
                  <c:v>45438.468381339131</c:v>
                </c:pt>
                <c:pt idx="57">
                  <c:v>39080.128552614486</c:v>
                </c:pt>
                <c:pt idx="58">
                  <c:v>45392.105968247655</c:v>
                </c:pt>
                <c:pt idx="59">
                  <c:v>46140.893751437507</c:v>
                </c:pt>
                <c:pt idx="60">
                  <c:v>39747.89502756617</c:v>
                </c:pt>
                <c:pt idx="61">
                  <c:v>49341.018394753402</c:v>
                </c:pt>
                <c:pt idx="62">
                  <c:v>46909.296606150143</c:v>
                </c:pt>
                <c:pt idx="63">
                  <c:v>47278.690345740964</c:v>
                </c:pt>
                <c:pt idx="64">
                  <c:v>40719.106357831937</c:v>
                </c:pt>
                <c:pt idx="65">
                  <c:v>41651.698697175365</c:v>
                </c:pt>
                <c:pt idx="66">
                  <c:v>40266.523070931165</c:v>
                </c:pt>
                <c:pt idx="67">
                  <c:v>43487.544103368025</c:v>
                </c:pt>
                <c:pt idx="68">
                  <c:v>44994.014885930563</c:v>
                </c:pt>
                <c:pt idx="69">
                  <c:v>45843.757772049641</c:v>
                </c:pt>
                <c:pt idx="70">
                  <c:v>29034.544344284463</c:v>
                </c:pt>
                <c:pt idx="71">
                  <c:v>56583.01034021494</c:v>
                </c:pt>
                <c:pt idx="72">
                  <c:v>52413.535031503721</c:v>
                </c:pt>
                <c:pt idx="73">
                  <c:v>44040.343567216936</c:v>
                </c:pt>
                <c:pt idx="74">
                  <c:v>33869.570220001398</c:v>
                </c:pt>
                <c:pt idx="75">
                  <c:v>46798.080680468731</c:v>
                </c:pt>
                <c:pt idx="76">
                  <c:v>44113.064356287126</c:v>
                </c:pt>
                <c:pt idx="77">
                  <c:v>45676.869470144462</c:v>
                </c:pt>
                <c:pt idx="78">
                  <c:v>48921.194256197261</c:v>
                </c:pt>
                <c:pt idx="79">
                  <c:v>46834.698804332911</c:v>
                </c:pt>
                <c:pt idx="80">
                  <c:v>44674.747020279938</c:v>
                </c:pt>
                <c:pt idx="81">
                  <c:v>53855.77762267043</c:v>
                </c:pt>
                <c:pt idx="82">
                  <c:v>50627.530090050022</c:v>
                </c:pt>
                <c:pt idx="83">
                  <c:v>48087.4828849572</c:v>
                </c:pt>
                <c:pt idx="84">
                  <c:v>47818.450982237351</c:v>
                </c:pt>
                <c:pt idx="85">
                  <c:v>43058.075237565645</c:v>
                </c:pt>
                <c:pt idx="86">
                  <c:v>46352.645573497561</c:v>
                </c:pt>
                <c:pt idx="87">
                  <c:v>47655.662392452483</c:v>
                </c:pt>
                <c:pt idx="88">
                  <c:v>52689.476913874772</c:v>
                </c:pt>
                <c:pt idx="89">
                  <c:v>45519.19546697881</c:v>
                </c:pt>
                <c:pt idx="90">
                  <c:v>41569.239848292324</c:v>
                </c:pt>
                <c:pt idx="91">
                  <c:v>45567.985770814063</c:v>
                </c:pt>
                <c:pt idx="92">
                  <c:v>53357.113074902714</c:v>
                </c:pt>
                <c:pt idx="93">
                  <c:v>47951.149051022112</c:v>
                </c:pt>
                <c:pt idx="94">
                  <c:v>50276.969033072659</c:v>
                </c:pt>
                <c:pt idx="95">
                  <c:v>52031.314190404475</c:v>
                </c:pt>
                <c:pt idx="96">
                  <c:v>47167.71751606022</c:v>
                </c:pt>
                <c:pt idx="97">
                  <c:v>50382.795473154976</c:v>
                </c:pt>
                <c:pt idx="98">
                  <c:v>53689.687418805595</c:v>
                </c:pt>
                <c:pt idx="99">
                  <c:v>49127.037391748992</c:v>
                </c:pt>
                <c:pt idx="100">
                  <c:v>52399.831133652646</c:v>
                </c:pt>
                <c:pt idx="101">
                  <c:v>52645.409081329592</c:v>
                </c:pt>
                <c:pt idx="102">
                  <c:v>50831.36746094955</c:v>
                </c:pt>
                <c:pt idx="103">
                  <c:v>47506.21858930037</c:v>
                </c:pt>
                <c:pt idx="104">
                  <c:v>48460.678703633457</c:v>
                </c:pt>
                <c:pt idx="105">
                  <c:v>43758.376805824235</c:v>
                </c:pt>
                <c:pt idx="106">
                  <c:v>48219.267227072909</c:v>
                </c:pt>
                <c:pt idx="107">
                  <c:v>48468.11214117059</c:v>
                </c:pt>
                <c:pt idx="108">
                  <c:v>40908.501802470346</c:v>
                </c:pt>
                <c:pt idx="109">
                  <c:v>40069.466137438409</c:v>
                </c:pt>
                <c:pt idx="110">
                  <c:v>48814.22947052354</c:v>
                </c:pt>
                <c:pt idx="111">
                  <c:v>48535.602328403918</c:v>
                </c:pt>
                <c:pt idx="112">
                  <c:v>43632.18880992847</c:v>
                </c:pt>
                <c:pt idx="113">
                  <c:v>52764.059519414848</c:v>
                </c:pt>
                <c:pt idx="114">
                  <c:v>39560.412527867229</c:v>
                </c:pt>
                <c:pt idx="115">
                  <c:v>48238.79844574567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34-2147-BA2A-2E5420BCD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224415"/>
        <c:axId val="1374226127"/>
      </c:scatterChart>
      <c:valAx>
        <c:axId val="1374224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Debt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226127"/>
        <c:crosses val="autoZero"/>
        <c:crossBetween val="midCat"/>
      </c:valAx>
      <c:valAx>
        <c:axId val="13742261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Earnings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2244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City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Earnings</c:v>
          </c:tx>
          <c:spPr>
            <a:ln w="19050">
              <a:noFill/>
            </a:ln>
          </c:spPr>
          <c:xVal>
            <c:numRef>
              <c:f>College!$F$2:$F$117</c:f>
              <c:numCache>
                <c:formatCode>General</c:formatCode>
                <c:ptCount val="11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</c:numCache>
            </c:numRef>
          </c:xVal>
          <c:yVal>
            <c:numRef>
              <c:f>College!$B$2:$B$117</c:f>
              <c:numCache>
                <c:formatCode>General</c:formatCode>
                <c:ptCount val="116"/>
                <c:pt idx="0">
                  <c:v>44800</c:v>
                </c:pt>
                <c:pt idx="1">
                  <c:v>45100</c:v>
                </c:pt>
                <c:pt idx="2">
                  <c:v>42300</c:v>
                </c:pt>
                <c:pt idx="3">
                  <c:v>49200</c:v>
                </c:pt>
                <c:pt idx="4">
                  <c:v>37900</c:v>
                </c:pt>
                <c:pt idx="5">
                  <c:v>74900</c:v>
                </c:pt>
                <c:pt idx="6">
                  <c:v>60600</c:v>
                </c:pt>
                <c:pt idx="7">
                  <c:v>52900</c:v>
                </c:pt>
                <c:pt idx="8">
                  <c:v>44000</c:v>
                </c:pt>
                <c:pt idx="9">
                  <c:v>54500</c:v>
                </c:pt>
                <c:pt idx="10">
                  <c:v>45200</c:v>
                </c:pt>
                <c:pt idx="11">
                  <c:v>40400</c:v>
                </c:pt>
                <c:pt idx="12">
                  <c:v>51800</c:v>
                </c:pt>
                <c:pt idx="13">
                  <c:v>44100</c:v>
                </c:pt>
                <c:pt idx="14">
                  <c:v>38600</c:v>
                </c:pt>
                <c:pt idx="15">
                  <c:v>51900</c:v>
                </c:pt>
                <c:pt idx="16">
                  <c:v>47600</c:v>
                </c:pt>
                <c:pt idx="17">
                  <c:v>35900</c:v>
                </c:pt>
                <c:pt idx="18">
                  <c:v>48300</c:v>
                </c:pt>
                <c:pt idx="19">
                  <c:v>52100</c:v>
                </c:pt>
                <c:pt idx="20">
                  <c:v>42300</c:v>
                </c:pt>
                <c:pt idx="21">
                  <c:v>44400</c:v>
                </c:pt>
                <c:pt idx="22">
                  <c:v>50900</c:v>
                </c:pt>
                <c:pt idx="23">
                  <c:v>61100</c:v>
                </c:pt>
                <c:pt idx="24">
                  <c:v>32300</c:v>
                </c:pt>
                <c:pt idx="25">
                  <c:v>40800</c:v>
                </c:pt>
                <c:pt idx="26">
                  <c:v>48100</c:v>
                </c:pt>
                <c:pt idx="27">
                  <c:v>43600</c:v>
                </c:pt>
                <c:pt idx="28">
                  <c:v>44500</c:v>
                </c:pt>
                <c:pt idx="29">
                  <c:v>42800</c:v>
                </c:pt>
                <c:pt idx="30">
                  <c:v>37600</c:v>
                </c:pt>
                <c:pt idx="31">
                  <c:v>34000</c:v>
                </c:pt>
                <c:pt idx="32">
                  <c:v>38000</c:v>
                </c:pt>
                <c:pt idx="33">
                  <c:v>39700</c:v>
                </c:pt>
                <c:pt idx="34">
                  <c:v>43300</c:v>
                </c:pt>
                <c:pt idx="35">
                  <c:v>52800</c:v>
                </c:pt>
                <c:pt idx="36">
                  <c:v>45500</c:v>
                </c:pt>
                <c:pt idx="37">
                  <c:v>50100</c:v>
                </c:pt>
                <c:pt idx="38">
                  <c:v>43400</c:v>
                </c:pt>
                <c:pt idx="39">
                  <c:v>40500</c:v>
                </c:pt>
                <c:pt idx="40">
                  <c:v>48600</c:v>
                </c:pt>
                <c:pt idx="41">
                  <c:v>37000</c:v>
                </c:pt>
                <c:pt idx="42">
                  <c:v>50400</c:v>
                </c:pt>
                <c:pt idx="43">
                  <c:v>35100</c:v>
                </c:pt>
                <c:pt idx="44">
                  <c:v>45200</c:v>
                </c:pt>
                <c:pt idx="45">
                  <c:v>49400</c:v>
                </c:pt>
                <c:pt idx="46">
                  <c:v>48100</c:v>
                </c:pt>
                <c:pt idx="47">
                  <c:v>40900</c:v>
                </c:pt>
                <c:pt idx="48">
                  <c:v>36700</c:v>
                </c:pt>
                <c:pt idx="49">
                  <c:v>43400</c:v>
                </c:pt>
                <c:pt idx="50">
                  <c:v>51300</c:v>
                </c:pt>
                <c:pt idx="51">
                  <c:v>46000</c:v>
                </c:pt>
                <c:pt idx="52">
                  <c:v>41300</c:v>
                </c:pt>
                <c:pt idx="53">
                  <c:v>42800</c:v>
                </c:pt>
                <c:pt idx="54">
                  <c:v>35500</c:v>
                </c:pt>
                <c:pt idx="55">
                  <c:v>42600</c:v>
                </c:pt>
                <c:pt idx="56">
                  <c:v>44600</c:v>
                </c:pt>
                <c:pt idx="57">
                  <c:v>50600</c:v>
                </c:pt>
                <c:pt idx="58">
                  <c:v>38400</c:v>
                </c:pt>
                <c:pt idx="59">
                  <c:v>39000</c:v>
                </c:pt>
                <c:pt idx="60">
                  <c:v>40700</c:v>
                </c:pt>
                <c:pt idx="61">
                  <c:v>50000</c:v>
                </c:pt>
                <c:pt idx="62">
                  <c:v>43900</c:v>
                </c:pt>
                <c:pt idx="63">
                  <c:v>45500</c:v>
                </c:pt>
                <c:pt idx="64">
                  <c:v>35600</c:v>
                </c:pt>
                <c:pt idx="65">
                  <c:v>44000</c:v>
                </c:pt>
                <c:pt idx="66">
                  <c:v>43900</c:v>
                </c:pt>
                <c:pt idx="67">
                  <c:v>41200</c:v>
                </c:pt>
                <c:pt idx="68">
                  <c:v>58400</c:v>
                </c:pt>
                <c:pt idx="69">
                  <c:v>45900</c:v>
                </c:pt>
                <c:pt idx="70">
                  <c:v>34700</c:v>
                </c:pt>
                <c:pt idx="71">
                  <c:v>59600</c:v>
                </c:pt>
                <c:pt idx="72">
                  <c:v>56400</c:v>
                </c:pt>
                <c:pt idx="73">
                  <c:v>53100</c:v>
                </c:pt>
                <c:pt idx="74">
                  <c:v>39600</c:v>
                </c:pt>
                <c:pt idx="75">
                  <c:v>48100</c:v>
                </c:pt>
                <c:pt idx="76">
                  <c:v>42800</c:v>
                </c:pt>
                <c:pt idx="77">
                  <c:v>42500</c:v>
                </c:pt>
                <c:pt idx="78">
                  <c:v>47200</c:v>
                </c:pt>
                <c:pt idx="79">
                  <c:v>42200</c:v>
                </c:pt>
                <c:pt idx="80">
                  <c:v>46900</c:v>
                </c:pt>
                <c:pt idx="81">
                  <c:v>55200</c:v>
                </c:pt>
                <c:pt idx="82">
                  <c:v>51400</c:v>
                </c:pt>
                <c:pt idx="83">
                  <c:v>46400</c:v>
                </c:pt>
                <c:pt idx="84">
                  <c:v>45100</c:v>
                </c:pt>
                <c:pt idx="85">
                  <c:v>42600</c:v>
                </c:pt>
                <c:pt idx="86">
                  <c:v>49900</c:v>
                </c:pt>
                <c:pt idx="87">
                  <c:v>50000</c:v>
                </c:pt>
                <c:pt idx="88">
                  <c:v>56600</c:v>
                </c:pt>
                <c:pt idx="89">
                  <c:v>46500</c:v>
                </c:pt>
                <c:pt idx="90">
                  <c:v>38900</c:v>
                </c:pt>
                <c:pt idx="91">
                  <c:v>44400</c:v>
                </c:pt>
                <c:pt idx="92">
                  <c:v>64500</c:v>
                </c:pt>
                <c:pt idx="93">
                  <c:v>43200</c:v>
                </c:pt>
                <c:pt idx="94">
                  <c:v>53200</c:v>
                </c:pt>
                <c:pt idx="95">
                  <c:v>51400</c:v>
                </c:pt>
                <c:pt idx="96">
                  <c:v>45900</c:v>
                </c:pt>
                <c:pt idx="97">
                  <c:v>52400</c:v>
                </c:pt>
                <c:pt idx="98">
                  <c:v>51500</c:v>
                </c:pt>
                <c:pt idx="99">
                  <c:v>53800</c:v>
                </c:pt>
                <c:pt idx="100">
                  <c:v>55500</c:v>
                </c:pt>
                <c:pt idx="101">
                  <c:v>56300</c:v>
                </c:pt>
                <c:pt idx="102">
                  <c:v>61000</c:v>
                </c:pt>
                <c:pt idx="103">
                  <c:v>44400</c:v>
                </c:pt>
                <c:pt idx="104">
                  <c:v>66400</c:v>
                </c:pt>
                <c:pt idx="105">
                  <c:v>43200</c:v>
                </c:pt>
                <c:pt idx="106">
                  <c:v>49900</c:v>
                </c:pt>
                <c:pt idx="107">
                  <c:v>48300</c:v>
                </c:pt>
                <c:pt idx="108">
                  <c:v>33600</c:v>
                </c:pt>
                <c:pt idx="109">
                  <c:v>43100</c:v>
                </c:pt>
                <c:pt idx="110">
                  <c:v>55100</c:v>
                </c:pt>
                <c:pt idx="111">
                  <c:v>45100</c:v>
                </c:pt>
                <c:pt idx="112">
                  <c:v>51700</c:v>
                </c:pt>
                <c:pt idx="113">
                  <c:v>49200</c:v>
                </c:pt>
                <c:pt idx="114">
                  <c:v>36100</c:v>
                </c:pt>
                <c:pt idx="115">
                  <c:v>42700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AB-6445-A200-9CA75A8578EC}"/>
            </c:ext>
          </c:extLst>
        </c:ser>
        <c:ser>
          <c:idx val="1"/>
          <c:order val="1"/>
          <c:tx>
            <c:v>Predicted Earnings</c:v>
          </c:tx>
          <c:spPr>
            <a:ln w="19050">
              <a:noFill/>
            </a:ln>
          </c:spPr>
          <c:xVal>
            <c:numRef>
              <c:f>College!$F$2:$F$117</c:f>
              <c:numCache>
                <c:formatCode>General</c:formatCode>
                <c:ptCount val="11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</c:numCache>
            </c:numRef>
          </c:xVal>
          <c:yVal>
            <c:numRef>
              <c:f>College!$I$29:$I$144</c:f>
              <c:numCache>
                <c:formatCode>General</c:formatCode>
                <c:ptCount val="116"/>
                <c:pt idx="0">
                  <c:v>45992.202585257772</c:v>
                </c:pt>
                <c:pt idx="1">
                  <c:v>46211.786112865833</c:v>
                </c:pt>
                <c:pt idx="2">
                  <c:v>42043.768383896408</c:v>
                </c:pt>
                <c:pt idx="3">
                  <c:v>47849.462585218411</c:v>
                </c:pt>
                <c:pt idx="4">
                  <c:v>49139.922742043644</c:v>
                </c:pt>
                <c:pt idx="5">
                  <c:v>54710.969012982401</c:v>
                </c:pt>
                <c:pt idx="6">
                  <c:v>55981.824734397916</c:v>
                </c:pt>
                <c:pt idx="7">
                  <c:v>49065.353845623089</c:v>
                </c:pt>
                <c:pt idx="8">
                  <c:v>45278.406465060587</c:v>
                </c:pt>
                <c:pt idx="9">
                  <c:v>52482.956843379267</c:v>
                </c:pt>
                <c:pt idx="10">
                  <c:v>43469.696594347268</c:v>
                </c:pt>
                <c:pt idx="11">
                  <c:v>49893.075857743002</c:v>
                </c:pt>
                <c:pt idx="12">
                  <c:v>52728.906638962028</c:v>
                </c:pt>
                <c:pt idx="13">
                  <c:v>50262.135092045333</c:v>
                </c:pt>
                <c:pt idx="14">
                  <c:v>42276.784111145593</c:v>
                </c:pt>
                <c:pt idx="15">
                  <c:v>42719.503509612878</c:v>
                </c:pt>
                <c:pt idx="16">
                  <c:v>48524.154518754134</c:v>
                </c:pt>
                <c:pt idx="17">
                  <c:v>34916.87527257749</c:v>
                </c:pt>
                <c:pt idx="18">
                  <c:v>46804.30419442882</c:v>
                </c:pt>
                <c:pt idx="19">
                  <c:v>54017.973130361541</c:v>
                </c:pt>
                <c:pt idx="20">
                  <c:v>43223.429411160163</c:v>
                </c:pt>
                <c:pt idx="21">
                  <c:v>39794.701169736494</c:v>
                </c:pt>
                <c:pt idx="22">
                  <c:v>47477.509794419777</c:v>
                </c:pt>
                <c:pt idx="23">
                  <c:v>51872.290982875325</c:v>
                </c:pt>
                <c:pt idx="24">
                  <c:v>44675.322548568409</c:v>
                </c:pt>
                <c:pt idx="25">
                  <c:v>48199.994888392808</c:v>
                </c:pt>
                <c:pt idx="26">
                  <c:v>44524.843293637845</c:v>
                </c:pt>
                <c:pt idx="27">
                  <c:v>45719.639529983106</c:v>
                </c:pt>
                <c:pt idx="28">
                  <c:v>52241.973463499286</c:v>
                </c:pt>
                <c:pt idx="29">
                  <c:v>50244.613044717633</c:v>
                </c:pt>
                <c:pt idx="30">
                  <c:v>43660.485627678674</c:v>
                </c:pt>
                <c:pt idx="31">
                  <c:v>33750.344253627663</c:v>
                </c:pt>
                <c:pt idx="32">
                  <c:v>41379.324126006199</c:v>
                </c:pt>
                <c:pt idx="33">
                  <c:v>40842.112827877572</c:v>
                </c:pt>
                <c:pt idx="34">
                  <c:v>44853.968155731716</c:v>
                </c:pt>
                <c:pt idx="35">
                  <c:v>52821.302669748249</c:v>
                </c:pt>
                <c:pt idx="36">
                  <c:v>47883.827744918504</c:v>
                </c:pt>
                <c:pt idx="37">
                  <c:v>48301.088120509048</c:v>
                </c:pt>
                <c:pt idx="38">
                  <c:v>41083.161607359492</c:v>
                </c:pt>
                <c:pt idx="39">
                  <c:v>47153.95885472028</c:v>
                </c:pt>
                <c:pt idx="40">
                  <c:v>50697.672148203899</c:v>
                </c:pt>
                <c:pt idx="41">
                  <c:v>40460.841694798779</c:v>
                </c:pt>
                <c:pt idx="42">
                  <c:v>51021.375926215682</c:v>
                </c:pt>
                <c:pt idx="43">
                  <c:v>44089.260364120375</c:v>
                </c:pt>
                <c:pt idx="44">
                  <c:v>47649.269997362666</c:v>
                </c:pt>
                <c:pt idx="45">
                  <c:v>49123.180264647242</c:v>
                </c:pt>
                <c:pt idx="46">
                  <c:v>45498.648551097074</c:v>
                </c:pt>
                <c:pt idx="47">
                  <c:v>44718.970251289982</c:v>
                </c:pt>
                <c:pt idx="48">
                  <c:v>47040.924801951878</c:v>
                </c:pt>
                <c:pt idx="49">
                  <c:v>53664.937386008489</c:v>
                </c:pt>
                <c:pt idx="50">
                  <c:v>46099.483683669125</c:v>
                </c:pt>
                <c:pt idx="51">
                  <c:v>38915.863367826874</c:v>
                </c:pt>
                <c:pt idx="52">
                  <c:v>43796.744962215373</c:v>
                </c:pt>
                <c:pt idx="53">
                  <c:v>45851.556543550716</c:v>
                </c:pt>
                <c:pt idx="54">
                  <c:v>44970.500709663669</c:v>
                </c:pt>
                <c:pt idx="55">
                  <c:v>42878.188878149849</c:v>
                </c:pt>
                <c:pt idx="56">
                  <c:v>45438.468381339131</c:v>
                </c:pt>
                <c:pt idx="57">
                  <c:v>39080.128552614486</c:v>
                </c:pt>
                <c:pt idx="58">
                  <c:v>45392.105968247655</c:v>
                </c:pt>
                <c:pt idx="59">
                  <c:v>46140.893751437507</c:v>
                </c:pt>
                <c:pt idx="60">
                  <c:v>39747.89502756617</c:v>
                </c:pt>
                <c:pt idx="61">
                  <c:v>49341.018394753402</c:v>
                </c:pt>
                <c:pt idx="62">
                  <c:v>46909.296606150143</c:v>
                </c:pt>
                <c:pt idx="63">
                  <c:v>47278.690345740964</c:v>
                </c:pt>
                <c:pt idx="64">
                  <c:v>40719.106357831937</c:v>
                </c:pt>
                <c:pt idx="65">
                  <c:v>41651.698697175365</c:v>
                </c:pt>
                <c:pt idx="66">
                  <c:v>40266.523070931165</c:v>
                </c:pt>
                <c:pt idx="67">
                  <c:v>43487.544103368025</c:v>
                </c:pt>
                <c:pt idx="68">
                  <c:v>44994.014885930563</c:v>
                </c:pt>
                <c:pt idx="69">
                  <c:v>45843.757772049641</c:v>
                </c:pt>
                <c:pt idx="70">
                  <c:v>29034.544344284463</c:v>
                </c:pt>
                <c:pt idx="71">
                  <c:v>56583.01034021494</c:v>
                </c:pt>
                <c:pt idx="72">
                  <c:v>52413.535031503721</c:v>
                </c:pt>
                <c:pt idx="73">
                  <c:v>44040.343567216936</c:v>
                </c:pt>
                <c:pt idx="74">
                  <c:v>33869.570220001398</c:v>
                </c:pt>
                <c:pt idx="75">
                  <c:v>46798.080680468731</c:v>
                </c:pt>
                <c:pt idx="76">
                  <c:v>44113.064356287126</c:v>
                </c:pt>
                <c:pt idx="77">
                  <c:v>45676.869470144462</c:v>
                </c:pt>
                <c:pt idx="78">
                  <c:v>48921.194256197261</c:v>
                </c:pt>
                <c:pt idx="79">
                  <c:v>46834.698804332911</c:v>
                </c:pt>
                <c:pt idx="80">
                  <c:v>44674.747020279938</c:v>
                </c:pt>
                <c:pt idx="81">
                  <c:v>53855.77762267043</c:v>
                </c:pt>
                <c:pt idx="82">
                  <c:v>50627.530090050022</c:v>
                </c:pt>
                <c:pt idx="83">
                  <c:v>48087.4828849572</c:v>
                </c:pt>
                <c:pt idx="84">
                  <c:v>47818.450982237351</c:v>
                </c:pt>
                <c:pt idx="85">
                  <c:v>43058.075237565645</c:v>
                </c:pt>
                <c:pt idx="86">
                  <c:v>46352.645573497561</c:v>
                </c:pt>
                <c:pt idx="87">
                  <c:v>47655.662392452483</c:v>
                </c:pt>
                <c:pt idx="88">
                  <c:v>52689.476913874772</c:v>
                </c:pt>
                <c:pt idx="89">
                  <c:v>45519.19546697881</c:v>
                </c:pt>
                <c:pt idx="90">
                  <c:v>41569.239848292324</c:v>
                </c:pt>
                <c:pt idx="91">
                  <c:v>45567.985770814063</c:v>
                </c:pt>
                <c:pt idx="92">
                  <c:v>53357.113074902714</c:v>
                </c:pt>
                <c:pt idx="93">
                  <c:v>47951.149051022112</c:v>
                </c:pt>
                <c:pt idx="94">
                  <c:v>50276.969033072659</c:v>
                </c:pt>
                <c:pt idx="95">
                  <c:v>52031.314190404475</c:v>
                </c:pt>
                <c:pt idx="96">
                  <c:v>47167.71751606022</c:v>
                </c:pt>
                <c:pt idx="97">
                  <c:v>50382.795473154976</c:v>
                </c:pt>
                <c:pt idx="98">
                  <c:v>53689.687418805595</c:v>
                </c:pt>
                <c:pt idx="99">
                  <c:v>49127.037391748992</c:v>
                </c:pt>
                <c:pt idx="100">
                  <c:v>52399.831133652646</c:v>
                </c:pt>
                <c:pt idx="101">
                  <c:v>52645.409081329592</c:v>
                </c:pt>
                <c:pt idx="102">
                  <c:v>50831.36746094955</c:v>
                </c:pt>
                <c:pt idx="103">
                  <c:v>47506.21858930037</c:v>
                </c:pt>
                <c:pt idx="104">
                  <c:v>48460.678703633457</c:v>
                </c:pt>
                <c:pt idx="105">
                  <c:v>43758.376805824235</c:v>
                </c:pt>
                <c:pt idx="106">
                  <c:v>48219.267227072909</c:v>
                </c:pt>
                <c:pt idx="107">
                  <c:v>48468.11214117059</c:v>
                </c:pt>
                <c:pt idx="108">
                  <c:v>40908.501802470346</c:v>
                </c:pt>
                <c:pt idx="109">
                  <c:v>40069.466137438409</c:v>
                </c:pt>
                <c:pt idx="110">
                  <c:v>48814.22947052354</c:v>
                </c:pt>
                <c:pt idx="111">
                  <c:v>48535.602328403918</c:v>
                </c:pt>
                <c:pt idx="112">
                  <c:v>43632.18880992847</c:v>
                </c:pt>
                <c:pt idx="113">
                  <c:v>52764.059519414848</c:v>
                </c:pt>
                <c:pt idx="114">
                  <c:v>39560.412527867229</c:v>
                </c:pt>
                <c:pt idx="115">
                  <c:v>48238.79844574567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AB-6445-A200-9CA75A857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273120"/>
        <c:axId val="1684099152"/>
      </c:scatterChart>
      <c:valAx>
        <c:axId val="168427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City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099152"/>
        <c:crosses val="autoZero"/>
        <c:crossBetween val="midCat"/>
      </c:valAx>
      <c:valAx>
        <c:axId val="16840991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Earnings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2731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GNP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Retail!$D$2:$D$41</c:f>
              <c:numCache>
                <c:formatCode>0.000</c:formatCode>
                <c:ptCount val="40"/>
                <c:pt idx="0">
                  <c:v>15285.828</c:v>
                </c:pt>
                <c:pt idx="1">
                  <c:v>15496.189</c:v>
                </c:pt>
                <c:pt idx="2">
                  <c:v>15591.85</c:v>
                </c:pt>
                <c:pt idx="3">
                  <c:v>15796.46</c:v>
                </c:pt>
                <c:pt idx="4">
                  <c:v>16019.758</c:v>
                </c:pt>
                <c:pt idx="5">
                  <c:v>16152.257</c:v>
                </c:pt>
                <c:pt idx="6">
                  <c:v>16257.151</c:v>
                </c:pt>
                <c:pt idx="7">
                  <c:v>16358.862999999999</c:v>
                </c:pt>
                <c:pt idx="8">
                  <c:v>16569.591</c:v>
                </c:pt>
                <c:pt idx="9">
                  <c:v>16637.925999999999</c:v>
                </c:pt>
                <c:pt idx="10">
                  <c:v>16848.748</c:v>
                </c:pt>
                <c:pt idx="11">
                  <c:v>17083.136999999999</c:v>
                </c:pt>
                <c:pt idx="12">
                  <c:v>17104.555</c:v>
                </c:pt>
                <c:pt idx="13">
                  <c:v>17432.909</c:v>
                </c:pt>
                <c:pt idx="14">
                  <c:v>17721.656999999999</c:v>
                </c:pt>
                <c:pt idx="15">
                  <c:v>17849.912</c:v>
                </c:pt>
                <c:pt idx="16">
                  <c:v>18003.399000000001</c:v>
                </c:pt>
                <c:pt idx="17">
                  <c:v>18223.577000000001</c:v>
                </c:pt>
                <c:pt idx="18">
                  <c:v>18347.424999999999</c:v>
                </c:pt>
                <c:pt idx="19">
                  <c:v>18378.803</c:v>
                </c:pt>
                <c:pt idx="20">
                  <c:v>18470.155999999999</c:v>
                </c:pt>
                <c:pt idx="21">
                  <c:v>18656.206999999999</c:v>
                </c:pt>
                <c:pt idx="22">
                  <c:v>18821.359</c:v>
                </c:pt>
                <c:pt idx="23">
                  <c:v>19032.580000000002</c:v>
                </c:pt>
                <c:pt idx="24">
                  <c:v>19237.435000000001</c:v>
                </c:pt>
                <c:pt idx="25">
                  <c:v>19379.232</c:v>
                </c:pt>
                <c:pt idx="26">
                  <c:v>19617.288</c:v>
                </c:pt>
                <c:pt idx="27">
                  <c:v>19937.963</c:v>
                </c:pt>
                <c:pt idx="28">
                  <c:v>20242.215</c:v>
                </c:pt>
                <c:pt idx="29">
                  <c:v>20552.652999999998</c:v>
                </c:pt>
                <c:pt idx="30">
                  <c:v>20742.723000000002</c:v>
                </c:pt>
                <c:pt idx="31">
                  <c:v>20909.852999999999</c:v>
                </c:pt>
                <c:pt idx="32">
                  <c:v>21115.309000000001</c:v>
                </c:pt>
                <c:pt idx="33">
                  <c:v>21329.877</c:v>
                </c:pt>
                <c:pt idx="34">
                  <c:v>21540.325000000001</c:v>
                </c:pt>
                <c:pt idx="35">
                  <c:v>21747.394</c:v>
                </c:pt>
                <c:pt idx="36">
                  <c:v>21561.138999999999</c:v>
                </c:pt>
                <c:pt idx="37">
                  <c:v>19520.114000000001</c:v>
                </c:pt>
                <c:pt idx="38">
                  <c:v>21170.252</c:v>
                </c:pt>
                <c:pt idx="39">
                  <c:v>21487.896000000001</c:v>
                </c:pt>
              </c:numCache>
            </c:numRef>
          </c:xVal>
          <c:yVal>
            <c:numRef>
              <c:f>Retail!$N$31:$N$70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FF-984D-BB2E-194CB06AC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040223"/>
        <c:axId val="1382367375"/>
      </c:scatterChart>
      <c:valAx>
        <c:axId val="1383040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GNP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382367375"/>
        <c:crosses val="autoZero"/>
        <c:crossBetween val="midCat"/>
      </c:valAx>
      <c:valAx>
        <c:axId val="13823673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304022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Retail!$E$2:$E$41</c:f>
              <c:numCache>
                <c:formatCode>General</c:formatCode>
                <c:ptCount val="4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Retail!$N$31:$N$70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26-B544-9DF1-DE8A13EA3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948064"/>
        <c:axId val="1374381903"/>
      </c:scatterChart>
      <c:valAx>
        <c:axId val="168394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381903"/>
        <c:crosses val="autoZero"/>
        <c:crossBetween val="midCat"/>
      </c:valAx>
      <c:valAx>
        <c:axId val="1374381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394806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Retail!$F$2:$F$41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Retail!$N$31:$N$70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4C-7A48-8F70-DFB6ED200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441087"/>
        <c:axId val="1374434911"/>
      </c:scatterChart>
      <c:valAx>
        <c:axId val="1547441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434911"/>
        <c:crosses val="autoZero"/>
        <c:crossBetween val="midCat"/>
      </c:valAx>
      <c:valAx>
        <c:axId val="13744349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744108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Retail!$G$2:$G$41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</c:numCache>
            </c:numRef>
          </c:xVal>
          <c:yVal>
            <c:numRef>
              <c:f>Retail!$N$31:$N$70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D9-D340-83D3-6896D7547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832816"/>
        <c:axId val="132528272"/>
      </c:scatterChart>
      <c:valAx>
        <c:axId val="117383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528272"/>
        <c:crosses val="autoZero"/>
        <c:crossBetween val="midCat"/>
      </c:valAx>
      <c:valAx>
        <c:axId val="132528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38328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GNP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Retail!$D$2:$D$41</c:f>
              <c:numCache>
                <c:formatCode>0.000</c:formatCode>
                <c:ptCount val="40"/>
                <c:pt idx="0">
                  <c:v>15285.828</c:v>
                </c:pt>
                <c:pt idx="1">
                  <c:v>15496.189</c:v>
                </c:pt>
                <c:pt idx="2">
                  <c:v>15591.85</c:v>
                </c:pt>
                <c:pt idx="3">
                  <c:v>15796.46</c:v>
                </c:pt>
                <c:pt idx="4">
                  <c:v>16019.758</c:v>
                </c:pt>
                <c:pt idx="5">
                  <c:v>16152.257</c:v>
                </c:pt>
                <c:pt idx="6">
                  <c:v>16257.151</c:v>
                </c:pt>
                <c:pt idx="7">
                  <c:v>16358.862999999999</c:v>
                </c:pt>
                <c:pt idx="8">
                  <c:v>16569.591</c:v>
                </c:pt>
                <c:pt idx="9">
                  <c:v>16637.925999999999</c:v>
                </c:pt>
                <c:pt idx="10">
                  <c:v>16848.748</c:v>
                </c:pt>
                <c:pt idx="11">
                  <c:v>17083.136999999999</c:v>
                </c:pt>
                <c:pt idx="12">
                  <c:v>17104.555</c:v>
                </c:pt>
                <c:pt idx="13">
                  <c:v>17432.909</c:v>
                </c:pt>
                <c:pt idx="14">
                  <c:v>17721.656999999999</c:v>
                </c:pt>
                <c:pt idx="15">
                  <c:v>17849.912</c:v>
                </c:pt>
                <c:pt idx="16">
                  <c:v>18003.399000000001</c:v>
                </c:pt>
                <c:pt idx="17">
                  <c:v>18223.577000000001</c:v>
                </c:pt>
                <c:pt idx="18">
                  <c:v>18347.424999999999</c:v>
                </c:pt>
                <c:pt idx="19">
                  <c:v>18378.803</c:v>
                </c:pt>
                <c:pt idx="20">
                  <c:v>18470.155999999999</c:v>
                </c:pt>
                <c:pt idx="21">
                  <c:v>18656.206999999999</c:v>
                </c:pt>
                <c:pt idx="22">
                  <c:v>18821.359</c:v>
                </c:pt>
                <c:pt idx="23">
                  <c:v>19032.580000000002</c:v>
                </c:pt>
                <c:pt idx="24">
                  <c:v>19237.435000000001</c:v>
                </c:pt>
                <c:pt idx="25">
                  <c:v>19379.232</c:v>
                </c:pt>
                <c:pt idx="26">
                  <c:v>19617.288</c:v>
                </c:pt>
                <c:pt idx="27">
                  <c:v>19937.963</c:v>
                </c:pt>
                <c:pt idx="28">
                  <c:v>20242.215</c:v>
                </c:pt>
                <c:pt idx="29">
                  <c:v>20552.652999999998</c:v>
                </c:pt>
                <c:pt idx="30">
                  <c:v>20742.723000000002</c:v>
                </c:pt>
                <c:pt idx="31">
                  <c:v>20909.852999999999</c:v>
                </c:pt>
                <c:pt idx="32">
                  <c:v>21115.309000000001</c:v>
                </c:pt>
                <c:pt idx="33">
                  <c:v>21329.877</c:v>
                </c:pt>
                <c:pt idx="34">
                  <c:v>21540.325000000001</c:v>
                </c:pt>
                <c:pt idx="35">
                  <c:v>21747.394</c:v>
                </c:pt>
                <c:pt idx="36">
                  <c:v>21561.138999999999</c:v>
                </c:pt>
                <c:pt idx="37">
                  <c:v>19520.114000000001</c:v>
                </c:pt>
                <c:pt idx="38">
                  <c:v>21170.252</c:v>
                </c:pt>
                <c:pt idx="39">
                  <c:v>21487.896000000001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51-C545-A953-39F5E7891B38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Retail!$D$2:$D$41</c:f>
              <c:numCache>
                <c:formatCode>0.000</c:formatCode>
                <c:ptCount val="40"/>
                <c:pt idx="0">
                  <c:v>15285.828</c:v>
                </c:pt>
                <c:pt idx="1">
                  <c:v>15496.189</c:v>
                </c:pt>
                <c:pt idx="2">
                  <c:v>15591.85</c:v>
                </c:pt>
                <c:pt idx="3">
                  <c:v>15796.46</c:v>
                </c:pt>
                <c:pt idx="4">
                  <c:v>16019.758</c:v>
                </c:pt>
                <c:pt idx="5">
                  <c:v>16152.257</c:v>
                </c:pt>
                <c:pt idx="6">
                  <c:v>16257.151</c:v>
                </c:pt>
                <c:pt idx="7">
                  <c:v>16358.862999999999</c:v>
                </c:pt>
                <c:pt idx="8">
                  <c:v>16569.591</c:v>
                </c:pt>
                <c:pt idx="9">
                  <c:v>16637.925999999999</c:v>
                </c:pt>
                <c:pt idx="10">
                  <c:v>16848.748</c:v>
                </c:pt>
                <c:pt idx="11">
                  <c:v>17083.136999999999</c:v>
                </c:pt>
                <c:pt idx="12">
                  <c:v>17104.555</c:v>
                </c:pt>
                <c:pt idx="13">
                  <c:v>17432.909</c:v>
                </c:pt>
                <c:pt idx="14">
                  <c:v>17721.656999999999</c:v>
                </c:pt>
                <c:pt idx="15">
                  <c:v>17849.912</c:v>
                </c:pt>
                <c:pt idx="16">
                  <c:v>18003.399000000001</c:v>
                </c:pt>
                <c:pt idx="17">
                  <c:v>18223.577000000001</c:v>
                </c:pt>
                <c:pt idx="18">
                  <c:v>18347.424999999999</c:v>
                </c:pt>
                <c:pt idx="19">
                  <c:v>18378.803</c:v>
                </c:pt>
                <c:pt idx="20">
                  <c:v>18470.155999999999</c:v>
                </c:pt>
                <c:pt idx="21">
                  <c:v>18656.206999999999</c:v>
                </c:pt>
                <c:pt idx="22">
                  <c:v>18821.359</c:v>
                </c:pt>
                <c:pt idx="23">
                  <c:v>19032.580000000002</c:v>
                </c:pt>
                <c:pt idx="24">
                  <c:v>19237.435000000001</c:v>
                </c:pt>
                <c:pt idx="25">
                  <c:v>19379.232</c:v>
                </c:pt>
                <c:pt idx="26">
                  <c:v>19617.288</c:v>
                </c:pt>
                <c:pt idx="27">
                  <c:v>19937.963</c:v>
                </c:pt>
                <c:pt idx="28">
                  <c:v>20242.215</c:v>
                </c:pt>
                <c:pt idx="29">
                  <c:v>20552.652999999998</c:v>
                </c:pt>
                <c:pt idx="30">
                  <c:v>20742.723000000002</c:v>
                </c:pt>
                <c:pt idx="31">
                  <c:v>20909.852999999999</c:v>
                </c:pt>
                <c:pt idx="32">
                  <c:v>21115.309000000001</c:v>
                </c:pt>
                <c:pt idx="33">
                  <c:v>21329.877</c:v>
                </c:pt>
                <c:pt idx="34">
                  <c:v>21540.325000000001</c:v>
                </c:pt>
                <c:pt idx="35">
                  <c:v>21747.394</c:v>
                </c:pt>
                <c:pt idx="36">
                  <c:v>21561.138999999999</c:v>
                </c:pt>
                <c:pt idx="37">
                  <c:v>19520.114000000001</c:v>
                </c:pt>
                <c:pt idx="38">
                  <c:v>21170.252</c:v>
                </c:pt>
                <c:pt idx="39">
                  <c:v>21487.896000000001</c:v>
                </c:pt>
              </c:numCache>
            </c:numRef>
          </c:xVal>
          <c:yVal>
            <c:numRef>
              <c:f>Retail!$M$31:$M$70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51-C545-A953-39F5E7891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459504"/>
        <c:axId val="360280831"/>
      </c:scatterChart>
      <c:valAx>
        <c:axId val="168445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GNP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360280831"/>
        <c:crosses val="autoZero"/>
        <c:crossBetween val="midCat"/>
      </c:valAx>
      <c:valAx>
        <c:axId val="3602808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459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Retail!$E$2:$E$41</c:f>
              <c:numCache>
                <c:formatCode>General</c:formatCode>
                <c:ptCount val="4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0F-2E42-8EC8-D3BA5EBC8E9C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Retail!$E$2:$E$41</c:f>
              <c:numCache>
                <c:formatCode>General</c:formatCode>
                <c:ptCount val="4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Retail!$M$31:$M$70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0F-2E42-8EC8-D3BA5EBC8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620559"/>
        <c:axId val="1374246479"/>
      </c:scatterChart>
      <c:valAx>
        <c:axId val="1374620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246479"/>
        <c:crosses val="autoZero"/>
        <c:crossBetween val="midCat"/>
      </c:valAx>
      <c:valAx>
        <c:axId val="1374246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620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Retail!$F$2:$F$41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69-9946-BF4A-5173332BF69F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Retail!$F$2:$F$41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Retail!$M$31:$M$70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69-9946-BF4A-5173332BF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236255"/>
        <c:axId val="293357888"/>
      </c:scatterChart>
      <c:valAx>
        <c:axId val="1548236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3357888"/>
        <c:crosses val="autoZero"/>
        <c:crossBetween val="midCat"/>
      </c:valAx>
      <c:valAx>
        <c:axId val="29335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82362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Retail!$G$2:$G$41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A2-3647-9C6E-691187C0E1F5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Retail!$G$2:$G$41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</c:numCache>
            </c:numRef>
          </c:xVal>
          <c:yVal>
            <c:numRef>
              <c:f>Retail!$M$31:$M$70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A2-3647-9C6E-691187C0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463280"/>
        <c:axId val="132269456"/>
      </c:scatterChart>
      <c:valAx>
        <c:axId val="168146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269456"/>
        <c:crosses val="autoZero"/>
        <c:crossBetween val="midCat"/>
      </c:valAx>
      <c:valAx>
        <c:axId val="132269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14632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sz="1200" b="0" i="0" u="none" strike="noStrike" baseline="0"/>
              <a:t>Plot the regressed value against the retail sales value</a:t>
            </a:r>
            <a:endParaRPr lang="th-TH" sz="12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Retail!$E$107:$E$121</c:f>
              <c:numCache>
                <c:formatCode>General</c:formatCode>
                <c:ptCount val="15"/>
              </c:numCache>
            </c:numRef>
          </c:xVal>
          <c:yVal>
            <c:numRef>
              <c:f>Retail!$F$107:$F$121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36-4E8A-B967-EC273DCDBE73}"/>
            </c:ext>
          </c:extLst>
        </c:ser>
        <c:ser>
          <c:idx val="1"/>
          <c:order val="1"/>
          <c:spPr>
            <a:ln w="19050">
              <a:noFill/>
            </a:ln>
          </c:spPr>
          <c:x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xVal>
          <c:yVal>
            <c:numRef>
              <c:f>Retail!$M$31:$M$70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36-4E8A-B967-EC273DCDB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996511"/>
        <c:axId val="1963143439"/>
      </c:scatterChart>
      <c:valAx>
        <c:axId val="359996511"/>
        <c:scaling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63143439"/>
        <c:crosses val="autoZero"/>
        <c:crossBetween val="midCat"/>
      </c:valAx>
      <c:valAx>
        <c:axId val="1963143439"/>
        <c:scaling>
          <c:orientation val="minMax"/>
          <c:min val="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5999651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/>
              <a:t>Residual Plot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Retail!$M$31:$M$70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xVal>
          <c:yVal>
            <c:numRef>
              <c:f>Retail!$N$31:$N$70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BF-4A77-BDE5-9E0D8EFF0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481647"/>
        <c:axId val="1773936815"/>
      </c:scatterChart>
      <c:valAx>
        <c:axId val="1547481647"/>
        <c:scaling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73936815"/>
        <c:crosses val="autoZero"/>
        <c:crossBetween val="midCat"/>
      </c:valAx>
      <c:valAx>
        <c:axId val="177393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4748164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sz="1200" b="0" i="0" u="none" strike="noStrike" baseline="0"/>
              <a:t>Plot the regressed value against the retail sales value</a:t>
            </a:r>
            <a:endParaRPr lang="th-TH" sz="12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'Retail print'!$E$108:$E$122</c:f>
              <c:numCache>
                <c:formatCode>General</c:formatCode>
                <c:ptCount val="15"/>
              </c:numCache>
            </c:numRef>
          </c:xVal>
          <c:yVal>
            <c:numRef>
              <c:f>'Retail print'!$F$108:$F$122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D9-483C-A735-B837256B5805}"/>
            </c:ext>
          </c:extLst>
        </c:ser>
        <c:ser>
          <c:idx val="1"/>
          <c:order val="1"/>
          <c:spPr>
            <a:ln w="19050">
              <a:noFill/>
            </a:ln>
          </c:spPr>
          <c:xVal>
            <c:numRef>
              <c:f>'Retail print'!$C$2:$C$41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xVal>
          <c:yVal>
            <c:numRef>
              <c:f>'Retail print'!$L$29:$L$68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D9-483C-A735-B837256B5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996511"/>
        <c:axId val="1963143439"/>
      </c:scatterChart>
      <c:valAx>
        <c:axId val="359996511"/>
        <c:scaling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63143439"/>
        <c:crosses val="autoZero"/>
        <c:crossBetween val="midCat"/>
      </c:valAx>
      <c:valAx>
        <c:axId val="1963143439"/>
        <c:scaling>
          <c:orientation val="minMax"/>
          <c:min val="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5999651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/>
              <a:t>Residual Plot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'Retail print'!$L$29:$L$68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xVal>
          <c:yVal>
            <c:numRef>
              <c:f>'Retail print'!$M$29:$M$68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2F-48C6-9EDC-9BD1B387F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481647"/>
        <c:axId val="1773936815"/>
      </c:scatterChart>
      <c:valAx>
        <c:axId val="1547481647"/>
        <c:scaling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73936815"/>
        <c:crosses val="autoZero"/>
        <c:crossBetween val="midCat"/>
      </c:valAx>
      <c:valAx>
        <c:axId val="177393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4748164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Fit</a:t>
            </a:r>
            <a:br>
              <a:rPr lang="en-US" baseline="0"/>
            </a:br>
            <a:r>
              <a:rPr lang="en-US" baseline="0"/>
              <a:t>Actual vs Predicted Earning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'College Print'!$B$1</c:f>
              <c:strCache>
                <c:ptCount val="1"/>
                <c:pt idx="0">
                  <c:v>Earnings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'College Print'!$B$2:$B$117</c:f>
              <c:numCache>
                <c:formatCode>General</c:formatCode>
                <c:ptCount val="116"/>
                <c:pt idx="0">
                  <c:v>44800</c:v>
                </c:pt>
                <c:pt idx="1">
                  <c:v>45100</c:v>
                </c:pt>
                <c:pt idx="2">
                  <c:v>42300</c:v>
                </c:pt>
                <c:pt idx="3">
                  <c:v>49200</c:v>
                </c:pt>
                <c:pt idx="4">
                  <c:v>37900</c:v>
                </c:pt>
                <c:pt idx="5">
                  <c:v>74900</c:v>
                </c:pt>
                <c:pt idx="6">
                  <c:v>60600</c:v>
                </c:pt>
                <c:pt idx="7">
                  <c:v>52900</c:v>
                </c:pt>
                <c:pt idx="8">
                  <c:v>44000</c:v>
                </c:pt>
                <c:pt idx="9">
                  <c:v>54500</c:v>
                </c:pt>
                <c:pt idx="10">
                  <c:v>45200</c:v>
                </c:pt>
                <c:pt idx="11">
                  <c:v>40400</c:v>
                </c:pt>
                <c:pt idx="12">
                  <c:v>51800</c:v>
                </c:pt>
                <c:pt idx="13">
                  <c:v>44100</c:v>
                </c:pt>
                <c:pt idx="14">
                  <c:v>38600</c:v>
                </c:pt>
                <c:pt idx="15">
                  <c:v>51900</c:v>
                </c:pt>
                <c:pt idx="16">
                  <c:v>47600</c:v>
                </c:pt>
                <c:pt idx="17">
                  <c:v>35900</c:v>
                </c:pt>
                <c:pt idx="18">
                  <c:v>48300</c:v>
                </c:pt>
                <c:pt idx="19">
                  <c:v>52100</c:v>
                </c:pt>
                <c:pt idx="20">
                  <c:v>42300</c:v>
                </c:pt>
                <c:pt idx="21">
                  <c:v>44400</c:v>
                </c:pt>
                <c:pt idx="22">
                  <c:v>50900</c:v>
                </c:pt>
                <c:pt idx="23">
                  <c:v>61100</c:v>
                </c:pt>
                <c:pt idx="24">
                  <c:v>32300</c:v>
                </c:pt>
                <c:pt idx="25">
                  <c:v>40800</c:v>
                </c:pt>
                <c:pt idx="26">
                  <c:v>48100</c:v>
                </c:pt>
                <c:pt idx="27">
                  <c:v>43600</c:v>
                </c:pt>
                <c:pt idx="28">
                  <c:v>44500</c:v>
                </c:pt>
                <c:pt idx="29">
                  <c:v>42800</c:v>
                </c:pt>
                <c:pt idx="30">
                  <c:v>37600</c:v>
                </c:pt>
                <c:pt idx="31">
                  <c:v>34000</c:v>
                </c:pt>
                <c:pt idx="32">
                  <c:v>38000</c:v>
                </c:pt>
                <c:pt idx="33">
                  <c:v>39700</c:v>
                </c:pt>
                <c:pt idx="34">
                  <c:v>43300</c:v>
                </c:pt>
                <c:pt idx="35">
                  <c:v>52800</c:v>
                </c:pt>
                <c:pt idx="36">
                  <c:v>45500</c:v>
                </c:pt>
                <c:pt idx="37">
                  <c:v>50100</c:v>
                </c:pt>
                <c:pt idx="38">
                  <c:v>43400</c:v>
                </c:pt>
                <c:pt idx="39">
                  <c:v>40500</c:v>
                </c:pt>
                <c:pt idx="40">
                  <c:v>48600</c:v>
                </c:pt>
                <c:pt idx="41">
                  <c:v>37000</c:v>
                </c:pt>
                <c:pt idx="42">
                  <c:v>50400</c:v>
                </c:pt>
                <c:pt idx="43">
                  <c:v>35100</c:v>
                </c:pt>
                <c:pt idx="44">
                  <c:v>45200</c:v>
                </c:pt>
                <c:pt idx="45">
                  <c:v>49400</c:v>
                </c:pt>
                <c:pt idx="46">
                  <c:v>48100</c:v>
                </c:pt>
                <c:pt idx="47">
                  <c:v>40900</c:v>
                </c:pt>
                <c:pt idx="48">
                  <c:v>36700</c:v>
                </c:pt>
                <c:pt idx="49">
                  <c:v>43400</c:v>
                </c:pt>
                <c:pt idx="50">
                  <c:v>51300</c:v>
                </c:pt>
                <c:pt idx="51">
                  <c:v>46000</c:v>
                </c:pt>
                <c:pt idx="52">
                  <c:v>41300</c:v>
                </c:pt>
                <c:pt idx="53">
                  <c:v>42800</c:v>
                </c:pt>
                <c:pt idx="54">
                  <c:v>35500</c:v>
                </c:pt>
                <c:pt idx="55">
                  <c:v>42600</c:v>
                </c:pt>
                <c:pt idx="56">
                  <c:v>44600</c:v>
                </c:pt>
                <c:pt idx="57">
                  <c:v>50600</c:v>
                </c:pt>
                <c:pt idx="58">
                  <c:v>38400</c:v>
                </c:pt>
                <c:pt idx="59">
                  <c:v>39000</c:v>
                </c:pt>
                <c:pt idx="60">
                  <c:v>40700</c:v>
                </c:pt>
                <c:pt idx="61">
                  <c:v>50000</c:v>
                </c:pt>
                <c:pt idx="62">
                  <c:v>43900</c:v>
                </c:pt>
                <c:pt idx="63">
                  <c:v>45500</c:v>
                </c:pt>
                <c:pt idx="64">
                  <c:v>35600</c:v>
                </c:pt>
                <c:pt idx="65">
                  <c:v>44000</c:v>
                </c:pt>
                <c:pt idx="66">
                  <c:v>43900</c:v>
                </c:pt>
                <c:pt idx="67">
                  <c:v>41200</c:v>
                </c:pt>
                <c:pt idx="68">
                  <c:v>58400</c:v>
                </c:pt>
                <c:pt idx="69">
                  <c:v>45900</c:v>
                </c:pt>
                <c:pt idx="70">
                  <c:v>34700</c:v>
                </c:pt>
                <c:pt idx="71">
                  <c:v>59600</c:v>
                </c:pt>
                <c:pt idx="72">
                  <c:v>56400</c:v>
                </c:pt>
                <c:pt idx="73">
                  <c:v>53100</c:v>
                </c:pt>
                <c:pt idx="74">
                  <c:v>39600</c:v>
                </c:pt>
                <c:pt idx="75">
                  <c:v>48100</c:v>
                </c:pt>
                <c:pt idx="76">
                  <c:v>42800</c:v>
                </c:pt>
                <c:pt idx="77">
                  <c:v>42500</c:v>
                </c:pt>
                <c:pt idx="78">
                  <c:v>47200</c:v>
                </c:pt>
                <c:pt idx="79">
                  <c:v>42200</c:v>
                </c:pt>
                <c:pt idx="80">
                  <c:v>46900</c:v>
                </c:pt>
                <c:pt idx="81">
                  <c:v>55200</c:v>
                </c:pt>
                <c:pt idx="82">
                  <c:v>51400</c:v>
                </c:pt>
                <c:pt idx="83">
                  <c:v>46400</c:v>
                </c:pt>
                <c:pt idx="84">
                  <c:v>45100</c:v>
                </c:pt>
                <c:pt idx="85">
                  <c:v>42600</c:v>
                </c:pt>
                <c:pt idx="86">
                  <c:v>49900</c:v>
                </c:pt>
                <c:pt idx="87">
                  <c:v>50000</c:v>
                </c:pt>
                <c:pt idx="88">
                  <c:v>56600</c:v>
                </c:pt>
                <c:pt idx="89">
                  <c:v>46500</c:v>
                </c:pt>
                <c:pt idx="90">
                  <c:v>38900</c:v>
                </c:pt>
                <c:pt idx="91">
                  <c:v>44400</c:v>
                </c:pt>
                <c:pt idx="92">
                  <c:v>64500</c:v>
                </c:pt>
                <c:pt idx="93">
                  <c:v>43200</c:v>
                </c:pt>
                <c:pt idx="94">
                  <c:v>53200</c:v>
                </c:pt>
                <c:pt idx="95">
                  <c:v>51400</c:v>
                </c:pt>
                <c:pt idx="96">
                  <c:v>45900</c:v>
                </c:pt>
                <c:pt idx="97">
                  <c:v>52400</c:v>
                </c:pt>
                <c:pt idx="98">
                  <c:v>51500</c:v>
                </c:pt>
                <c:pt idx="99">
                  <c:v>53800</c:v>
                </c:pt>
                <c:pt idx="100">
                  <c:v>55500</c:v>
                </c:pt>
                <c:pt idx="101">
                  <c:v>56300</c:v>
                </c:pt>
                <c:pt idx="102">
                  <c:v>61000</c:v>
                </c:pt>
                <c:pt idx="103">
                  <c:v>44400</c:v>
                </c:pt>
                <c:pt idx="104">
                  <c:v>66400</c:v>
                </c:pt>
                <c:pt idx="105">
                  <c:v>43200</c:v>
                </c:pt>
                <c:pt idx="106">
                  <c:v>49900</c:v>
                </c:pt>
                <c:pt idx="107">
                  <c:v>48300</c:v>
                </c:pt>
                <c:pt idx="108">
                  <c:v>33600</c:v>
                </c:pt>
                <c:pt idx="109">
                  <c:v>43100</c:v>
                </c:pt>
                <c:pt idx="110">
                  <c:v>55100</c:v>
                </c:pt>
                <c:pt idx="111">
                  <c:v>45100</c:v>
                </c:pt>
                <c:pt idx="112">
                  <c:v>51700</c:v>
                </c:pt>
                <c:pt idx="113">
                  <c:v>49200</c:v>
                </c:pt>
                <c:pt idx="114">
                  <c:v>36100</c:v>
                </c:pt>
                <c:pt idx="115">
                  <c:v>42700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46-F545-A56F-F3498E199082}"/>
            </c:ext>
          </c:extLst>
        </c:ser>
        <c:ser>
          <c:idx val="1"/>
          <c:order val="1"/>
          <c:tx>
            <c:strRef>
              <c:f>'College Print'!$I$29</c:f>
              <c:strCache>
                <c:ptCount val="1"/>
                <c:pt idx="0">
                  <c:v>45992.20259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'College Print'!$I$29:$I$144</c:f>
              <c:numCache>
                <c:formatCode>General</c:formatCode>
                <c:ptCount val="116"/>
                <c:pt idx="0">
                  <c:v>45992.202585257772</c:v>
                </c:pt>
                <c:pt idx="1">
                  <c:v>46211.786112865833</c:v>
                </c:pt>
                <c:pt idx="2">
                  <c:v>42043.768383896408</c:v>
                </c:pt>
                <c:pt idx="3">
                  <c:v>47849.462585218411</c:v>
                </c:pt>
                <c:pt idx="4">
                  <c:v>49139.922742043644</c:v>
                </c:pt>
                <c:pt idx="5">
                  <c:v>54710.969012982401</c:v>
                </c:pt>
                <c:pt idx="6">
                  <c:v>55981.824734397916</c:v>
                </c:pt>
                <c:pt idx="7">
                  <c:v>49065.353845623089</c:v>
                </c:pt>
                <c:pt idx="8">
                  <c:v>45278.406465060587</c:v>
                </c:pt>
                <c:pt idx="9">
                  <c:v>52482.956843379267</c:v>
                </c:pt>
                <c:pt idx="10">
                  <c:v>43469.696594347268</c:v>
                </c:pt>
                <c:pt idx="11">
                  <c:v>49893.075857743002</c:v>
                </c:pt>
                <c:pt idx="12">
                  <c:v>52728.906638962028</c:v>
                </c:pt>
                <c:pt idx="13">
                  <c:v>50262.135092045333</c:v>
                </c:pt>
                <c:pt idx="14">
                  <c:v>42276.784111145593</c:v>
                </c:pt>
                <c:pt idx="15">
                  <c:v>42719.503509612878</c:v>
                </c:pt>
                <c:pt idx="16">
                  <c:v>48524.154518754134</c:v>
                </c:pt>
                <c:pt idx="17">
                  <c:v>34916.87527257749</c:v>
                </c:pt>
                <c:pt idx="18">
                  <c:v>46804.30419442882</c:v>
                </c:pt>
                <c:pt idx="19">
                  <c:v>54017.973130361541</c:v>
                </c:pt>
                <c:pt idx="20">
                  <c:v>43223.429411160163</c:v>
                </c:pt>
                <c:pt idx="21">
                  <c:v>39794.701169736494</c:v>
                </c:pt>
                <c:pt idx="22">
                  <c:v>47477.509794419777</c:v>
                </c:pt>
                <c:pt idx="23">
                  <c:v>51872.290982875325</c:v>
                </c:pt>
                <c:pt idx="24">
                  <c:v>44675.322548568409</c:v>
                </c:pt>
                <c:pt idx="25">
                  <c:v>48199.994888392808</c:v>
                </c:pt>
                <c:pt idx="26">
                  <c:v>44524.843293637845</c:v>
                </c:pt>
                <c:pt idx="27">
                  <c:v>45719.639529983106</c:v>
                </c:pt>
                <c:pt idx="28">
                  <c:v>52241.973463499286</c:v>
                </c:pt>
                <c:pt idx="29">
                  <c:v>50244.613044717633</c:v>
                </c:pt>
                <c:pt idx="30">
                  <c:v>43660.485627678674</c:v>
                </c:pt>
                <c:pt idx="31">
                  <c:v>33750.344253627663</c:v>
                </c:pt>
                <c:pt idx="32">
                  <c:v>41379.324126006199</c:v>
                </c:pt>
                <c:pt idx="33">
                  <c:v>40842.112827877572</c:v>
                </c:pt>
                <c:pt idx="34">
                  <c:v>44853.968155731716</c:v>
                </c:pt>
                <c:pt idx="35">
                  <c:v>52821.302669748249</c:v>
                </c:pt>
                <c:pt idx="36">
                  <c:v>47883.827744918504</c:v>
                </c:pt>
                <c:pt idx="37">
                  <c:v>48301.088120509048</c:v>
                </c:pt>
                <c:pt idx="38">
                  <c:v>41083.161607359492</c:v>
                </c:pt>
                <c:pt idx="39">
                  <c:v>47153.95885472028</c:v>
                </c:pt>
                <c:pt idx="40">
                  <c:v>50697.672148203899</c:v>
                </c:pt>
                <c:pt idx="41">
                  <c:v>40460.841694798779</c:v>
                </c:pt>
                <c:pt idx="42">
                  <c:v>51021.375926215682</c:v>
                </c:pt>
                <c:pt idx="43">
                  <c:v>44089.260364120375</c:v>
                </c:pt>
                <c:pt idx="44">
                  <c:v>47649.269997362666</c:v>
                </c:pt>
                <c:pt idx="45">
                  <c:v>49123.180264647242</c:v>
                </c:pt>
                <c:pt idx="46">
                  <c:v>45498.648551097074</c:v>
                </c:pt>
                <c:pt idx="47">
                  <c:v>44718.970251289982</c:v>
                </c:pt>
                <c:pt idx="48">
                  <c:v>47040.924801951878</c:v>
                </c:pt>
                <c:pt idx="49">
                  <c:v>53664.937386008489</c:v>
                </c:pt>
                <c:pt idx="50">
                  <c:v>46099.483683669125</c:v>
                </c:pt>
                <c:pt idx="51">
                  <c:v>38915.863367826874</c:v>
                </c:pt>
                <c:pt idx="52">
                  <c:v>43796.744962215373</c:v>
                </c:pt>
                <c:pt idx="53">
                  <c:v>45851.556543550716</c:v>
                </c:pt>
                <c:pt idx="54">
                  <c:v>44970.500709663669</c:v>
                </c:pt>
                <c:pt idx="55">
                  <c:v>42878.188878149849</c:v>
                </c:pt>
                <c:pt idx="56">
                  <c:v>45438.468381339131</c:v>
                </c:pt>
                <c:pt idx="57">
                  <c:v>39080.128552614486</c:v>
                </c:pt>
                <c:pt idx="58">
                  <c:v>45392.105968247655</c:v>
                </c:pt>
                <c:pt idx="59">
                  <c:v>46140.893751437507</c:v>
                </c:pt>
                <c:pt idx="60">
                  <c:v>39747.89502756617</c:v>
                </c:pt>
                <c:pt idx="61">
                  <c:v>49341.018394753402</c:v>
                </c:pt>
                <c:pt idx="62">
                  <c:v>46909.296606150143</c:v>
                </c:pt>
                <c:pt idx="63">
                  <c:v>47278.690345740964</c:v>
                </c:pt>
                <c:pt idx="64">
                  <c:v>40719.106357831937</c:v>
                </c:pt>
                <c:pt idx="65">
                  <c:v>41651.698697175365</c:v>
                </c:pt>
                <c:pt idx="66">
                  <c:v>40266.523070931165</c:v>
                </c:pt>
                <c:pt idx="67">
                  <c:v>43487.544103368025</c:v>
                </c:pt>
                <c:pt idx="68">
                  <c:v>44994.014885930563</c:v>
                </c:pt>
                <c:pt idx="69">
                  <c:v>45843.757772049641</c:v>
                </c:pt>
                <c:pt idx="70">
                  <c:v>29034.544344284463</c:v>
                </c:pt>
                <c:pt idx="71">
                  <c:v>56583.01034021494</c:v>
                </c:pt>
                <c:pt idx="72">
                  <c:v>52413.535031503721</c:v>
                </c:pt>
                <c:pt idx="73">
                  <c:v>44040.343567216936</c:v>
                </c:pt>
                <c:pt idx="74">
                  <c:v>33869.570220001398</c:v>
                </c:pt>
                <c:pt idx="75">
                  <c:v>46798.080680468731</c:v>
                </c:pt>
                <c:pt idx="76">
                  <c:v>44113.064356287126</c:v>
                </c:pt>
                <c:pt idx="77">
                  <c:v>45676.869470144462</c:v>
                </c:pt>
                <c:pt idx="78">
                  <c:v>48921.194256197261</c:v>
                </c:pt>
                <c:pt idx="79">
                  <c:v>46834.698804332911</c:v>
                </c:pt>
                <c:pt idx="80">
                  <c:v>44674.747020279938</c:v>
                </c:pt>
                <c:pt idx="81">
                  <c:v>53855.77762267043</c:v>
                </c:pt>
                <c:pt idx="82">
                  <c:v>50627.530090050022</c:v>
                </c:pt>
                <c:pt idx="83">
                  <c:v>48087.4828849572</c:v>
                </c:pt>
                <c:pt idx="84">
                  <c:v>47818.450982237351</c:v>
                </c:pt>
                <c:pt idx="85">
                  <c:v>43058.075237565645</c:v>
                </c:pt>
                <c:pt idx="86">
                  <c:v>46352.645573497561</c:v>
                </c:pt>
                <c:pt idx="87">
                  <c:v>47655.662392452483</c:v>
                </c:pt>
                <c:pt idx="88">
                  <c:v>52689.476913874772</c:v>
                </c:pt>
                <c:pt idx="89">
                  <c:v>45519.19546697881</c:v>
                </c:pt>
                <c:pt idx="90">
                  <c:v>41569.239848292324</c:v>
                </c:pt>
                <c:pt idx="91">
                  <c:v>45567.985770814063</c:v>
                </c:pt>
                <c:pt idx="92">
                  <c:v>53357.113074902714</c:v>
                </c:pt>
                <c:pt idx="93">
                  <c:v>47951.149051022112</c:v>
                </c:pt>
                <c:pt idx="94">
                  <c:v>50276.969033072659</c:v>
                </c:pt>
                <c:pt idx="95">
                  <c:v>52031.314190404475</c:v>
                </c:pt>
                <c:pt idx="96">
                  <c:v>47167.71751606022</c:v>
                </c:pt>
                <c:pt idx="97">
                  <c:v>50382.795473154976</c:v>
                </c:pt>
                <c:pt idx="98">
                  <c:v>53689.687418805595</c:v>
                </c:pt>
                <c:pt idx="99">
                  <c:v>49127.037391748992</c:v>
                </c:pt>
                <c:pt idx="100">
                  <c:v>52399.831133652646</c:v>
                </c:pt>
                <c:pt idx="101">
                  <c:v>52645.409081329592</c:v>
                </c:pt>
                <c:pt idx="102">
                  <c:v>50831.36746094955</c:v>
                </c:pt>
                <c:pt idx="103">
                  <c:v>47506.21858930037</c:v>
                </c:pt>
                <c:pt idx="104">
                  <c:v>48460.678703633457</c:v>
                </c:pt>
                <c:pt idx="105">
                  <c:v>43758.376805824235</c:v>
                </c:pt>
                <c:pt idx="106">
                  <c:v>48219.267227072909</c:v>
                </c:pt>
                <c:pt idx="107">
                  <c:v>48468.11214117059</c:v>
                </c:pt>
                <c:pt idx="108">
                  <c:v>40908.501802470346</c:v>
                </c:pt>
                <c:pt idx="109">
                  <c:v>40069.466137438409</c:v>
                </c:pt>
                <c:pt idx="110">
                  <c:v>48814.22947052354</c:v>
                </c:pt>
                <c:pt idx="111">
                  <c:v>48535.602328403918</c:v>
                </c:pt>
                <c:pt idx="112">
                  <c:v>43632.18880992847</c:v>
                </c:pt>
                <c:pt idx="113">
                  <c:v>52764.059519414848</c:v>
                </c:pt>
                <c:pt idx="114">
                  <c:v>39560.412527867229</c:v>
                </c:pt>
                <c:pt idx="115">
                  <c:v>48238.79844574567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46-F545-A56F-F3498E199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622704"/>
        <c:axId val="1335696960"/>
      </c:scatterChart>
      <c:valAx>
        <c:axId val="133562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35696960"/>
        <c:crosses val="autoZero"/>
        <c:crossBetween val="midCat"/>
      </c:valAx>
      <c:valAx>
        <c:axId val="133569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3562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1.png"/><Relationship Id="rId1" Type="http://schemas.openxmlformats.org/officeDocument/2006/relationships/hyperlink" Target="http://www.collegexpress.com/reg/login?require=1" TargetMode="Externa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10" Type="http://schemas.openxmlformats.org/officeDocument/2006/relationships/chart" Target="../charts/chart8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hyperlink" Target="http://www.collegexpress.com/reg/login?require=1" TargetMode="Externa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pic>
      <xdr:nvPicPr>
        <xdr:cNvPr id="2" name="Picture 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C6EBF2-BB66-4264-B19F-DBCD1393E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4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pic>
      <xdr:nvPicPr>
        <xdr:cNvPr id="3" name="Picture 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4D5FE3-627A-4E14-ACE0-117655019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9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152400</xdr:colOff>
      <xdr:row>43</xdr:row>
      <xdr:rowOff>152400</xdr:rowOff>
    </xdr:to>
    <xdr:pic>
      <xdr:nvPicPr>
        <xdr:cNvPr id="4" name="Picture 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48CBB9-2C58-48F3-9AAC-9D3BE8A3C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81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152400</xdr:colOff>
      <xdr:row>70</xdr:row>
      <xdr:rowOff>152400</xdr:rowOff>
    </xdr:to>
    <xdr:pic>
      <xdr:nvPicPr>
        <xdr:cNvPr id="5" name="Picture 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886920-AA98-4FD3-8C00-BA06F9F62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68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152400</xdr:colOff>
      <xdr:row>82</xdr:row>
      <xdr:rowOff>152400</xdr:rowOff>
    </xdr:to>
    <xdr:pic>
      <xdr:nvPicPr>
        <xdr:cNvPr id="6" name="Picture 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A78DF1-3748-4A0A-A3E3-3193DC252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39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152400</xdr:colOff>
      <xdr:row>82</xdr:row>
      <xdr:rowOff>152400</xdr:rowOff>
    </xdr:to>
    <xdr:pic>
      <xdr:nvPicPr>
        <xdr:cNvPr id="7" name="Picture 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0152C-3892-4EBC-A11D-A3A732D7F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39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152400</xdr:colOff>
      <xdr:row>87</xdr:row>
      <xdr:rowOff>152400</xdr:rowOff>
    </xdr:to>
    <xdr:pic>
      <xdr:nvPicPr>
        <xdr:cNvPr id="8" name="Picture 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1324CB-B25C-44DE-ACE9-29B32A31E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44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152400</xdr:colOff>
      <xdr:row>89</xdr:row>
      <xdr:rowOff>152400</xdr:rowOff>
    </xdr:to>
    <xdr:pic>
      <xdr:nvPicPr>
        <xdr:cNvPr id="9" name="Picture 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AB6B39-E206-49AA-AE75-1B17355AC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06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152400</xdr:colOff>
      <xdr:row>95</xdr:row>
      <xdr:rowOff>152400</xdr:rowOff>
    </xdr:to>
    <xdr:pic>
      <xdr:nvPicPr>
        <xdr:cNvPr id="10" name="Picture 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D45D8F-A4A8-42CC-A0C5-9C069177D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92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152400</xdr:colOff>
      <xdr:row>99</xdr:row>
      <xdr:rowOff>152400</xdr:rowOff>
    </xdr:to>
    <xdr:pic>
      <xdr:nvPicPr>
        <xdr:cNvPr id="11" name="Picture 1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4EF207-19A8-45DF-9F14-6E4C7397F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16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152400</xdr:rowOff>
    </xdr:to>
    <xdr:pic>
      <xdr:nvPicPr>
        <xdr:cNvPr id="12" name="Picture 1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3A720E-8F20-4959-B894-D2B0A23EF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152400</xdr:rowOff>
    </xdr:to>
    <xdr:pic>
      <xdr:nvPicPr>
        <xdr:cNvPr id="13" name="Picture 1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61A46D-6304-4EDD-B402-421E04EBF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02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152400</xdr:rowOff>
    </xdr:to>
    <xdr:pic>
      <xdr:nvPicPr>
        <xdr:cNvPr id="14" name="Picture 1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DEDA92-FBFF-4468-B4FF-CB78A3B9E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6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152400</xdr:rowOff>
    </xdr:to>
    <xdr:pic>
      <xdr:nvPicPr>
        <xdr:cNvPr id="15" name="Picture 1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8A1F7A-2C35-49C4-8F82-A21CECBC6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31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pic>
      <xdr:nvPicPr>
        <xdr:cNvPr id="16" name="Picture 1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F0439D-61F9-4BD9-AC3F-A1A7A0CC8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pic>
      <xdr:nvPicPr>
        <xdr:cNvPr id="17" name="Picture 1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C5026C-21F3-429D-9842-649070C65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pic>
      <xdr:nvPicPr>
        <xdr:cNvPr id="18" name="Picture 1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0A9D9-7335-41AA-A590-782D4BEFF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pic>
      <xdr:nvPicPr>
        <xdr:cNvPr id="19" name="Picture 1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45C51C-89E2-4A4E-AC6B-801215B52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4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pic>
      <xdr:nvPicPr>
        <xdr:cNvPr id="20" name="Picture 1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05A93-FC42-4942-8D31-107695C56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pic>
      <xdr:nvPicPr>
        <xdr:cNvPr id="21" name="Picture 2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FD0AB3-16DD-45C3-B547-BD52A0381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6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pic>
      <xdr:nvPicPr>
        <xdr:cNvPr id="22" name="Picture 2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67320D-1A1C-43B8-A0F5-4FBB0DFA1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pic>
      <xdr:nvPicPr>
        <xdr:cNvPr id="23" name="Picture 2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F084EC-64C0-428F-8F71-66BD3979C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8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pic>
      <xdr:nvPicPr>
        <xdr:cNvPr id="24" name="Picture 2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B08580-467A-4AEA-B408-A334A6219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pic>
      <xdr:nvPicPr>
        <xdr:cNvPr id="25" name="Picture 2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59C7B5-FB82-4540-91A0-D98295AB8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0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152400</xdr:colOff>
      <xdr:row>12</xdr:row>
      <xdr:rowOff>152400</xdr:rowOff>
    </xdr:to>
    <xdr:pic>
      <xdr:nvPicPr>
        <xdr:cNvPr id="26" name="Picture 2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A98980-DC38-46A3-AF7F-8824D66D2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pic>
      <xdr:nvPicPr>
        <xdr:cNvPr id="27" name="Picture 2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13039D-CD27-46C2-8B43-79C36A822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pic>
      <xdr:nvPicPr>
        <xdr:cNvPr id="28" name="Picture 2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C3019A-6692-4A92-887E-5414ABDE0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3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pic>
      <xdr:nvPicPr>
        <xdr:cNvPr id="29" name="Picture 2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AB25D1-8C0F-47A4-B054-182F651A7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152400</xdr:colOff>
      <xdr:row>16</xdr:row>
      <xdr:rowOff>152400</xdr:rowOff>
    </xdr:to>
    <xdr:pic>
      <xdr:nvPicPr>
        <xdr:cNvPr id="30" name="Picture 2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23F3D3-CF4A-4787-878E-56E997A6B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pic>
      <xdr:nvPicPr>
        <xdr:cNvPr id="31" name="Picture 3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9A013B-AC08-4BA6-A8BA-FFF82BDBD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6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pic>
      <xdr:nvPicPr>
        <xdr:cNvPr id="32" name="Picture 3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4B3040-1065-43C0-A833-C1A6402C8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pic>
      <xdr:nvPicPr>
        <xdr:cNvPr id="33" name="Picture 3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572578-8EEF-4E8A-8650-A4E3CBA87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8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152400</xdr:colOff>
      <xdr:row>20</xdr:row>
      <xdr:rowOff>152400</xdr:rowOff>
    </xdr:to>
    <xdr:pic>
      <xdr:nvPicPr>
        <xdr:cNvPr id="34" name="Picture 3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AE2930-AACD-4454-8769-F88F0D940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pic>
      <xdr:nvPicPr>
        <xdr:cNvPr id="35" name="Picture 3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7D9FFF-C564-41F8-8D47-D1A75440C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pic>
      <xdr:nvPicPr>
        <xdr:cNvPr id="36" name="Picture 3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0BC998-D8DE-4020-B1EE-878FFEFF1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2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152400</xdr:colOff>
      <xdr:row>24</xdr:row>
      <xdr:rowOff>152400</xdr:rowOff>
    </xdr:to>
    <xdr:pic>
      <xdr:nvPicPr>
        <xdr:cNvPr id="37" name="Picture 3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244BC1-1E37-4D2F-99D4-B21C331F6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152400</xdr:colOff>
      <xdr:row>26</xdr:row>
      <xdr:rowOff>152400</xdr:rowOff>
    </xdr:to>
    <xdr:pic>
      <xdr:nvPicPr>
        <xdr:cNvPr id="38" name="Picture 3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AE811C-11FA-4E8B-8BCF-29E873F8F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5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pic>
      <xdr:nvPicPr>
        <xdr:cNvPr id="39" name="Picture 3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774AD6-CE8D-4F48-802C-137231BB7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pic>
      <xdr:nvPicPr>
        <xdr:cNvPr id="40" name="Picture 3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5E5509-7DB9-44D6-9B5D-A9BE66ACA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7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pic>
      <xdr:nvPicPr>
        <xdr:cNvPr id="41" name="Picture 4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638AC7-E9A5-4C1C-9677-C740503D2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8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pic>
      <xdr:nvPicPr>
        <xdr:cNvPr id="42" name="Picture 4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7485BB-DF3A-47CE-A76B-29E171001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152400</xdr:colOff>
      <xdr:row>31</xdr:row>
      <xdr:rowOff>152400</xdr:rowOff>
    </xdr:to>
    <xdr:pic>
      <xdr:nvPicPr>
        <xdr:cNvPr id="43" name="Picture 4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C3D853-E231-491E-B137-F42A931D1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pic>
      <xdr:nvPicPr>
        <xdr:cNvPr id="44" name="Picture 4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45F642-3490-4622-99AA-919BDDB33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pic>
      <xdr:nvPicPr>
        <xdr:cNvPr id="45" name="Picture 4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E2F5F9-D2E9-42C0-83CD-7912D8F96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pic>
      <xdr:nvPicPr>
        <xdr:cNvPr id="46" name="Picture 4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C4E3D9-6B96-4C0D-8235-6214F0B5D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5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pic>
      <xdr:nvPicPr>
        <xdr:cNvPr id="47" name="Picture 4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E85888-8339-4F32-8781-FAEDBA83B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34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152400</xdr:colOff>
      <xdr:row>36</xdr:row>
      <xdr:rowOff>152400</xdr:rowOff>
    </xdr:to>
    <xdr:pic>
      <xdr:nvPicPr>
        <xdr:cNvPr id="48" name="Picture 4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69BE7B-74BA-4FFA-A899-CF978F462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152400</xdr:colOff>
      <xdr:row>38</xdr:row>
      <xdr:rowOff>152400</xdr:rowOff>
    </xdr:to>
    <xdr:pic>
      <xdr:nvPicPr>
        <xdr:cNvPr id="49" name="Picture 4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719410-4F7C-4773-92BC-C4B0950E8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7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152400</xdr:rowOff>
    </xdr:to>
    <xdr:pic>
      <xdr:nvPicPr>
        <xdr:cNvPr id="50" name="Picture 4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C932EB-BEAD-4BAC-9152-34FF4825A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58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152400</xdr:colOff>
      <xdr:row>40</xdr:row>
      <xdr:rowOff>152400</xdr:rowOff>
    </xdr:to>
    <xdr:pic>
      <xdr:nvPicPr>
        <xdr:cNvPr id="51" name="Picture 5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D37045-1A6B-4C06-B24C-1DE7FC82F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pic>
      <xdr:nvPicPr>
        <xdr:cNvPr id="52" name="Picture 5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F799E7-BF05-4593-836C-5A82AC2AC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19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152400</xdr:colOff>
      <xdr:row>42</xdr:row>
      <xdr:rowOff>152400</xdr:rowOff>
    </xdr:to>
    <xdr:pic>
      <xdr:nvPicPr>
        <xdr:cNvPr id="53" name="Picture 5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444F56-F66E-47C4-BA72-35EF7F197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152400</xdr:colOff>
      <xdr:row>44</xdr:row>
      <xdr:rowOff>152400</xdr:rowOff>
    </xdr:to>
    <xdr:pic>
      <xdr:nvPicPr>
        <xdr:cNvPr id="54" name="Picture 5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A8401B-659A-4BE8-B739-DA4E9B1B4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6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152400</xdr:colOff>
      <xdr:row>45</xdr:row>
      <xdr:rowOff>152400</xdr:rowOff>
    </xdr:to>
    <xdr:pic>
      <xdr:nvPicPr>
        <xdr:cNvPr id="55" name="Picture 5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EEE19A-FE9C-474B-9E88-7DC4D2706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4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152400</xdr:colOff>
      <xdr:row>46</xdr:row>
      <xdr:rowOff>152400</xdr:rowOff>
    </xdr:to>
    <xdr:pic>
      <xdr:nvPicPr>
        <xdr:cNvPr id="56" name="Picture 5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FE8919-1AAE-4151-B6FA-D0EF331C2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24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152400</xdr:colOff>
      <xdr:row>47</xdr:row>
      <xdr:rowOff>152400</xdr:rowOff>
    </xdr:to>
    <xdr:pic>
      <xdr:nvPicPr>
        <xdr:cNvPr id="57" name="Picture 5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46C0EC-1920-4FBA-98BB-2E0196F6A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05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152400</xdr:colOff>
      <xdr:row>48</xdr:row>
      <xdr:rowOff>152400</xdr:rowOff>
    </xdr:to>
    <xdr:pic>
      <xdr:nvPicPr>
        <xdr:cNvPr id="58" name="Picture 5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43BB4D-A23B-403D-B70B-85F2253A5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8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pic>
      <xdr:nvPicPr>
        <xdr:cNvPr id="59" name="Picture 5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89F0F0-1C60-4189-A18C-86F2B8A62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67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152400</xdr:colOff>
      <xdr:row>50</xdr:row>
      <xdr:rowOff>152400</xdr:rowOff>
    </xdr:to>
    <xdr:pic>
      <xdr:nvPicPr>
        <xdr:cNvPr id="60" name="Picture 5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79BBE5-988F-4928-ACBD-BEB1977A7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48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152400</xdr:colOff>
      <xdr:row>51</xdr:row>
      <xdr:rowOff>152400</xdr:rowOff>
    </xdr:to>
    <xdr:pic>
      <xdr:nvPicPr>
        <xdr:cNvPr id="61" name="Picture 6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37DED8-342F-4F04-95AC-C54818B24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9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152400</xdr:colOff>
      <xdr:row>52</xdr:row>
      <xdr:rowOff>152400</xdr:rowOff>
    </xdr:to>
    <xdr:pic>
      <xdr:nvPicPr>
        <xdr:cNvPr id="62" name="Picture 6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13E06D-B960-432E-A8F0-6E293AA69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152400</xdr:colOff>
      <xdr:row>53</xdr:row>
      <xdr:rowOff>152400</xdr:rowOff>
    </xdr:to>
    <xdr:pic>
      <xdr:nvPicPr>
        <xdr:cNvPr id="63" name="Picture 6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D1961-3543-49CE-938E-4D81D1B5B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91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152400</xdr:colOff>
      <xdr:row>54</xdr:row>
      <xdr:rowOff>152400</xdr:rowOff>
    </xdr:to>
    <xdr:pic>
      <xdr:nvPicPr>
        <xdr:cNvPr id="64" name="Picture 6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7C686A-97DA-4FAC-B8F4-9E091AE15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152400</xdr:colOff>
      <xdr:row>55</xdr:row>
      <xdr:rowOff>152400</xdr:rowOff>
    </xdr:to>
    <xdr:pic>
      <xdr:nvPicPr>
        <xdr:cNvPr id="65" name="Picture 6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15C462-B020-4DF1-A471-55FBB4F5B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53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152400</xdr:colOff>
      <xdr:row>56</xdr:row>
      <xdr:rowOff>152400</xdr:rowOff>
    </xdr:to>
    <xdr:pic>
      <xdr:nvPicPr>
        <xdr:cNvPr id="66" name="Picture 6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E98611-F6F6-4403-BF3F-F0F1821D2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34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152400</xdr:colOff>
      <xdr:row>57</xdr:row>
      <xdr:rowOff>152400</xdr:rowOff>
    </xdr:to>
    <xdr:pic>
      <xdr:nvPicPr>
        <xdr:cNvPr id="67" name="Picture 6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6EFC24-94A0-4DE0-9F76-82494A72F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1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152400</xdr:colOff>
      <xdr:row>58</xdr:row>
      <xdr:rowOff>152400</xdr:rowOff>
    </xdr:to>
    <xdr:pic>
      <xdr:nvPicPr>
        <xdr:cNvPr id="68" name="Picture 6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BA1421-AD67-4FFD-A803-85BC8F094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96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152400</xdr:colOff>
      <xdr:row>59</xdr:row>
      <xdr:rowOff>152400</xdr:rowOff>
    </xdr:to>
    <xdr:pic>
      <xdr:nvPicPr>
        <xdr:cNvPr id="69" name="Picture 6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ED0309-59D8-4D3C-829D-3AA04D1B0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77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152400</xdr:colOff>
      <xdr:row>60</xdr:row>
      <xdr:rowOff>152400</xdr:rowOff>
    </xdr:to>
    <xdr:pic>
      <xdr:nvPicPr>
        <xdr:cNvPr id="70" name="Picture 6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751E6A-1976-4929-8758-83CC29008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152400</xdr:colOff>
      <xdr:row>61</xdr:row>
      <xdr:rowOff>152400</xdr:rowOff>
    </xdr:to>
    <xdr:pic>
      <xdr:nvPicPr>
        <xdr:cNvPr id="71" name="Picture 7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B2F542-B7C0-4E5B-9A8E-4355CA39F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39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152400</xdr:colOff>
      <xdr:row>62</xdr:row>
      <xdr:rowOff>152400</xdr:rowOff>
    </xdr:to>
    <xdr:pic>
      <xdr:nvPicPr>
        <xdr:cNvPr id="72" name="Picture 7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78908E-B5FC-424B-A0B9-3FCE9F8B8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2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152400</xdr:colOff>
      <xdr:row>63</xdr:row>
      <xdr:rowOff>152400</xdr:rowOff>
    </xdr:to>
    <xdr:pic>
      <xdr:nvPicPr>
        <xdr:cNvPr id="73" name="Picture 7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3E77AA-5072-4B85-9913-6ACF6F9D7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152400</xdr:colOff>
      <xdr:row>64</xdr:row>
      <xdr:rowOff>152400</xdr:rowOff>
    </xdr:to>
    <xdr:pic>
      <xdr:nvPicPr>
        <xdr:cNvPr id="74" name="Picture 7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DF5707-C1EF-4040-BC1A-3CA97DCD6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82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152400</xdr:colOff>
      <xdr:row>65</xdr:row>
      <xdr:rowOff>152400</xdr:rowOff>
    </xdr:to>
    <xdr:pic>
      <xdr:nvPicPr>
        <xdr:cNvPr id="75" name="Picture 7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FCB07C-9C34-4C69-8F79-577CAFD3F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63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152400</xdr:colOff>
      <xdr:row>66</xdr:row>
      <xdr:rowOff>152400</xdr:rowOff>
    </xdr:to>
    <xdr:pic>
      <xdr:nvPicPr>
        <xdr:cNvPr id="76" name="Picture 7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E7592-65B5-4313-BA3C-6015322FA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44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152400</xdr:colOff>
      <xdr:row>67</xdr:row>
      <xdr:rowOff>152400</xdr:rowOff>
    </xdr:to>
    <xdr:pic>
      <xdr:nvPicPr>
        <xdr:cNvPr id="77" name="Picture 7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544441-427D-4DEB-8048-2A383E998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25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152400</xdr:colOff>
      <xdr:row>68</xdr:row>
      <xdr:rowOff>152400</xdr:rowOff>
    </xdr:to>
    <xdr:pic>
      <xdr:nvPicPr>
        <xdr:cNvPr id="78" name="Picture 7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4F4956-7F35-4CEB-892D-F64EBF059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06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152400</xdr:colOff>
      <xdr:row>69</xdr:row>
      <xdr:rowOff>152400</xdr:rowOff>
    </xdr:to>
    <xdr:pic>
      <xdr:nvPicPr>
        <xdr:cNvPr id="79" name="Picture 7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DABE9D-08FF-4D00-8E78-528D0CC69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87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152400</xdr:colOff>
      <xdr:row>69</xdr:row>
      <xdr:rowOff>152400</xdr:rowOff>
    </xdr:to>
    <xdr:pic>
      <xdr:nvPicPr>
        <xdr:cNvPr id="80" name="Picture 7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63D672-8324-443D-800E-C5A18962F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87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152400</xdr:colOff>
      <xdr:row>71</xdr:row>
      <xdr:rowOff>152400</xdr:rowOff>
    </xdr:to>
    <xdr:pic>
      <xdr:nvPicPr>
        <xdr:cNvPr id="81" name="Picture 8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750D0A-C98C-4DD2-8D67-48DBB2ECD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49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152400</xdr:colOff>
      <xdr:row>72</xdr:row>
      <xdr:rowOff>152400</xdr:rowOff>
    </xdr:to>
    <xdr:pic>
      <xdr:nvPicPr>
        <xdr:cNvPr id="82" name="Picture 8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3DE47D-61C4-4A50-A333-A33D1B3C6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3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152400</xdr:colOff>
      <xdr:row>73</xdr:row>
      <xdr:rowOff>152400</xdr:rowOff>
    </xdr:to>
    <xdr:pic>
      <xdr:nvPicPr>
        <xdr:cNvPr id="83" name="Picture 8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5EC2E3-2690-4AC3-8AB3-6F51870F5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11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152400</xdr:colOff>
      <xdr:row>74</xdr:row>
      <xdr:rowOff>152400</xdr:rowOff>
    </xdr:to>
    <xdr:pic>
      <xdr:nvPicPr>
        <xdr:cNvPr id="84" name="Picture 8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06B592-131F-4865-84A9-4CE24FE8B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92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152400</xdr:colOff>
      <xdr:row>75</xdr:row>
      <xdr:rowOff>152400</xdr:rowOff>
    </xdr:to>
    <xdr:pic>
      <xdr:nvPicPr>
        <xdr:cNvPr id="85" name="Picture 8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1080C8-3D8E-468F-B881-F38454969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73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152400</xdr:colOff>
      <xdr:row>76</xdr:row>
      <xdr:rowOff>152400</xdr:rowOff>
    </xdr:to>
    <xdr:pic>
      <xdr:nvPicPr>
        <xdr:cNvPr id="86" name="Picture 8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820455-D941-4925-9603-6E0587EB4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5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152400</xdr:colOff>
      <xdr:row>77</xdr:row>
      <xdr:rowOff>152400</xdr:rowOff>
    </xdr:to>
    <xdr:pic>
      <xdr:nvPicPr>
        <xdr:cNvPr id="87" name="Picture 8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6C9CF9-2EBE-4952-9BF3-1D86C4706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3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152400</xdr:colOff>
      <xdr:row>78</xdr:row>
      <xdr:rowOff>152400</xdr:rowOff>
    </xdr:to>
    <xdr:pic>
      <xdr:nvPicPr>
        <xdr:cNvPr id="88" name="Picture 8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0FFB28-094D-4BD8-97D8-928C0BDBB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16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152400</xdr:colOff>
      <xdr:row>79</xdr:row>
      <xdr:rowOff>152400</xdr:rowOff>
    </xdr:to>
    <xdr:pic>
      <xdr:nvPicPr>
        <xdr:cNvPr id="89" name="Picture 8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86B03A-8BC5-433A-8047-F95C655DB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97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152400</xdr:colOff>
      <xdr:row>80</xdr:row>
      <xdr:rowOff>152400</xdr:rowOff>
    </xdr:to>
    <xdr:pic>
      <xdr:nvPicPr>
        <xdr:cNvPr id="90" name="Picture 8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66EAEA-8421-43E5-9317-732E9136E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152400</xdr:colOff>
      <xdr:row>81</xdr:row>
      <xdr:rowOff>152400</xdr:rowOff>
    </xdr:to>
    <xdr:pic>
      <xdr:nvPicPr>
        <xdr:cNvPr id="91" name="Picture 9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BDB7D4-727E-45CE-ADBB-D510F4468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58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152400</xdr:colOff>
      <xdr:row>83</xdr:row>
      <xdr:rowOff>152400</xdr:rowOff>
    </xdr:to>
    <xdr:pic>
      <xdr:nvPicPr>
        <xdr:cNvPr id="92" name="Picture 9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E034A5-1373-4A93-9EB3-E95DEF291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20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152400</xdr:colOff>
      <xdr:row>84</xdr:row>
      <xdr:rowOff>152400</xdr:rowOff>
    </xdr:to>
    <xdr:pic>
      <xdr:nvPicPr>
        <xdr:cNvPr id="93" name="Picture 9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8A0BF2-DC46-4DC4-AD34-E540A9B6F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01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152400</xdr:colOff>
      <xdr:row>85</xdr:row>
      <xdr:rowOff>152400</xdr:rowOff>
    </xdr:to>
    <xdr:pic>
      <xdr:nvPicPr>
        <xdr:cNvPr id="94" name="Picture 9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6CD372-6D91-4958-9140-760F60565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82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152400</xdr:colOff>
      <xdr:row>87</xdr:row>
      <xdr:rowOff>152400</xdr:rowOff>
    </xdr:to>
    <xdr:pic>
      <xdr:nvPicPr>
        <xdr:cNvPr id="95" name="Picture 9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A9608E-289D-4313-902D-F46E72759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44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152400</xdr:colOff>
      <xdr:row>87</xdr:row>
      <xdr:rowOff>152400</xdr:rowOff>
    </xdr:to>
    <xdr:pic>
      <xdr:nvPicPr>
        <xdr:cNvPr id="96" name="Picture 9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1AD5A7-2125-4A68-922A-1BDEB3C0D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44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152400</xdr:colOff>
      <xdr:row>87</xdr:row>
      <xdr:rowOff>152400</xdr:rowOff>
    </xdr:to>
    <xdr:pic>
      <xdr:nvPicPr>
        <xdr:cNvPr id="97" name="Picture 9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113223-52B8-4F6C-9200-55103D9E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44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152400</xdr:colOff>
      <xdr:row>87</xdr:row>
      <xdr:rowOff>152400</xdr:rowOff>
    </xdr:to>
    <xdr:pic>
      <xdr:nvPicPr>
        <xdr:cNvPr id="98" name="Picture 9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B99515-EB54-4891-A554-83732B802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44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152400</xdr:colOff>
      <xdr:row>87</xdr:row>
      <xdr:rowOff>152400</xdr:rowOff>
    </xdr:to>
    <xdr:pic>
      <xdr:nvPicPr>
        <xdr:cNvPr id="99" name="Picture 9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9A2768-F869-4851-A6D1-474EA31E6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44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152400</xdr:colOff>
      <xdr:row>87</xdr:row>
      <xdr:rowOff>152400</xdr:rowOff>
    </xdr:to>
    <xdr:pic>
      <xdr:nvPicPr>
        <xdr:cNvPr id="100" name="Picture 9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691E68-CAAC-45FF-8296-15DA7FD74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44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152400</xdr:colOff>
      <xdr:row>88</xdr:row>
      <xdr:rowOff>152400</xdr:rowOff>
    </xdr:to>
    <xdr:pic>
      <xdr:nvPicPr>
        <xdr:cNvPr id="101" name="Picture 10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6139BD-E52D-45ED-8F85-190B2414E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2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152400</xdr:colOff>
      <xdr:row>90</xdr:row>
      <xdr:rowOff>152400</xdr:rowOff>
    </xdr:to>
    <xdr:pic>
      <xdr:nvPicPr>
        <xdr:cNvPr id="102" name="Picture 10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12AB18-D9A3-4901-8A61-75D3FDBB0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87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152400</xdr:colOff>
      <xdr:row>91</xdr:row>
      <xdr:rowOff>152400</xdr:rowOff>
    </xdr:to>
    <xdr:pic>
      <xdr:nvPicPr>
        <xdr:cNvPr id="103" name="Picture 10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7710DA-C8F2-40B2-9819-677136242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68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152400</xdr:colOff>
      <xdr:row>92</xdr:row>
      <xdr:rowOff>152400</xdr:rowOff>
    </xdr:to>
    <xdr:pic>
      <xdr:nvPicPr>
        <xdr:cNvPr id="104" name="Picture 10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C6F2EE-D35D-438C-A5F8-6ED83EFD4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152400</xdr:colOff>
      <xdr:row>93</xdr:row>
      <xdr:rowOff>152400</xdr:rowOff>
    </xdr:to>
    <xdr:pic>
      <xdr:nvPicPr>
        <xdr:cNvPr id="105" name="Picture 10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421F0F-6997-4DCA-B725-0E05A92F1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3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152400</xdr:colOff>
      <xdr:row>94</xdr:row>
      <xdr:rowOff>152400</xdr:rowOff>
    </xdr:to>
    <xdr:pic>
      <xdr:nvPicPr>
        <xdr:cNvPr id="106" name="Picture 10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4D8BFE-86F7-4379-94E3-2FB4C797D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1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152400</xdr:colOff>
      <xdr:row>96</xdr:row>
      <xdr:rowOff>152400</xdr:rowOff>
    </xdr:to>
    <xdr:pic>
      <xdr:nvPicPr>
        <xdr:cNvPr id="107" name="Picture 10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00DB88-6E61-401A-8641-09A5027B2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7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152400</xdr:colOff>
      <xdr:row>97</xdr:row>
      <xdr:rowOff>152400</xdr:rowOff>
    </xdr:to>
    <xdr:pic>
      <xdr:nvPicPr>
        <xdr:cNvPr id="108" name="Picture 10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A09E8-9E96-45A6-94AA-B7DB4278F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54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152400</xdr:colOff>
      <xdr:row>98</xdr:row>
      <xdr:rowOff>152400</xdr:rowOff>
    </xdr:to>
    <xdr:pic>
      <xdr:nvPicPr>
        <xdr:cNvPr id="109" name="Picture 10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CBD851-52C7-439D-9491-B95E98CE4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35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152400</xdr:rowOff>
    </xdr:to>
    <xdr:pic>
      <xdr:nvPicPr>
        <xdr:cNvPr id="110" name="Picture 10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D9B2A6-BD93-45CD-B5DA-45AD3D1AC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78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152400</xdr:rowOff>
    </xdr:to>
    <xdr:pic>
      <xdr:nvPicPr>
        <xdr:cNvPr id="111" name="Picture 11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3F0E76-3088-4401-8EF6-666F02A3D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59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152400</xdr:rowOff>
    </xdr:to>
    <xdr:pic>
      <xdr:nvPicPr>
        <xdr:cNvPr id="112" name="Picture 11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958951-DC11-4079-B0F5-2AFF7A192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40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152400</xdr:rowOff>
    </xdr:to>
    <xdr:pic>
      <xdr:nvPicPr>
        <xdr:cNvPr id="113" name="Picture 11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20FDA1-D6EF-43F8-B5C2-5405ECB52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2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152400</xdr:rowOff>
    </xdr:to>
    <xdr:pic>
      <xdr:nvPicPr>
        <xdr:cNvPr id="114" name="Picture 11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9FCBE0-9A70-4860-A915-63991E339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83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152400</xdr:rowOff>
    </xdr:to>
    <xdr:pic>
      <xdr:nvPicPr>
        <xdr:cNvPr id="115" name="Picture 11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8F876E-1CD4-4747-B417-4ACF9878C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83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152400</xdr:rowOff>
    </xdr:to>
    <xdr:pic>
      <xdr:nvPicPr>
        <xdr:cNvPr id="116" name="Picture 11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1F7291-C8EA-4AA1-A39B-C2BE85B99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64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152400</xdr:rowOff>
    </xdr:to>
    <xdr:pic>
      <xdr:nvPicPr>
        <xdr:cNvPr id="117" name="Picture 11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6E636E-F4E5-44F3-8E9E-7107F91C7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152400</xdr:rowOff>
    </xdr:to>
    <xdr:pic>
      <xdr:nvPicPr>
        <xdr:cNvPr id="118" name="Picture 11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DEFF07-EED8-4A88-A1E7-51B5B1274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26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152400</xdr:rowOff>
    </xdr:to>
    <xdr:pic>
      <xdr:nvPicPr>
        <xdr:cNvPr id="119" name="Picture 11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71F2BD-3C1F-43F1-B851-A56D6F774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0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152400</xdr:rowOff>
    </xdr:to>
    <xdr:pic>
      <xdr:nvPicPr>
        <xdr:cNvPr id="120" name="Picture 11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DF27-3D6B-4E8D-B76C-E5ADF36A2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88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152400</xdr:rowOff>
    </xdr:to>
    <xdr:pic>
      <xdr:nvPicPr>
        <xdr:cNvPr id="121" name="Picture 12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A7F1AB-B41B-4BC1-8134-AF621A71F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50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152400</xdr:rowOff>
    </xdr:to>
    <xdr:pic>
      <xdr:nvPicPr>
        <xdr:cNvPr id="122" name="Picture 12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72952D-6954-44AF-A094-18F7F91DA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12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152400</xdr:rowOff>
    </xdr:to>
    <xdr:pic>
      <xdr:nvPicPr>
        <xdr:cNvPr id="123" name="Picture 12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2C814B-2463-473A-8734-BA3C06A6B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93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279400</xdr:colOff>
      <xdr:row>2</xdr:row>
      <xdr:rowOff>88900</xdr:rowOff>
    </xdr:from>
    <xdr:to>
      <xdr:col>22</xdr:col>
      <xdr:colOff>279400</xdr:colOff>
      <xdr:row>12</xdr:row>
      <xdr:rowOff>88900</xdr:rowOff>
    </xdr:to>
    <xdr:graphicFrame macro="">
      <xdr:nvGraphicFramePr>
        <xdr:cNvPr id="124" name="แผนภูมิ 123">
          <a:extLst>
            <a:ext uri="{FF2B5EF4-FFF2-40B4-BE49-F238E27FC236}">
              <a16:creationId xmlns:a16="http://schemas.microsoft.com/office/drawing/2014/main" id="{7C818C6B-9AA4-BA20-BE1D-F1DDD16D4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279400</xdr:colOff>
      <xdr:row>4</xdr:row>
      <xdr:rowOff>88900</xdr:rowOff>
    </xdr:from>
    <xdr:to>
      <xdr:col>23</xdr:col>
      <xdr:colOff>279400</xdr:colOff>
      <xdr:row>14</xdr:row>
      <xdr:rowOff>88900</xdr:rowOff>
    </xdr:to>
    <xdr:graphicFrame macro="">
      <xdr:nvGraphicFramePr>
        <xdr:cNvPr id="125" name="แผนภูมิ 124">
          <a:extLst>
            <a:ext uri="{FF2B5EF4-FFF2-40B4-BE49-F238E27FC236}">
              <a16:creationId xmlns:a16="http://schemas.microsoft.com/office/drawing/2014/main" id="{D0194EEB-EC12-AFFB-E857-F015F4F73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279400</xdr:colOff>
      <xdr:row>6</xdr:row>
      <xdr:rowOff>88900</xdr:rowOff>
    </xdr:from>
    <xdr:to>
      <xdr:col>24</xdr:col>
      <xdr:colOff>279400</xdr:colOff>
      <xdr:row>16</xdr:row>
      <xdr:rowOff>76200</xdr:rowOff>
    </xdr:to>
    <xdr:graphicFrame macro="">
      <xdr:nvGraphicFramePr>
        <xdr:cNvPr id="126" name="แผนภูมิ 125">
          <a:extLst>
            <a:ext uri="{FF2B5EF4-FFF2-40B4-BE49-F238E27FC236}">
              <a16:creationId xmlns:a16="http://schemas.microsoft.com/office/drawing/2014/main" id="{9E66E43F-3135-8D9B-0361-4A0B3B699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279400</xdr:colOff>
      <xdr:row>8</xdr:row>
      <xdr:rowOff>88900</xdr:rowOff>
    </xdr:from>
    <xdr:to>
      <xdr:col>25</xdr:col>
      <xdr:colOff>279400</xdr:colOff>
      <xdr:row>18</xdr:row>
      <xdr:rowOff>88900</xdr:rowOff>
    </xdr:to>
    <xdr:graphicFrame macro="">
      <xdr:nvGraphicFramePr>
        <xdr:cNvPr id="127" name="แผนภูมิ 126">
          <a:extLst>
            <a:ext uri="{FF2B5EF4-FFF2-40B4-BE49-F238E27FC236}">
              <a16:creationId xmlns:a16="http://schemas.microsoft.com/office/drawing/2014/main" id="{A4EAAFF0-64B1-154B-944F-7ADD34D46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279400</xdr:colOff>
      <xdr:row>10</xdr:row>
      <xdr:rowOff>88900</xdr:rowOff>
    </xdr:from>
    <xdr:to>
      <xdr:col>26</xdr:col>
      <xdr:colOff>279400</xdr:colOff>
      <xdr:row>20</xdr:row>
      <xdr:rowOff>88900</xdr:rowOff>
    </xdr:to>
    <xdr:graphicFrame macro="">
      <xdr:nvGraphicFramePr>
        <xdr:cNvPr id="128" name="แผนภูมิ 127">
          <a:extLst>
            <a:ext uri="{FF2B5EF4-FFF2-40B4-BE49-F238E27FC236}">
              <a16:creationId xmlns:a16="http://schemas.microsoft.com/office/drawing/2014/main" id="{93BBB2B9-F635-61EB-F89F-C1D92169A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279400</xdr:colOff>
      <xdr:row>12</xdr:row>
      <xdr:rowOff>88900</xdr:rowOff>
    </xdr:from>
    <xdr:to>
      <xdr:col>27</xdr:col>
      <xdr:colOff>279400</xdr:colOff>
      <xdr:row>22</xdr:row>
      <xdr:rowOff>76200</xdr:rowOff>
    </xdr:to>
    <xdr:graphicFrame macro="">
      <xdr:nvGraphicFramePr>
        <xdr:cNvPr id="129" name="แผนภูมิ 128">
          <a:extLst>
            <a:ext uri="{FF2B5EF4-FFF2-40B4-BE49-F238E27FC236}">
              <a16:creationId xmlns:a16="http://schemas.microsoft.com/office/drawing/2014/main" id="{D86605ED-E9E2-4C66-CD9D-AA89CCFCD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279400</xdr:colOff>
      <xdr:row>14</xdr:row>
      <xdr:rowOff>88900</xdr:rowOff>
    </xdr:from>
    <xdr:to>
      <xdr:col>28</xdr:col>
      <xdr:colOff>279400</xdr:colOff>
      <xdr:row>24</xdr:row>
      <xdr:rowOff>88900</xdr:rowOff>
    </xdr:to>
    <xdr:graphicFrame macro="">
      <xdr:nvGraphicFramePr>
        <xdr:cNvPr id="130" name="แผนภูมิ 129">
          <a:extLst>
            <a:ext uri="{FF2B5EF4-FFF2-40B4-BE49-F238E27FC236}">
              <a16:creationId xmlns:a16="http://schemas.microsoft.com/office/drawing/2014/main" id="{6D94EA5A-1934-11C4-1479-54B3E6086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279400</xdr:colOff>
      <xdr:row>16</xdr:row>
      <xdr:rowOff>76200</xdr:rowOff>
    </xdr:from>
    <xdr:to>
      <xdr:col>29</xdr:col>
      <xdr:colOff>279400</xdr:colOff>
      <xdr:row>26</xdr:row>
      <xdr:rowOff>88900</xdr:rowOff>
    </xdr:to>
    <xdr:graphicFrame macro="">
      <xdr:nvGraphicFramePr>
        <xdr:cNvPr id="131" name="แผนภูมิ 130">
          <a:extLst>
            <a:ext uri="{FF2B5EF4-FFF2-40B4-BE49-F238E27FC236}">
              <a16:creationId xmlns:a16="http://schemas.microsoft.com/office/drawing/2014/main" id="{BA48971C-6AFB-8229-EE43-1975D4F38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43180</xdr:colOff>
      <xdr:row>6</xdr:row>
      <xdr:rowOff>23937</xdr:rowOff>
    </xdr:from>
    <xdr:to>
      <xdr:col>24</xdr:col>
      <xdr:colOff>43180</xdr:colOff>
      <xdr:row>16</xdr:row>
      <xdr:rowOff>43180</xdr:rowOff>
    </xdr:to>
    <xdr:graphicFrame macro="">
      <xdr:nvGraphicFramePr>
        <xdr:cNvPr id="22" name="แผนภูมิ 21">
          <a:extLst>
            <a:ext uri="{FF2B5EF4-FFF2-40B4-BE49-F238E27FC236}">
              <a16:creationId xmlns:a16="http://schemas.microsoft.com/office/drawing/2014/main" id="{F0940DBE-F0A9-A54C-1CEF-B88081E70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43180</xdr:colOff>
      <xdr:row>8</xdr:row>
      <xdr:rowOff>43180</xdr:rowOff>
    </xdr:from>
    <xdr:to>
      <xdr:col>25</xdr:col>
      <xdr:colOff>43180</xdr:colOff>
      <xdr:row>18</xdr:row>
      <xdr:rowOff>13777</xdr:rowOff>
    </xdr:to>
    <xdr:graphicFrame macro="">
      <xdr:nvGraphicFramePr>
        <xdr:cNvPr id="23" name="แผนภูมิ 22">
          <a:extLst>
            <a:ext uri="{FF2B5EF4-FFF2-40B4-BE49-F238E27FC236}">
              <a16:creationId xmlns:a16="http://schemas.microsoft.com/office/drawing/2014/main" id="{FBCB7E43-EC71-2763-21FC-7B998FD4F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43180</xdr:colOff>
      <xdr:row>10</xdr:row>
      <xdr:rowOff>34097</xdr:rowOff>
    </xdr:from>
    <xdr:to>
      <xdr:col>26</xdr:col>
      <xdr:colOff>43180</xdr:colOff>
      <xdr:row>20</xdr:row>
      <xdr:rowOff>39562</xdr:rowOff>
    </xdr:to>
    <xdr:graphicFrame macro="">
      <xdr:nvGraphicFramePr>
        <xdr:cNvPr id="24" name="แผนภูมิ 23">
          <a:extLst>
            <a:ext uri="{FF2B5EF4-FFF2-40B4-BE49-F238E27FC236}">
              <a16:creationId xmlns:a16="http://schemas.microsoft.com/office/drawing/2014/main" id="{F3C29C26-6F78-AAAA-24AA-12915A7CA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43180</xdr:colOff>
      <xdr:row>12</xdr:row>
      <xdr:rowOff>23938</xdr:rowOff>
    </xdr:from>
    <xdr:to>
      <xdr:col>27</xdr:col>
      <xdr:colOff>43180</xdr:colOff>
      <xdr:row>22</xdr:row>
      <xdr:rowOff>43179</xdr:rowOff>
    </xdr:to>
    <xdr:graphicFrame macro="">
      <xdr:nvGraphicFramePr>
        <xdr:cNvPr id="25" name="แผนภูมิ 24">
          <a:extLst>
            <a:ext uri="{FF2B5EF4-FFF2-40B4-BE49-F238E27FC236}">
              <a16:creationId xmlns:a16="http://schemas.microsoft.com/office/drawing/2014/main" id="{F16C96E0-C303-6029-0249-7A8FA69E6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43180</xdr:colOff>
      <xdr:row>14</xdr:row>
      <xdr:rowOff>33020</xdr:rowOff>
    </xdr:from>
    <xdr:to>
      <xdr:col>28</xdr:col>
      <xdr:colOff>43180</xdr:colOff>
      <xdr:row>24</xdr:row>
      <xdr:rowOff>23937</xdr:rowOff>
    </xdr:to>
    <xdr:graphicFrame macro="">
      <xdr:nvGraphicFramePr>
        <xdr:cNvPr id="26" name="แผนภูมิ 25">
          <a:extLst>
            <a:ext uri="{FF2B5EF4-FFF2-40B4-BE49-F238E27FC236}">
              <a16:creationId xmlns:a16="http://schemas.microsoft.com/office/drawing/2014/main" id="{23F6CF1E-0F93-062C-525E-2A583DADF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43180</xdr:colOff>
      <xdr:row>16</xdr:row>
      <xdr:rowOff>43180</xdr:rowOff>
    </xdr:from>
    <xdr:to>
      <xdr:col>29</xdr:col>
      <xdr:colOff>43180</xdr:colOff>
      <xdr:row>26</xdr:row>
      <xdr:rowOff>30480</xdr:rowOff>
    </xdr:to>
    <xdr:graphicFrame macro="">
      <xdr:nvGraphicFramePr>
        <xdr:cNvPr id="27" name="แผนภูมิ 26">
          <a:extLst>
            <a:ext uri="{FF2B5EF4-FFF2-40B4-BE49-F238E27FC236}">
              <a16:creationId xmlns:a16="http://schemas.microsoft.com/office/drawing/2014/main" id="{5AC13F17-A258-9724-7BFF-593DB62E8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43180</xdr:colOff>
      <xdr:row>18</xdr:row>
      <xdr:rowOff>13777</xdr:rowOff>
    </xdr:from>
    <xdr:to>
      <xdr:col>30</xdr:col>
      <xdr:colOff>43180</xdr:colOff>
      <xdr:row>28</xdr:row>
      <xdr:rowOff>43180</xdr:rowOff>
    </xdr:to>
    <xdr:graphicFrame macro="">
      <xdr:nvGraphicFramePr>
        <xdr:cNvPr id="28" name="แผนภูมิ 27">
          <a:extLst>
            <a:ext uri="{FF2B5EF4-FFF2-40B4-BE49-F238E27FC236}">
              <a16:creationId xmlns:a16="http://schemas.microsoft.com/office/drawing/2014/main" id="{1CEF81EC-80BF-410B-A397-33ADCE2AF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43180</xdr:colOff>
      <xdr:row>20</xdr:row>
      <xdr:rowOff>39562</xdr:rowOff>
    </xdr:from>
    <xdr:to>
      <xdr:col>31</xdr:col>
      <xdr:colOff>43180</xdr:colOff>
      <xdr:row>30</xdr:row>
      <xdr:rowOff>23937</xdr:rowOff>
    </xdr:to>
    <xdr:graphicFrame macro="">
      <xdr:nvGraphicFramePr>
        <xdr:cNvPr id="29" name="แผนภูมิ 28">
          <a:extLst>
            <a:ext uri="{FF2B5EF4-FFF2-40B4-BE49-F238E27FC236}">
              <a16:creationId xmlns:a16="http://schemas.microsoft.com/office/drawing/2014/main" id="{0A7C28C9-674D-3AE2-7A8A-BE1CE17EE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404432</xdr:colOff>
      <xdr:row>53</xdr:row>
      <xdr:rowOff>167808</xdr:rowOff>
    </xdr:from>
    <xdr:to>
      <xdr:col>4</xdr:col>
      <xdr:colOff>401305</xdr:colOff>
      <xdr:row>69</xdr:row>
      <xdr:rowOff>62744</xdr:rowOff>
    </xdr:to>
    <xdr:graphicFrame macro="">
      <xdr:nvGraphicFramePr>
        <xdr:cNvPr id="2" name="แผนภูมิ 35">
          <a:extLst>
            <a:ext uri="{FF2B5EF4-FFF2-40B4-BE49-F238E27FC236}">
              <a16:creationId xmlns:a16="http://schemas.microsoft.com/office/drawing/2014/main" id="{8772B3D6-1B15-42E7-A1B6-4C6213D8D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318480</xdr:colOff>
      <xdr:row>72</xdr:row>
      <xdr:rowOff>102783</xdr:rowOff>
    </xdr:from>
    <xdr:to>
      <xdr:col>4</xdr:col>
      <xdr:colOff>280352</xdr:colOff>
      <xdr:row>88</xdr:row>
      <xdr:rowOff>17231</xdr:rowOff>
    </xdr:to>
    <xdr:graphicFrame macro="">
      <xdr:nvGraphicFramePr>
        <xdr:cNvPr id="3" name="แผนภูมิ 36">
          <a:extLst>
            <a:ext uri="{FF2B5EF4-FFF2-40B4-BE49-F238E27FC236}">
              <a16:creationId xmlns:a16="http://schemas.microsoft.com/office/drawing/2014/main" id="{C0676984-DF66-43B4-86C1-7D1C0645C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404432</xdr:colOff>
      <xdr:row>53</xdr:row>
      <xdr:rowOff>167808</xdr:rowOff>
    </xdr:from>
    <xdr:to>
      <xdr:col>4</xdr:col>
      <xdr:colOff>401305</xdr:colOff>
      <xdr:row>69</xdr:row>
      <xdr:rowOff>62744</xdr:rowOff>
    </xdr:to>
    <xdr:graphicFrame macro="">
      <xdr:nvGraphicFramePr>
        <xdr:cNvPr id="10" name="แผนภูมิ 35">
          <a:extLst>
            <a:ext uri="{FF2B5EF4-FFF2-40B4-BE49-F238E27FC236}">
              <a16:creationId xmlns:a16="http://schemas.microsoft.com/office/drawing/2014/main" id="{3C3B6818-40A0-43A8-AF81-F4FED043D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318480</xdr:colOff>
      <xdr:row>72</xdr:row>
      <xdr:rowOff>102783</xdr:rowOff>
    </xdr:from>
    <xdr:to>
      <xdr:col>4</xdr:col>
      <xdr:colOff>280352</xdr:colOff>
      <xdr:row>88</xdr:row>
      <xdr:rowOff>17231</xdr:rowOff>
    </xdr:to>
    <xdr:graphicFrame macro="">
      <xdr:nvGraphicFramePr>
        <xdr:cNvPr id="11" name="แผนภูมิ 36">
          <a:extLst>
            <a:ext uri="{FF2B5EF4-FFF2-40B4-BE49-F238E27FC236}">
              <a16:creationId xmlns:a16="http://schemas.microsoft.com/office/drawing/2014/main" id="{E36D7137-6705-4A6E-9127-00F0765D5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409391</xdr:colOff>
      <xdr:row>71</xdr:row>
      <xdr:rowOff>56691</xdr:rowOff>
    </xdr:from>
    <xdr:to>
      <xdr:col>14</xdr:col>
      <xdr:colOff>325062</xdr:colOff>
      <xdr:row>102</xdr:row>
      <xdr:rowOff>1623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4B2A3B7-4906-1644-4A93-5BEFB1C5B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90846" y="12473827"/>
          <a:ext cx="6362018" cy="53350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pic>
      <xdr:nvPicPr>
        <xdr:cNvPr id="2" name="Picture 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BCE244-85A2-4C70-9EA8-711F9B150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pic>
      <xdr:nvPicPr>
        <xdr:cNvPr id="3" name="Picture 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D4E22-DD90-4D8D-902B-A07110468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6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152400</xdr:colOff>
      <xdr:row>43</xdr:row>
      <xdr:rowOff>152400</xdr:rowOff>
    </xdr:to>
    <xdr:pic>
      <xdr:nvPicPr>
        <xdr:cNvPr id="4" name="Picture 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F69F2E-51B2-43C6-94D5-85A25F1E0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152400</xdr:colOff>
      <xdr:row>70</xdr:row>
      <xdr:rowOff>152400</xdr:rowOff>
    </xdr:to>
    <xdr:pic>
      <xdr:nvPicPr>
        <xdr:cNvPr id="5" name="Picture 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344D60-70BB-4684-BF87-AB16ACC49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20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152400</xdr:colOff>
      <xdr:row>82</xdr:row>
      <xdr:rowOff>152400</xdr:rowOff>
    </xdr:to>
    <xdr:pic>
      <xdr:nvPicPr>
        <xdr:cNvPr id="6" name="Picture 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4CDC3C-25A1-4287-8CF9-B997A1335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77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152400</xdr:colOff>
      <xdr:row>82</xdr:row>
      <xdr:rowOff>152400</xdr:rowOff>
    </xdr:to>
    <xdr:pic>
      <xdr:nvPicPr>
        <xdr:cNvPr id="7" name="Picture 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4289AC-C999-4E33-AC31-2FDE6B470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77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152400</xdr:colOff>
      <xdr:row>87</xdr:row>
      <xdr:rowOff>152400</xdr:rowOff>
    </xdr:to>
    <xdr:pic>
      <xdr:nvPicPr>
        <xdr:cNvPr id="8" name="Picture 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AAD1DB-8658-46AA-A3E2-0B4A81B9F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3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152400</xdr:colOff>
      <xdr:row>89</xdr:row>
      <xdr:rowOff>152400</xdr:rowOff>
    </xdr:to>
    <xdr:pic>
      <xdr:nvPicPr>
        <xdr:cNvPr id="9" name="Picture 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CB4D7B-81DA-4E72-8B60-AD9D575C3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78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152400</xdr:colOff>
      <xdr:row>95</xdr:row>
      <xdr:rowOff>152400</xdr:rowOff>
    </xdr:to>
    <xdr:pic>
      <xdr:nvPicPr>
        <xdr:cNvPr id="10" name="Picture 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17A2AC-BADA-4457-98BE-7630F6BDA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0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152400</xdr:colOff>
      <xdr:row>99</xdr:row>
      <xdr:rowOff>152400</xdr:rowOff>
    </xdr:to>
    <xdr:pic>
      <xdr:nvPicPr>
        <xdr:cNvPr id="11" name="Picture 1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5B7C6F-3792-4928-AFDE-0B7140F59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92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152400</xdr:rowOff>
    </xdr:to>
    <xdr:pic>
      <xdr:nvPicPr>
        <xdr:cNvPr id="12" name="Picture 1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211633-0D28-482A-9A85-792525C41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6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152400</xdr:rowOff>
    </xdr:to>
    <xdr:pic>
      <xdr:nvPicPr>
        <xdr:cNvPr id="13" name="Picture 1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687B43-A959-449A-84D4-EC90CD87E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21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152400</xdr:rowOff>
    </xdr:to>
    <xdr:pic>
      <xdr:nvPicPr>
        <xdr:cNvPr id="14" name="Picture 1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506D80-6E55-43BD-B3CC-1E26F88B3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1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152400</xdr:rowOff>
    </xdr:to>
    <xdr:pic>
      <xdr:nvPicPr>
        <xdr:cNvPr id="15" name="Picture 1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9367E0-2510-41A3-A8E5-59CE4E493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64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pic>
      <xdr:nvPicPr>
        <xdr:cNvPr id="16" name="Picture 1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758507-94C5-4DB7-8F4A-87E7E7DB3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pic>
      <xdr:nvPicPr>
        <xdr:cNvPr id="17" name="Picture 1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75B60A-B3DF-4CAA-992A-68079A36E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pic>
      <xdr:nvPicPr>
        <xdr:cNvPr id="18" name="Picture 1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792556-D19D-4493-8D9A-A64472A69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pic>
      <xdr:nvPicPr>
        <xdr:cNvPr id="19" name="Picture 1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304B1-1F60-4368-B418-0339CDE81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pic>
      <xdr:nvPicPr>
        <xdr:cNvPr id="20" name="Picture 1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78D801-F427-47A5-AAF0-C8B3F8CF0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pic>
      <xdr:nvPicPr>
        <xdr:cNvPr id="21" name="Picture 2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B82844-7A8D-4BAA-9312-A1E67B54D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pic>
      <xdr:nvPicPr>
        <xdr:cNvPr id="22" name="Picture 2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8EB84F-CF96-492B-935A-5D5ED475E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pic>
      <xdr:nvPicPr>
        <xdr:cNvPr id="23" name="Picture 2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1F6F18-7647-4439-9112-ABFBDA751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pic>
      <xdr:nvPicPr>
        <xdr:cNvPr id="24" name="Picture 2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BD617D-8544-42B8-AEBB-4D46FCFC1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3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pic>
      <xdr:nvPicPr>
        <xdr:cNvPr id="25" name="Picture 2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A96A0D-777D-483B-9F31-4C4C58B3C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152400</xdr:colOff>
      <xdr:row>12</xdr:row>
      <xdr:rowOff>152400</xdr:rowOff>
    </xdr:to>
    <xdr:pic>
      <xdr:nvPicPr>
        <xdr:cNvPr id="26" name="Picture 2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C3C6E6-B9FD-4AEB-94F0-6FAA6227C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6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pic>
      <xdr:nvPicPr>
        <xdr:cNvPr id="27" name="Picture 2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AB8683-76AD-455D-A7D3-E1B05D98F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pic>
      <xdr:nvPicPr>
        <xdr:cNvPr id="28" name="Picture 2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BDE16D-5E5C-4F43-9B19-657CD5DA3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9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pic>
      <xdr:nvPicPr>
        <xdr:cNvPr id="29" name="Picture 2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5DD269-8BB9-43B7-9636-10CC8E395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152400</xdr:colOff>
      <xdr:row>16</xdr:row>
      <xdr:rowOff>152400</xdr:rowOff>
    </xdr:to>
    <xdr:pic>
      <xdr:nvPicPr>
        <xdr:cNvPr id="30" name="Picture 2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843337-21DC-4809-BA8B-3AED429B6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pic>
      <xdr:nvPicPr>
        <xdr:cNvPr id="31" name="Picture 3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8EB262-EAFC-46C2-972A-3ADDF926E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3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pic>
      <xdr:nvPicPr>
        <xdr:cNvPr id="32" name="Picture 3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D97D81-4368-464D-A156-A887DE7F1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5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pic>
      <xdr:nvPicPr>
        <xdr:cNvPr id="33" name="Picture 3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D6FA1B-A797-4C2A-9276-1BB7826E3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152400</xdr:colOff>
      <xdr:row>20</xdr:row>
      <xdr:rowOff>152400</xdr:rowOff>
    </xdr:to>
    <xdr:pic>
      <xdr:nvPicPr>
        <xdr:cNvPr id="34" name="Picture 3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BFD9BC-DE25-48DF-A747-46602DB0D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8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pic>
      <xdr:nvPicPr>
        <xdr:cNvPr id="35" name="Picture 3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A9D2C4-7A46-4257-8410-2E05710C7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pic>
      <xdr:nvPicPr>
        <xdr:cNvPr id="36" name="Picture 3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BBB5B5-B772-4A79-A600-FED4967F1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2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152400</xdr:colOff>
      <xdr:row>24</xdr:row>
      <xdr:rowOff>152400</xdr:rowOff>
    </xdr:to>
    <xdr:pic>
      <xdr:nvPicPr>
        <xdr:cNvPr id="37" name="Picture 3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09EDF5-A658-4CCF-91BA-2AAE4FAE1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3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152400</xdr:colOff>
      <xdr:row>26</xdr:row>
      <xdr:rowOff>152400</xdr:rowOff>
    </xdr:to>
    <xdr:pic>
      <xdr:nvPicPr>
        <xdr:cNvPr id="38" name="Picture 3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A35552-22A3-404F-B1AF-036307EF7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6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pic>
      <xdr:nvPicPr>
        <xdr:cNvPr id="39" name="Picture 3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E89124-09F3-4C08-955D-5722B4BA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8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pic>
      <xdr:nvPicPr>
        <xdr:cNvPr id="40" name="Picture 3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FFD922-4ED9-424B-8724-A5B74A13B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9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pic>
      <xdr:nvPicPr>
        <xdr:cNvPr id="41" name="Picture 4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D368F9-46A6-4DB8-AF52-0B98B5EC3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pic>
      <xdr:nvPicPr>
        <xdr:cNvPr id="42" name="Picture 4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1D41F7-B90F-4FC3-AC96-63381BEF6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2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152400</xdr:colOff>
      <xdr:row>31</xdr:row>
      <xdr:rowOff>152400</xdr:rowOff>
    </xdr:to>
    <xdr:pic>
      <xdr:nvPicPr>
        <xdr:cNvPr id="43" name="Picture 4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D51C06-AFD3-41FB-AC18-5DE0E0395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pic>
      <xdr:nvPicPr>
        <xdr:cNvPr id="44" name="Picture 4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7041DF-891C-4375-B2AC-2C3162340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pic>
      <xdr:nvPicPr>
        <xdr:cNvPr id="45" name="Picture 4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FCB5C4-CB69-47C4-9DEF-ECA68386E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6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pic>
      <xdr:nvPicPr>
        <xdr:cNvPr id="46" name="Picture 4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2DAD70-A632-4A00-81EF-B58B3569F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8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pic>
      <xdr:nvPicPr>
        <xdr:cNvPr id="47" name="Picture 4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1E531A-F2C2-4F2F-BF99-60503019A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152400</xdr:colOff>
      <xdr:row>36</xdr:row>
      <xdr:rowOff>152400</xdr:rowOff>
    </xdr:to>
    <xdr:pic>
      <xdr:nvPicPr>
        <xdr:cNvPr id="48" name="Picture 4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04992D-F447-4869-A22D-D57AF702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152400</xdr:colOff>
      <xdr:row>38</xdr:row>
      <xdr:rowOff>152400</xdr:rowOff>
    </xdr:to>
    <xdr:pic>
      <xdr:nvPicPr>
        <xdr:cNvPr id="49" name="Picture 4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C5F5C7-988D-4D67-81E3-406CCDD8A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152400</xdr:rowOff>
    </xdr:to>
    <xdr:pic>
      <xdr:nvPicPr>
        <xdr:cNvPr id="50" name="Picture 4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7C0A2-158D-43AF-8272-17B7637C6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152400</xdr:colOff>
      <xdr:row>40</xdr:row>
      <xdr:rowOff>152400</xdr:rowOff>
    </xdr:to>
    <xdr:pic>
      <xdr:nvPicPr>
        <xdr:cNvPr id="51" name="Picture 5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FE41E2-99BC-44A8-AD28-8A43C3DDD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7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pic>
      <xdr:nvPicPr>
        <xdr:cNvPr id="52" name="Picture 5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687350-9680-4163-B782-10E6C5E06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152400</xdr:colOff>
      <xdr:row>42</xdr:row>
      <xdr:rowOff>152400</xdr:rowOff>
    </xdr:to>
    <xdr:pic>
      <xdr:nvPicPr>
        <xdr:cNvPr id="53" name="Picture 5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115B2A-06E7-4B35-B712-7B363B29F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19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152400</xdr:colOff>
      <xdr:row>44</xdr:row>
      <xdr:rowOff>152400</xdr:rowOff>
    </xdr:to>
    <xdr:pic>
      <xdr:nvPicPr>
        <xdr:cNvPr id="54" name="Picture 5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5CFEEC-3DEA-45D4-893D-07F4DC40F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152400</xdr:colOff>
      <xdr:row>45</xdr:row>
      <xdr:rowOff>152400</xdr:rowOff>
    </xdr:to>
    <xdr:pic>
      <xdr:nvPicPr>
        <xdr:cNvPr id="55" name="Picture 5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B1F7A8-7FA8-4AB8-A332-FA4744DC9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4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152400</xdr:colOff>
      <xdr:row>46</xdr:row>
      <xdr:rowOff>152400</xdr:rowOff>
    </xdr:to>
    <xdr:pic>
      <xdr:nvPicPr>
        <xdr:cNvPr id="56" name="Picture 5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9D6098-D0D2-42DD-8FB5-49F432334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05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152400</xdr:colOff>
      <xdr:row>47</xdr:row>
      <xdr:rowOff>152400</xdr:rowOff>
    </xdr:to>
    <xdr:pic>
      <xdr:nvPicPr>
        <xdr:cNvPr id="57" name="Picture 5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2A77AF-1199-4FE4-B654-533104B92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7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152400</xdr:colOff>
      <xdr:row>48</xdr:row>
      <xdr:rowOff>152400</xdr:rowOff>
    </xdr:to>
    <xdr:pic>
      <xdr:nvPicPr>
        <xdr:cNvPr id="58" name="Picture 5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D0CD9B-F98A-4754-911A-0CBF9BD1C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48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pic>
      <xdr:nvPicPr>
        <xdr:cNvPr id="59" name="Picture 5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3E29CE-B42D-4ECA-A0E4-794F00945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152400</xdr:colOff>
      <xdr:row>50</xdr:row>
      <xdr:rowOff>152400</xdr:rowOff>
    </xdr:to>
    <xdr:pic>
      <xdr:nvPicPr>
        <xdr:cNvPr id="60" name="Picture 5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5E1C6B-3ECD-4B52-86CF-3272936C3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152400</xdr:colOff>
      <xdr:row>51</xdr:row>
      <xdr:rowOff>152400</xdr:rowOff>
    </xdr:to>
    <xdr:pic>
      <xdr:nvPicPr>
        <xdr:cNvPr id="61" name="Picture 6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CADF3A-8CDE-4630-854C-0963A89CA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152400</xdr:colOff>
      <xdr:row>52</xdr:row>
      <xdr:rowOff>152400</xdr:rowOff>
    </xdr:to>
    <xdr:pic>
      <xdr:nvPicPr>
        <xdr:cNvPr id="62" name="Picture 6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7E5C38-0B74-4A0A-99D0-061AD3455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152400</xdr:colOff>
      <xdr:row>53</xdr:row>
      <xdr:rowOff>152400</xdr:rowOff>
    </xdr:to>
    <xdr:pic>
      <xdr:nvPicPr>
        <xdr:cNvPr id="63" name="Picture 6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44D36C-A1B7-4DE4-A400-8D40340EF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0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152400</xdr:colOff>
      <xdr:row>54</xdr:row>
      <xdr:rowOff>152400</xdr:rowOff>
    </xdr:to>
    <xdr:pic>
      <xdr:nvPicPr>
        <xdr:cNvPr id="64" name="Picture 6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D47347-7658-4AE8-81B5-1162EE55A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77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152400</xdr:colOff>
      <xdr:row>55</xdr:row>
      <xdr:rowOff>152400</xdr:rowOff>
    </xdr:to>
    <xdr:pic>
      <xdr:nvPicPr>
        <xdr:cNvPr id="65" name="Picture 6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B306C1-700B-4AA4-8654-996417FAA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48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152400</xdr:colOff>
      <xdr:row>56</xdr:row>
      <xdr:rowOff>152400</xdr:rowOff>
    </xdr:to>
    <xdr:pic>
      <xdr:nvPicPr>
        <xdr:cNvPr id="66" name="Picture 6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24B808-C64E-413A-B656-64D65F0FE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0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152400</xdr:colOff>
      <xdr:row>57</xdr:row>
      <xdr:rowOff>152400</xdr:rowOff>
    </xdr:to>
    <xdr:pic>
      <xdr:nvPicPr>
        <xdr:cNvPr id="67" name="Picture 6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4AE32D-F784-40CC-A5F5-0B7EA70A6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9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152400</xdr:colOff>
      <xdr:row>58</xdr:row>
      <xdr:rowOff>152400</xdr:rowOff>
    </xdr:to>
    <xdr:pic>
      <xdr:nvPicPr>
        <xdr:cNvPr id="68" name="Picture 6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F2CD5C-2ACF-49AB-A718-617CE679E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6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152400</xdr:colOff>
      <xdr:row>59</xdr:row>
      <xdr:rowOff>152400</xdr:rowOff>
    </xdr:to>
    <xdr:pic>
      <xdr:nvPicPr>
        <xdr:cNvPr id="69" name="Picture 6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B2E55F-476D-440C-9CC3-C9099510C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34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152400</xdr:colOff>
      <xdr:row>60</xdr:row>
      <xdr:rowOff>152400</xdr:rowOff>
    </xdr:to>
    <xdr:pic>
      <xdr:nvPicPr>
        <xdr:cNvPr id="70" name="Picture 6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4E38F1-F5EE-4DA3-B50A-260057884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06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152400</xdr:colOff>
      <xdr:row>61</xdr:row>
      <xdr:rowOff>152400</xdr:rowOff>
    </xdr:to>
    <xdr:pic>
      <xdr:nvPicPr>
        <xdr:cNvPr id="71" name="Picture 7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077114-D934-4DB7-9EEC-2460972A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152400</xdr:colOff>
      <xdr:row>62</xdr:row>
      <xdr:rowOff>152400</xdr:rowOff>
    </xdr:to>
    <xdr:pic>
      <xdr:nvPicPr>
        <xdr:cNvPr id="72" name="Picture 7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C73A94-7F49-4AD3-B0A0-B6895498C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48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152400</xdr:colOff>
      <xdr:row>63</xdr:row>
      <xdr:rowOff>152400</xdr:rowOff>
    </xdr:to>
    <xdr:pic>
      <xdr:nvPicPr>
        <xdr:cNvPr id="73" name="Picture 7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42616-62A8-4C60-B5EF-8A781B5F5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20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152400</xdr:colOff>
      <xdr:row>64</xdr:row>
      <xdr:rowOff>152400</xdr:rowOff>
    </xdr:to>
    <xdr:pic>
      <xdr:nvPicPr>
        <xdr:cNvPr id="74" name="Picture 7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5B51F8-C8AD-4C3C-8063-C50A65E1F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91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152400</xdr:colOff>
      <xdr:row>65</xdr:row>
      <xdr:rowOff>152400</xdr:rowOff>
    </xdr:to>
    <xdr:pic>
      <xdr:nvPicPr>
        <xdr:cNvPr id="75" name="Picture 7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493D3D-7BB6-4D79-A643-8E11CE0DB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63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152400</xdr:colOff>
      <xdr:row>66</xdr:row>
      <xdr:rowOff>152400</xdr:rowOff>
    </xdr:to>
    <xdr:pic>
      <xdr:nvPicPr>
        <xdr:cNvPr id="76" name="Picture 7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C93131-BDA3-45D8-8771-C3C7487C2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3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152400</xdr:colOff>
      <xdr:row>67</xdr:row>
      <xdr:rowOff>152400</xdr:rowOff>
    </xdr:to>
    <xdr:pic>
      <xdr:nvPicPr>
        <xdr:cNvPr id="77" name="Picture 7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A0C241-6814-4634-9BC2-897387925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0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152400</xdr:colOff>
      <xdr:row>68</xdr:row>
      <xdr:rowOff>152400</xdr:rowOff>
    </xdr:to>
    <xdr:pic>
      <xdr:nvPicPr>
        <xdr:cNvPr id="78" name="Picture 7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DA5639-FF97-4A1E-B798-FFA58F21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77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152400</xdr:colOff>
      <xdr:row>69</xdr:row>
      <xdr:rowOff>152400</xdr:rowOff>
    </xdr:to>
    <xdr:pic>
      <xdr:nvPicPr>
        <xdr:cNvPr id="79" name="Picture 7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20B3C2-6C16-44BF-B0BF-8DABA5E81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4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152400</xdr:colOff>
      <xdr:row>69</xdr:row>
      <xdr:rowOff>152400</xdr:rowOff>
    </xdr:to>
    <xdr:pic>
      <xdr:nvPicPr>
        <xdr:cNvPr id="80" name="Picture 7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53A5B7-EFD3-4243-9EC6-B060895BC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4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152400</xdr:colOff>
      <xdr:row>71</xdr:row>
      <xdr:rowOff>152400</xdr:rowOff>
    </xdr:to>
    <xdr:pic>
      <xdr:nvPicPr>
        <xdr:cNvPr id="81" name="Picture 8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5BEA7B-57C6-47F2-9D87-8FE461013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152400</xdr:colOff>
      <xdr:row>72</xdr:row>
      <xdr:rowOff>152400</xdr:rowOff>
    </xdr:to>
    <xdr:pic>
      <xdr:nvPicPr>
        <xdr:cNvPr id="82" name="Picture 8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BCBB6B-6D94-4640-BAF4-5EED7AEF5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63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152400</xdr:colOff>
      <xdr:row>73</xdr:row>
      <xdr:rowOff>152400</xdr:rowOff>
    </xdr:to>
    <xdr:pic>
      <xdr:nvPicPr>
        <xdr:cNvPr id="83" name="Picture 8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05AE58-4583-4D92-97C7-FF0A7C1A5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3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152400</xdr:colOff>
      <xdr:row>74</xdr:row>
      <xdr:rowOff>152400</xdr:rowOff>
    </xdr:to>
    <xdr:pic>
      <xdr:nvPicPr>
        <xdr:cNvPr id="84" name="Picture 8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18365E-8F11-4B27-A16D-7E0AB7DB1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06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152400</xdr:colOff>
      <xdr:row>75</xdr:row>
      <xdr:rowOff>152400</xdr:rowOff>
    </xdr:to>
    <xdr:pic>
      <xdr:nvPicPr>
        <xdr:cNvPr id="85" name="Picture 8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279C37-117D-46A3-ADDA-FD5916781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7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152400</xdr:colOff>
      <xdr:row>76</xdr:row>
      <xdr:rowOff>152400</xdr:rowOff>
    </xdr:to>
    <xdr:pic>
      <xdr:nvPicPr>
        <xdr:cNvPr id="86" name="Picture 8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D3F2D2-5DFD-4AED-91E6-4774A190E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4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152400</xdr:colOff>
      <xdr:row>77</xdr:row>
      <xdr:rowOff>152400</xdr:rowOff>
    </xdr:to>
    <xdr:pic>
      <xdr:nvPicPr>
        <xdr:cNvPr id="87" name="Picture 8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E3B57F-4331-4446-93B6-600DCED30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2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152400</xdr:colOff>
      <xdr:row>78</xdr:row>
      <xdr:rowOff>152400</xdr:rowOff>
    </xdr:to>
    <xdr:pic>
      <xdr:nvPicPr>
        <xdr:cNvPr id="88" name="Picture 8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6AB953-3443-418F-94B8-8F5FD9779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92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152400</xdr:colOff>
      <xdr:row>79</xdr:row>
      <xdr:rowOff>152400</xdr:rowOff>
    </xdr:to>
    <xdr:pic>
      <xdr:nvPicPr>
        <xdr:cNvPr id="89" name="Picture 8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AC6B87-7747-4CCB-A062-AAEAA5E53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6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152400</xdr:colOff>
      <xdr:row>80</xdr:row>
      <xdr:rowOff>152400</xdr:rowOff>
    </xdr:to>
    <xdr:pic>
      <xdr:nvPicPr>
        <xdr:cNvPr id="90" name="Picture 8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7691E9-8AD3-4253-ACD0-4583FE2B6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35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152400</xdr:colOff>
      <xdr:row>81</xdr:row>
      <xdr:rowOff>152400</xdr:rowOff>
    </xdr:to>
    <xdr:pic>
      <xdr:nvPicPr>
        <xdr:cNvPr id="91" name="Picture 9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B16139-C7E3-4984-B847-9081A54DE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0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152400</xdr:colOff>
      <xdr:row>83</xdr:row>
      <xdr:rowOff>152400</xdr:rowOff>
    </xdr:to>
    <xdr:pic>
      <xdr:nvPicPr>
        <xdr:cNvPr id="92" name="Picture 9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CA706C-5857-4318-96B2-073EEDEDD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4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152400</xdr:colOff>
      <xdr:row>84</xdr:row>
      <xdr:rowOff>152400</xdr:rowOff>
    </xdr:to>
    <xdr:pic>
      <xdr:nvPicPr>
        <xdr:cNvPr id="93" name="Picture 9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8D1CA8-0A2C-4FB6-B6A9-E422838D9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2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152400</xdr:colOff>
      <xdr:row>85</xdr:row>
      <xdr:rowOff>152400</xdr:rowOff>
    </xdr:to>
    <xdr:pic>
      <xdr:nvPicPr>
        <xdr:cNvPr id="94" name="Picture 9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1ACF21-D78B-4C58-B28E-A20301996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92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152400</xdr:colOff>
      <xdr:row>87</xdr:row>
      <xdr:rowOff>152400</xdr:rowOff>
    </xdr:to>
    <xdr:pic>
      <xdr:nvPicPr>
        <xdr:cNvPr id="95" name="Picture 9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ABB798-94AF-4034-95B6-49EC37CA1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3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152400</xdr:colOff>
      <xdr:row>87</xdr:row>
      <xdr:rowOff>152400</xdr:rowOff>
    </xdr:to>
    <xdr:pic>
      <xdr:nvPicPr>
        <xdr:cNvPr id="96" name="Picture 9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99E59B-B575-4E30-B392-74B58E19D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3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152400</xdr:colOff>
      <xdr:row>87</xdr:row>
      <xdr:rowOff>152400</xdr:rowOff>
    </xdr:to>
    <xdr:pic>
      <xdr:nvPicPr>
        <xdr:cNvPr id="97" name="Picture 9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6D8325-1BA0-4573-9313-F0D960F6D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3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152400</xdr:colOff>
      <xdr:row>87</xdr:row>
      <xdr:rowOff>152400</xdr:rowOff>
    </xdr:to>
    <xdr:pic>
      <xdr:nvPicPr>
        <xdr:cNvPr id="98" name="Picture 9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F25502-86E5-45E3-847D-E18D42C19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3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152400</xdr:colOff>
      <xdr:row>87</xdr:row>
      <xdr:rowOff>152400</xdr:rowOff>
    </xdr:to>
    <xdr:pic>
      <xdr:nvPicPr>
        <xdr:cNvPr id="99" name="Picture 9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49F42D-391D-4B46-84FA-04F49AA69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3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152400</xdr:colOff>
      <xdr:row>87</xdr:row>
      <xdr:rowOff>152400</xdr:rowOff>
    </xdr:to>
    <xdr:pic>
      <xdr:nvPicPr>
        <xdr:cNvPr id="100" name="Picture 9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939361-0536-4BCD-B287-DADAB2293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3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152400</xdr:colOff>
      <xdr:row>88</xdr:row>
      <xdr:rowOff>152400</xdr:rowOff>
    </xdr:to>
    <xdr:pic>
      <xdr:nvPicPr>
        <xdr:cNvPr id="101" name="Picture 10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B9429C-095A-4E10-B684-573F06722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06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152400</xdr:colOff>
      <xdr:row>90</xdr:row>
      <xdr:rowOff>152400</xdr:rowOff>
    </xdr:to>
    <xdr:pic>
      <xdr:nvPicPr>
        <xdr:cNvPr id="102" name="Picture 10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CF42C1-3EFA-4EBD-8632-C3E8FE4BE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49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152400</xdr:colOff>
      <xdr:row>91</xdr:row>
      <xdr:rowOff>152400</xdr:rowOff>
    </xdr:to>
    <xdr:pic>
      <xdr:nvPicPr>
        <xdr:cNvPr id="103" name="Picture 10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7F9C52-F5E8-498D-9D1D-3ECFD431D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152400</xdr:colOff>
      <xdr:row>92</xdr:row>
      <xdr:rowOff>152400</xdr:rowOff>
    </xdr:to>
    <xdr:pic>
      <xdr:nvPicPr>
        <xdr:cNvPr id="104" name="Picture 10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B9CCFE-1C1E-4DC2-83D4-BC89B4310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92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152400</xdr:colOff>
      <xdr:row>93</xdr:row>
      <xdr:rowOff>152400</xdr:rowOff>
    </xdr:to>
    <xdr:pic>
      <xdr:nvPicPr>
        <xdr:cNvPr id="105" name="Picture 10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8BF854-5BD3-4EB3-8C59-ACB164A90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6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152400</xdr:colOff>
      <xdr:row>94</xdr:row>
      <xdr:rowOff>152400</xdr:rowOff>
    </xdr:to>
    <xdr:pic>
      <xdr:nvPicPr>
        <xdr:cNvPr id="106" name="Picture 10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04091C-34FD-4912-9F9D-D3671690B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35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152400</xdr:colOff>
      <xdr:row>96</xdr:row>
      <xdr:rowOff>152400</xdr:rowOff>
    </xdr:to>
    <xdr:pic>
      <xdr:nvPicPr>
        <xdr:cNvPr id="107" name="Picture 10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A3EAB7-DCB2-4875-B7E1-F8FB3C2BC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78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152400</xdr:colOff>
      <xdr:row>97</xdr:row>
      <xdr:rowOff>152400</xdr:rowOff>
    </xdr:to>
    <xdr:pic>
      <xdr:nvPicPr>
        <xdr:cNvPr id="108" name="Picture 10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67FC88-16F0-45FA-89B3-E9678B40F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152400</xdr:colOff>
      <xdr:row>98</xdr:row>
      <xdr:rowOff>152400</xdr:rowOff>
    </xdr:to>
    <xdr:pic>
      <xdr:nvPicPr>
        <xdr:cNvPr id="109" name="Picture 10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C814F1-2401-4F1D-B0CD-9175302FB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21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152400</xdr:rowOff>
    </xdr:to>
    <xdr:pic>
      <xdr:nvPicPr>
        <xdr:cNvPr id="110" name="Picture 10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5DD0E5-D041-4E2A-837A-058B4E02F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3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152400</xdr:rowOff>
    </xdr:to>
    <xdr:pic>
      <xdr:nvPicPr>
        <xdr:cNvPr id="111" name="Picture 11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080151-5B0D-4858-840E-839414878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06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152400</xdr:rowOff>
    </xdr:to>
    <xdr:pic>
      <xdr:nvPicPr>
        <xdr:cNvPr id="112" name="Picture 11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6D2A8C-7A8A-4665-897D-AAE7399D2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7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152400</xdr:rowOff>
    </xdr:to>
    <xdr:pic>
      <xdr:nvPicPr>
        <xdr:cNvPr id="113" name="Picture 11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B180B6-4535-4B76-B0BD-20FCE971E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49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152400</xdr:rowOff>
    </xdr:to>
    <xdr:pic>
      <xdr:nvPicPr>
        <xdr:cNvPr id="114" name="Picture 113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5C8F06-4B90-4616-97BD-4BC29F89E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92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152400</xdr:rowOff>
    </xdr:to>
    <xdr:pic>
      <xdr:nvPicPr>
        <xdr:cNvPr id="115" name="Picture 114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3C3925-E1AB-456C-AB09-11FDF586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92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152400</xdr:rowOff>
    </xdr:to>
    <xdr:pic>
      <xdr:nvPicPr>
        <xdr:cNvPr id="116" name="Picture 115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6C2DDF-08CC-4D8E-B4F2-C9D66188E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6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152400</xdr:rowOff>
    </xdr:to>
    <xdr:pic>
      <xdr:nvPicPr>
        <xdr:cNvPr id="117" name="Picture 116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8322C2-DCAE-48C3-9840-BE022EB57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3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152400</xdr:rowOff>
    </xdr:to>
    <xdr:pic>
      <xdr:nvPicPr>
        <xdr:cNvPr id="118" name="Picture 117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9ACF57-D7CC-4095-A555-F344C8AFB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0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152400</xdr:rowOff>
    </xdr:to>
    <xdr:pic>
      <xdr:nvPicPr>
        <xdr:cNvPr id="119" name="Picture 118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CE12AD-670D-4949-8B66-FA246E4D0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78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152400</xdr:rowOff>
    </xdr:to>
    <xdr:pic>
      <xdr:nvPicPr>
        <xdr:cNvPr id="120" name="Picture 119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45EA56-7A5B-4D9D-B6ED-D3DC51321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152400</xdr:rowOff>
    </xdr:to>
    <xdr:pic>
      <xdr:nvPicPr>
        <xdr:cNvPr id="121" name="Picture 120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A24B51-A75A-45D1-B4C2-2A19B06DA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9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152400</xdr:rowOff>
    </xdr:to>
    <xdr:pic>
      <xdr:nvPicPr>
        <xdr:cNvPr id="122" name="Picture 121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3B189F-AB64-4504-B596-8D440FA44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3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152400</xdr:rowOff>
    </xdr:to>
    <xdr:pic>
      <xdr:nvPicPr>
        <xdr:cNvPr id="123" name="Picture 122" descr="toggle favori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DA7EC9-029B-45B7-B31B-785131240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0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239059</xdr:colOff>
      <xdr:row>32</xdr:row>
      <xdr:rowOff>134471</xdr:rowOff>
    </xdr:from>
    <xdr:to>
      <xdr:col>17</xdr:col>
      <xdr:colOff>2465</xdr:colOff>
      <xdr:row>61</xdr:row>
      <xdr:rowOff>1793</xdr:rowOff>
    </xdr:to>
    <xdr:pic>
      <xdr:nvPicPr>
        <xdr:cNvPr id="136" name="รูปภาพ 123">
          <a:extLst>
            <a:ext uri="{FF2B5EF4-FFF2-40B4-BE49-F238E27FC236}">
              <a16:creationId xmlns:a16="http://schemas.microsoft.com/office/drawing/2014/main" id="{44301166-5EED-FDA8-7FD6-E838E360F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33412" y="5916706"/>
          <a:ext cx="6457576" cy="4843182"/>
        </a:xfrm>
        <a:prstGeom prst="rect">
          <a:avLst/>
        </a:prstGeom>
      </xdr:spPr>
    </xdr:pic>
    <xdr:clientData/>
  </xdr:twoCellAnchor>
  <xdr:twoCellAnchor>
    <xdr:from>
      <xdr:col>10</xdr:col>
      <xdr:colOff>838200</xdr:colOff>
      <xdr:row>63</xdr:row>
      <xdr:rowOff>139700</xdr:rowOff>
    </xdr:from>
    <xdr:to>
      <xdr:col>15</xdr:col>
      <xdr:colOff>279400</xdr:colOff>
      <xdr:row>79</xdr:row>
      <xdr:rowOff>38100</xdr:rowOff>
    </xdr:to>
    <xdr:graphicFrame macro="">
      <xdr:nvGraphicFramePr>
        <xdr:cNvPr id="190" name="แผนภูมิ 124">
          <a:extLst>
            <a:ext uri="{FF2B5EF4-FFF2-40B4-BE49-F238E27FC236}">
              <a16:creationId xmlns:a16="http://schemas.microsoft.com/office/drawing/2014/main" id="{8BE80ED7-4B35-CDFC-E6E2-482ABC98B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collegexpress.com/college/colby-sawyer-college/1100311/details/" TargetMode="External"/><Relationship Id="rId21" Type="http://schemas.openxmlformats.org/officeDocument/2006/relationships/hyperlink" Target="http://www.collegexpress.com/college/catholic-university-of-america/2400062/details/" TargetMode="External"/><Relationship Id="rId42" Type="http://schemas.openxmlformats.org/officeDocument/2006/relationships/hyperlink" Target="http://www.collegexpress.com/college/george-fox-university/1100674/details/" TargetMode="External"/><Relationship Id="rId47" Type="http://schemas.openxmlformats.org/officeDocument/2006/relationships/hyperlink" Target="http://www.collegexpress.com/college/hobart-and-william-smith-colleges/2100326/details/" TargetMode="External"/><Relationship Id="rId63" Type="http://schemas.openxmlformats.org/officeDocument/2006/relationships/hyperlink" Target="http://www.collegexpress.com/college/menlo-college/1100402/details/" TargetMode="External"/><Relationship Id="rId68" Type="http://schemas.openxmlformats.org/officeDocument/2006/relationships/hyperlink" Target="http://www.collegexpress.com/college/nazareth-college-of-rochester/1100335/details/" TargetMode="External"/><Relationship Id="rId84" Type="http://schemas.openxmlformats.org/officeDocument/2006/relationships/hyperlink" Target="http://www.collegexpress.com/college/rollins-college/1100718/details/" TargetMode="External"/><Relationship Id="rId89" Type="http://schemas.openxmlformats.org/officeDocument/2006/relationships/hyperlink" Target="http://www.collegexpress.com/college/suffolk-university/1100125/details/" TargetMode="External"/><Relationship Id="rId112" Type="http://schemas.openxmlformats.org/officeDocument/2006/relationships/hyperlink" Target="http://www.collegexpress.com/college/drew-university/1100304/details/" TargetMode="External"/><Relationship Id="rId2" Type="http://schemas.openxmlformats.org/officeDocument/2006/relationships/hyperlink" Target="http://www.collegexpress.com/college/goucher-college/2800138/details/" TargetMode="External"/><Relationship Id="rId16" Type="http://schemas.openxmlformats.org/officeDocument/2006/relationships/hyperlink" Target="http://www.collegexpress.com/college/beloit-college/2100202/details/" TargetMode="External"/><Relationship Id="rId29" Type="http://schemas.openxmlformats.org/officeDocument/2006/relationships/hyperlink" Target="http://www.collegexpress.com/college/davis-elkins-college/1100579/details/" TargetMode="External"/><Relationship Id="rId107" Type="http://schemas.openxmlformats.org/officeDocument/2006/relationships/hyperlink" Target="http://www.collegexpress.com/college/west-virginia-wesleyan-college/2600053/details/" TargetMode="External"/><Relationship Id="rId11" Type="http://schemas.openxmlformats.org/officeDocument/2006/relationships/hyperlink" Target="http://www.collegexpress.com/college/whittier-college/1100922/details/" TargetMode="External"/><Relationship Id="rId24" Type="http://schemas.openxmlformats.org/officeDocument/2006/relationships/hyperlink" Target="http://www.collegexpress.com/college/chapman-university/1100371/details/" TargetMode="External"/><Relationship Id="rId32" Type="http://schemas.openxmlformats.org/officeDocument/2006/relationships/hyperlink" Target="http://www.collegexpress.com/college/doane-college/1100947/details/" TargetMode="External"/><Relationship Id="rId37" Type="http://schemas.openxmlformats.org/officeDocument/2006/relationships/hyperlink" Target="http://www.collegexpress.com/college/endicott-college/3000052/details/" TargetMode="External"/><Relationship Id="rId40" Type="http://schemas.openxmlformats.org/officeDocument/2006/relationships/hyperlink" Target="http://www.collegexpress.com/college/franklin-pierce-university/2100321/details/" TargetMode="External"/><Relationship Id="rId45" Type="http://schemas.openxmlformats.org/officeDocument/2006/relationships/hyperlink" Target="http://www.collegexpress.com/college/hawaii-pacific-university/1100361/details/" TargetMode="External"/><Relationship Id="rId53" Type="http://schemas.openxmlformats.org/officeDocument/2006/relationships/hyperlink" Target="http://www.collegexpress.com/college/lasell-college/3000093/details/" TargetMode="External"/><Relationship Id="rId58" Type="http://schemas.openxmlformats.org/officeDocument/2006/relationships/hyperlink" Target="http://www.collegexpress.com/college/loyola-university-new-orleans/2400207/details/" TargetMode="External"/><Relationship Id="rId66" Type="http://schemas.openxmlformats.org/officeDocument/2006/relationships/hyperlink" Target="http://www.collegexpress.com/college/monmouth-college/1100567/details/" TargetMode="External"/><Relationship Id="rId74" Type="http://schemas.openxmlformats.org/officeDocument/2006/relationships/hyperlink" Target="http://www.collegexpress.com/college/pace-university/1100090/details/" TargetMode="External"/><Relationship Id="rId79" Type="http://schemas.openxmlformats.org/officeDocument/2006/relationships/hyperlink" Target="http://www.collegexpress.com/college/rhode-island-college/1100094/details/" TargetMode="External"/><Relationship Id="rId87" Type="http://schemas.openxmlformats.org/officeDocument/2006/relationships/hyperlink" Target="http://www.collegexpress.com/college/spelman-college/2600130/details/" TargetMode="External"/><Relationship Id="rId102" Type="http://schemas.openxmlformats.org/officeDocument/2006/relationships/hyperlink" Target="http://www.collegexpress.com/college/university-of-tampa/2600002/details/" TargetMode="External"/><Relationship Id="rId110" Type="http://schemas.openxmlformats.org/officeDocument/2006/relationships/hyperlink" Target="http://www.collegexpress.com/college/winthrop-university/2600063/details/" TargetMode="External"/><Relationship Id="rId5" Type="http://schemas.openxmlformats.org/officeDocument/2006/relationships/hyperlink" Target="http://www.collegexpress.com/college/seattle-university/1100498/details/" TargetMode="External"/><Relationship Id="rId61" Type="http://schemas.openxmlformats.org/officeDocument/2006/relationships/hyperlink" Target="http://www.collegexpress.com/college/marietta-college/2100280/details/" TargetMode="External"/><Relationship Id="rId82" Type="http://schemas.openxmlformats.org/officeDocument/2006/relationships/hyperlink" Target="http://www.collegexpress.com/college/roanoke-college/2600101/details/" TargetMode="External"/><Relationship Id="rId90" Type="http://schemas.openxmlformats.org/officeDocument/2006/relationships/hyperlink" Target="http://www.collegexpress.com/college/susquehanna-university/1100175/details/" TargetMode="External"/><Relationship Id="rId95" Type="http://schemas.openxmlformats.org/officeDocument/2006/relationships/hyperlink" Target="http://www.collegexpress.com/college/the-university-of-tulsa/1100475/details/" TargetMode="External"/><Relationship Id="rId19" Type="http://schemas.openxmlformats.org/officeDocument/2006/relationships/hyperlink" Target="http://www.collegexpress.com/college/california-lutheran-university/1100675/details/" TargetMode="External"/><Relationship Id="rId14" Type="http://schemas.openxmlformats.org/officeDocument/2006/relationships/hyperlink" Target="http://www.collegexpress.com/college/alfred-university/1100014/details/" TargetMode="External"/><Relationship Id="rId22" Type="http://schemas.openxmlformats.org/officeDocument/2006/relationships/hyperlink" Target="http://www.collegexpress.com/college/cedar-crest-college/1100278/details/" TargetMode="External"/><Relationship Id="rId27" Type="http://schemas.openxmlformats.org/officeDocument/2006/relationships/hyperlink" Target="http://www.collegexpress.com/college/college-of-mount-st-vincent/1100328/details/" TargetMode="External"/><Relationship Id="rId30" Type="http://schemas.openxmlformats.org/officeDocument/2006/relationships/hyperlink" Target="http://www.collegexpress.com/college/desales-university/1100016/details/" TargetMode="External"/><Relationship Id="rId35" Type="http://schemas.openxmlformats.org/officeDocument/2006/relationships/hyperlink" Target="http://www.collegexpress.com/college/elmira-college/2100318/details/" TargetMode="External"/><Relationship Id="rId43" Type="http://schemas.openxmlformats.org/officeDocument/2006/relationships/hyperlink" Target="http://www.collegexpress.com/college/gonzaga-university/1100456/details/" TargetMode="External"/><Relationship Id="rId48" Type="http://schemas.openxmlformats.org/officeDocument/2006/relationships/hyperlink" Target="http://www.collegexpress.com/college/hollins-university/2400093/details/" TargetMode="External"/><Relationship Id="rId56" Type="http://schemas.openxmlformats.org/officeDocument/2006/relationships/hyperlink" Target="http://www.collegexpress.com/college/linfield-college/1100449/details/" TargetMode="External"/><Relationship Id="rId64" Type="http://schemas.openxmlformats.org/officeDocument/2006/relationships/hyperlink" Target="http://www.collegexpress.com/college/meredith-college/1100863/details/" TargetMode="External"/><Relationship Id="rId69" Type="http://schemas.openxmlformats.org/officeDocument/2006/relationships/hyperlink" Target="http://www.collegexpress.com/college/nebraska-wesleyan-university/1100894/details/" TargetMode="External"/><Relationship Id="rId77" Type="http://schemas.openxmlformats.org/officeDocument/2006/relationships/hyperlink" Target="http://www.collegexpress.com/college/quinnipiac-university/1100164/details/" TargetMode="External"/><Relationship Id="rId100" Type="http://schemas.openxmlformats.org/officeDocument/2006/relationships/hyperlink" Target="http://www.collegexpress.com/college/university-of-san-diego/1100600/details/" TargetMode="External"/><Relationship Id="rId105" Type="http://schemas.openxmlformats.org/officeDocument/2006/relationships/hyperlink" Target="http://www.collegexpress.com/college/washington-college/2600042/details/" TargetMode="External"/><Relationship Id="rId113" Type="http://schemas.openxmlformats.org/officeDocument/2006/relationships/printerSettings" Target="../printerSettings/printerSettings1.bin"/><Relationship Id="rId8" Type="http://schemas.openxmlformats.org/officeDocument/2006/relationships/hyperlink" Target="http://www.collegexpress.com/college/university-of-puget-sound/1100593/details/" TargetMode="External"/><Relationship Id="rId51" Type="http://schemas.openxmlformats.org/officeDocument/2006/relationships/hyperlink" Target="http://www.collegexpress.com/college/kalamazoo-college/2800079/details/" TargetMode="External"/><Relationship Id="rId72" Type="http://schemas.openxmlformats.org/officeDocument/2006/relationships/hyperlink" Target="http://www.collegexpress.com/college/oglethorpe-university/2600081/details/" TargetMode="External"/><Relationship Id="rId80" Type="http://schemas.openxmlformats.org/officeDocument/2006/relationships/hyperlink" Target="http://www.collegexpress.com/college/rider-university/1100130/details/" TargetMode="External"/><Relationship Id="rId85" Type="http://schemas.openxmlformats.org/officeDocument/2006/relationships/hyperlink" Target="http://www.collegexpress.com/college/saint-francis-university/1100049/details/" TargetMode="External"/><Relationship Id="rId93" Type="http://schemas.openxmlformats.org/officeDocument/2006/relationships/hyperlink" Target="http://www.collegexpress.com/college/the-college-of-wooster/2800003/details/" TargetMode="External"/><Relationship Id="rId98" Type="http://schemas.openxmlformats.org/officeDocument/2006/relationships/hyperlink" Target="http://www.collegexpress.com/college/university-of-miami/1100812/details/" TargetMode="External"/><Relationship Id="rId3" Type="http://schemas.openxmlformats.org/officeDocument/2006/relationships/hyperlink" Target="http://www.collegexpress.com/college/ithaca-college/1100770/details/" TargetMode="External"/><Relationship Id="rId12" Type="http://schemas.openxmlformats.org/officeDocument/2006/relationships/hyperlink" Target="http://www.collegexpress.com/college/willamette-university/1100388/details/" TargetMode="External"/><Relationship Id="rId17" Type="http://schemas.openxmlformats.org/officeDocument/2006/relationships/hyperlink" Target="http://www.collegexpress.com/college/bentley-university/1100184/details/" TargetMode="External"/><Relationship Id="rId25" Type="http://schemas.openxmlformats.org/officeDocument/2006/relationships/hyperlink" Target="http://www.collegexpress.com/college/clark-university/1100294/details/" TargetMode="External"/><Relationship Id="rId33" Type="http://schemas.openxmlformats.org/officeDocument/2006/relationships/hyperlink" Target="http://www.collegexpress.com/college/drexel-university/2100315/details/" TargetMode="External"/><Relationship Id="rId38" Type="http://schemas.openxmlformats.org/officeDocument/2006/relationships/hyperlink" Target="http://www.collegexpress.com/college/florida-southern-college/1100805/details/" TargetMode="External"/><Relationship Id="rId46" Type="http://schemas.openxmlformats.org/officeDocument/2006/relationships/hyperlink" Target="http://www.collegexpress.com/college/hendrix-college/2400118/details/" TargetMode="External"/><Relationship Id="rId59" Type="http://schemas.openxmlformats.org/officeDocument/2006/relationships/hyperlink" Target="http://www.collegexpress.com/college/lycoming-college/2100340/details/" TargetMode="External"/><Relationship Id="rId67" Type="http://schemas.openxmlformats.org/officeDocument/2006/relationships/hyperlink" Target="http://www.collegexpress.com/college/moravian-college/1100321/details/" TargetMode="External"/><Relationship Id="rId103" Type="http://schemas.openxmlformats.org/officeDocument/2006/relationships/hyperlink" Target="http://www.collegexpress.com/college/wartburg-college/2800033/details/" TargetMode="External"/><Relationship Id="rId108" Type="http://schemas.openxmlformats.org/officeDocument/2006/relationships/hyperlink" Target="http://www.collegexpress.com/college/western-new-england-university/1100273/details/" TargetMode="External"/><Relationship Id="rId20" Type="http://schemas.openxmlformats.org/officeDocument/2006/relationships/hyperlink" Target="http://www.collegexpress.com/college/carroll-college/1100993/details/" TargetMode="External"/><Relationship Id="rId41" Type="http://schemas.openxmlformats.org/officeDocument/2006/relationships/hyperlink" Target="http://www.collegexpress.com/college/fresno-pacific-university/1100945/details/" TargetMode="External"/><Relationship Id="rId54" Type="http://schemas.openxmlformats.org/officeDocument/2006/relationships/hyperlink" Target="http://www.collegexpress.com/college/lesley-university/2100338/details/" TargetMode="External"/><Relationship Id="rId62" Type="http://schemas.openxmlformats.org/officeDocument/2006/relationships/hyperlink" Target="http://www.collegexpress.com/college/mcdaniel-college/1100556/details/" TargetMode="External"/><Relationship Id="rId70" Type="http://schemas.openxmlformats.org/officeDocument/2006/relationships/hyperlink" Target="http://www.collegexpress.com/college/new-england-college/1100339/details/" TargetMode="External"/><Relationship Id="rId75" Type="http://schemas.openxmlformats.org/officeDocument/2006/relationships/hyperlink" Target="http://www.collegexpress.com/college/pine-manor-college/1100129/details/" TargetMode="External"/><Relationship Id="rId83" Type="http://schemas.openxmlformats.org/officeDocument/2006/relationships/hyperlink" Target="http://www.collegexpress.com/college/roger-williams-university/1100174/details/" TargetMode="External"/><Relationship Id="rId88" Type="http://schemas.openxmlformats.org/officeDocument/2006/relationships/hyperlink" Target="http://www.collegexpress.com/college/springfield-college/1100113/details/" TargetMode="External"/><Relationship Id="rId91" Type="http://schemas.openxmlformats.org/officeDocument/2006/relationships/hyperlink" Target="http://www.collegexpress.com/college/temple-university/1100189/details/" TargetMode="External"/><Relationship Id="rId96" Type="http://schemas.openxmlformats.org/officeDocument/2006/relationships/hyperlink" Target="http://www.collegexpress.com/college/university-of-denver/1100408/details/" TargetMode="External"/><Relationship Id="rId111" Type="http://schemas.openxmlformats.org/officeDocument/2006/relationships/hyperlink" Target="http://www.collegexpress.com/college/wittenberg-university/2800004/details/" TargetMode="External"/><Relationship Id="rId1" Type="http://schemas.openxmlformats.org/officeDocument/2006/relationships/hyperlink" Target="http://www.collegexpress.com/college/eckerd-college/2400086/details/" TargetMode="External"/><Relationship Id="rId6" Type="http://schemas.openxmlformats.org/officeDocument/2006/relationships/hyperlink" Target="http://www.collegexpress.com/college/syracuse-university/1100182/details/" TargetMode="External"/><Relationship Id="rId15" Type="http://schemas.openxmlformats.org/officeDocument/2006/relationships/hyperlink" Target="http://www.collegexpress.com/college/allegheny-college/1100015/details/" TargetMode="External"/><Relationship Id="rId23" Type="http://schemas.openxmlformats.org/officeDocument/2006/relationships/hyperlink" Target="http://www.collegexpress.com/college/champlain-college/3000090/details/" TargetMode="External"/><Relationship Id="rId28" Type="http://schemas.openxmlformats.org/officeDocument/2006/relationships/hyperlink" Target="http://www.collegexpress.com/college/college-of-st-benedict/2100363/details/" TargetMode="External"/><Relationship Id="rId36" Type="http://schemas.openxmlformats.org/officeDocument/2006/relationships/hyperlink" Target="http://www.collegexpress.com/college/elon-university/2800145/details/" TargetMode="External"/><Relationship Id="rId49" Type="http://schemas.openxmlformats.org/officeDocument/2006/relationships/hyperlink" Target="http://www.collegexpress.com/college/johnson-wales-university-at-denver/3000421/details/" TargetMode="External"/><Relationship Id="rId57" Type="http://schemas.openxmlformats.org/officeDocument/2006/relationships/hyperlink" Target="http://www.collegexpress.com/college/long-island-university-cw-post-campus/2100349/details/" TargetMode="External"/><Relationship Id="rId106" Type="http://schemas.openxmlformats.org/officeDocument/2006/relationships/hyperlink" Target="http://www.collegexpress.com/college/wells-college/1100258/details/" TargetMode="External"/><Relationship Id="rId114" Type="http://schemas.openxmlformats.org/officeDocument/2006/relationships/drawing" Target="../drawings/drawing1.xml"/><Relationship Id="rId10" Type="http://schemas.openxmlformats.org/officeDocument/2006/relationships/hyperlink" Target="http://www.collegexpress.com/college/university-of-the-pacific/1100551/details/" TargetMode="External"/><Relationship Id="rId31" Type="http://schemas.openxmlformats.org/officeDocument/2006/relationships/hyperlink" Target="http://www.collegexpress.com/college/dickinson-college/1100937/details/" TargetMode="External"/><Relationship Id="rId44" Type="http://schemas.openxmlformats.org/officeDocument/2006/relationships/hyperlink" Target="http://www.collegexpress.com/college/gustavus-adolphus-college/2800067/details/" TargetMode="External"/><Relationship Id="rId52" Type="http://schemas.openxmlformats.org/officeDocument/2006/relationships/hyperlink" Target="http://www.collegexpress.com/college/lake-forest-college/2800080/details/" TargetMode="External"/><Relationship Id="rId60" Type="http://schemas.openxmlformats.org/officeDocument/2006/relationships/hyperlink" Target="http://www.collegexpress.com/college/lynn-university/2400049/details/" TargetMode="External"/><Relationship Id="rId65" Type="http://schemas.openxmlformats.org/officeDocument/2006/relationships/hyperlink" Target="http://www.collegexpress.com/college/mills-college/1100891/details/" TargetMode="External"/><Relationship Id="rId73" Type="http://schemas.openxmlformats.org/officeDocument/2006/relationships/hyperlink" Target="http://www.collegexpress.com/college/otterbein-university/2800103/details/" TargetMode="External"/><Relationship Id="rId78" Type="http://schemas.openxmlformats.org/officeDocument/2006/relationships/hyperlink" Target="http://www.collegexpress.com/college/regis-university/1100409/details/" TargetMode="External"/><Relationship Id="rId81" Type="http://schemas.openxmlformats.org/officeDocument/2006/relationships/hyperlink" Target="http://www.collegexpress.com/college/ripon-college/1100546/details/" TargetMode="External"/><Relationship Id="rId86" Type="http://schemas.openxmlformats.org/officeDocument/2006/relationships/hyperlink" Target="http://www.collegexpress.com/college/simmons-college/1100098/details/" TargetMode="External"/><Relationship Id="rId94" Type="http://schemas.openxmlformats.org/officeDocument/2006/relationships/hyperlink" Target="http://www.collegexpress.com/college/the-george-washington-university/2400217/details/" TargetMode="External"/><Relationship Id="rId99" Type="http://schemas.openxmlformats.org/officeDocument/2006/relationships/hyperlink" Target="http://www.collegexpress.com/college/university-of-rochester/1100166/details/" TargetMode="External"/><Relationship Id="rId101" Type="http://schemas.openxmlformats.org/officeDocument/2006/relationships/hyperlink" Target="http://www.collegexpress.com/college/university-of-san-francisco/1100912/details/" TargetMode="External"/><Relationship Id="rId4" Type="http://schemas.openxmlformats.org/officeDocument/2006/relationships/hyperlink" Target="http://www.collegexpress.com/college/pacific-lutheran-university/2600154/details/" TargetMode="External"/><Relationship Id="rId9" Type="http://schemas.openxmlformats.org/officeDocument/2006/relationships/hyperlink" Target="http://www.collegexpress.com/college/university-of-redlands/1100901/details/" TargetMode="External"/><Relationship Id="rId13" Type="http://schemas.openxmlformats.org/officeDocument/2006/relationships/hyperlink" Target="http://www.collegexpress.com/college/albion-college/2100002/details/" TargetMode="External"/><Relationship Id="rId18" Type="http://schemas.openxmlformats.org/officeDocument/2006/relationships/hyperlink" Target="http://www.collegexpress.com/college/boston-university/1100198/details/" TargetMode="External"/><Relationship Id="rId39" Type="http://schemas.openxmlformats.org/officeDocument/2006/relationships/hyperlink" Target="http://www.collegexpress.com/college/fort-lewis-college/1100354/details/" TargetMode="External"/><Relationship Id="rId109" Type="http://schemas.openxmlformats.org/officeDocument/2006/relationships/hyperlink" Target="http://www.collegexpress.com/college/widener-university/1100284/details/" TargetMode="External"/><Relationship Id="rId34" Type="http://schemas.openxmlformats.org/officeDocument/2006/relationships/hyperlink" Target="http://www.collegexpress.com/college/elmhurst-college/2800099/details/" TargetMode="External"/><Relationship Id="rId50" Type="http://schemas.openxmlformats.org/officeDocument/2006/relationships/hyperlink" Target="http://www.collegexpress.com/college/juniata-college/2100350/details/" TargetMode="External"/><Relationship Id="rId55" Type="http://schemas.openxmlformats.org/officeDocument/2006/relationships/hyperlink" Target="http://www.collegexpress.com/college/lewis-and-clark-college/1100990/details/" TargetMode="External"/><Relationship Id="rId76" Type="http://schemas.openxmlformats.org/officeDocument/2006/relationships/hyperlink" Target="http://www.collegexpress.com/college/providence-college/1100162/details/" TargetMode="External"/><Relationship Id="rId97" Type="http://schemas.openxmlformats.org/officeDocument/2006/relationships/hyperlink" Target="http://www.collegexpress.com/college/university-of-hartford/2100325/details/" TargetMode="External"/><Relationship Id="rId104" Type="http://schemas.openxmlformats.org/officeDocument/2006/relationships/hyperlink" Target="http://www.collegexpress.com/college/washington-jefferson-college/1100247/details/" TargetMode="External"/><Relationship Id="rId7" Type="http://schemas.openxmlformats.org/officeDocument/2006/relationships/hyperlink" Target="http://www.collegexpress.com/college/trinity-university/1100480/details/" TargetMode="External"/><Relationship Id="rId71" Type="http://schemas.openxmlformats.org/officeDocument/2006/relationships/hyperlink" Target="http://www.collegexpress.com/college/niagara-university/2800142/details/" TargetMode="External"/><Relationship Id="rId92" Type="http://schemas.openxmlformats.org/officeDocument/2006/relationships/hyperlink" Target="http://www.collegexpress.com/college/the-college-of-idaho/1100379/detail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collegexpress.com/college/colby-sawyer-college/1100311/details/" TargetMode="External"/><Relationship Id="rId21" Type="http://schemas.openxmlformats.org/officeDocument/2006/relationships/hyperlink" Target="http://www.collegexpress.com/college/catholic-university-of-america/2400062/details/" TargetMode="External"/><Relationship Id="rId42" Type="http://schemas.openxmlformats.org/officeDocument/2006/relationships/hyperlink" Target="http://www.collegexpress.com/college/george-fox-university/1100674/details/" TargetMode="External"/><Relationship Id="rId47" Type="http://schemas.openxmlformats.org/officeDocument/2006/relationships/hyperlink" Target="http://www.collegexpress.com/college/hobart-and-william-smith-colleges/2100326/details/" TargetMode="External"/><Relationship Id="rId63" Type="http://schemas.openxmlformats.org/officeDocument/2006/relationships/hyperlink" Target="http://www.collegexpress.com/college/menlo-college/1100402/details/" TargetMode="External"/><Relationship Id="rId68" Type="http://schemas.openxmlformats.org/officeDocument/2006/relationships/hyperlink" Target="http://www.collegexpress.com/college/nazareth-college-of-rochester/1100335/details/" TargetMode="External"/><Relationship Id="rId84" Type="http://schemas.openxmlformats.org/officeDocument/2006/relationships/hyperlink" Target="http://www.collegexpress.com/college/rollins-college/1100718/details/" TargetMode="External"/><Relationship Id="rId89" Type="http://schemas.openxmlformats.org/officeDocument/2006/relationships/hyperlink" Target="http://www.collegexpress.com/college/suffolk-university/1100125/details/" TargetMode="External"/><Relationship Id="rId112" Type="http://schemas.openxmlformats.org/officeDocument/2006/relationships/hyperlink" Target="http://www.collegexpress.com/college/drew-university/1100304/details/" TargetMode="External"/><Relationship Id="rId2" Type="http://schemas.openxmlformats.org/officeDocument/2006/relationships/hyperlink" Target="http://www.collegexpress.com/college/goucher-college/2800138/details/" TargetMode="External"/><Relationship Id="rId16" Type="http://schemas.openxmlformats.org/officeDocument/2006/relationships/hyperlink" Target="http://www.collegexpress.com/college/beloit-college/2100202/details/" TargetMode="External"/><Relationship Id="rId29" Type="http://schemas.openxmlformats.org/officeDocument/2006/relationships/hyperlink" Target="http://www.collegexpress.com/college/davis-elkins-college/1100579/details/" TargetMode="External"/><Relationship Id="rId107" Type="http://schemas.openxmlformats.org/officeDocument/2006/relationships/hyperlink" Target="http://www.collegexpress.com/college/west-virginia-wesleyan-college/2600053/details/" TargetMode="External"/><Relationship Id="rId11" Type="http://schemas.openxmlformats.org/officeDocument/2006/relationships/hyperlink" Target="http://www.collegexpress.com/college/whittier-college/1100922/details/" TargetMode="External"/><Relationship Id="rId24" Type="http://schemas.openxmlformats.org/officeDocument/2006/relationships/hyperlink" Target="http://www.collegexpress.com/college/chapman-university/1100371/details/" TargetMode="External"/><Relationship Id="rId32" Type="http://schemas.openxmlformats.org/officeDocument/2006/relationships/hyperlink" Target="http://www.collegexpress.com/college/doane-college/1100947/details/" TargetMode="External"/><Relationship Id="rId37" Type="http://schemas.openxmlformats.org/officeDocument/2006/relationships/hyperlink" Target="http://www.collegexpress.com/college/endicott-college/3000052/details/" TargetMode="External"/><Relationship Id="rId40" Type="http://schemas.openxmlformats.org/officeDocument/2006/relationships/hyperlink" Target="http://www.collegexpress.com/college/franklin-pierce-university/2100321/details/" TargetMode="External"/><Relationship Id="rId45" Type="http://schemas.openxmlformats.org/officeDocument/2006/relationships/hyperlink" Target="http://www.collegexpress.com/college/hawaii-pacific-university/1100361/details/" TargetMode="External"/><Relationship Id="rId53" Type="http://schemas.openxmlformats.org/officeDocument/2006/relationships/hyperlink" Target="http://www.collegexpress.com/college/lasell-college/3000093/details/" TargetMode="External"/><Relationship Id="rId58" Type="http://schemas.openxmlformats.org/officeDocument/2006/relationships/hyperlink" Target="http://www.collegexpress.com/college/loyola-university-new-orleans/2400207/details/" TargetMode="External"/><Relationship Id="rId66" Type="http://schemas.openxmlformats.org/officeDocument/2006/relationships/hyperlink" Target="http://www.collegexpress.com/college/monmouth-college/1100567/details/" TargetMode="External"/><Relationship Id="rId74" Type="http://schemas.openxmlformats.org/officeDocument/2006/relationships/hyperlink" Target="http://www.collegexpress.com/college/pace-university/1100090/details/" TargetMode="External"/><Relationship Id="rId79" Type="http://schemas.openxmlformats.org/officeDocument/2006/relationships/hyperlink" Target="http://www.collegexpress.com/college/rhode-island-college/1100094/details/" TargetMode="External"/><Relationship Id="rId87" Type="http://schemas.openxmlformats.org/officeDocument/2006/relationships/hyperlink" Target="http://www.collegexpress.com/college/spelman-college/2600130/details/" TargetMode="External"/><Relationship Id="rId102" Type="http://schemas.openxmlformats.org/officeDocument/2006/relationships/hyperlink" Target="http://www.collegexpress.com/college/university-of-tampa/2600002/details/" TargetMode="External"/><Relationship Id="rId110" Type="http://schemas.openxmlformats.org/officeDocument/2006/relationships/hyperlink" Target="http://www.collegexpress.com/college/winthrop-university/2600063/details/" TargetMode="External"/><Relationship Id="rId5" Type="http://schemas.openxmlformats.org/officeDocument/2006/relationships/hyperlink" Target="http://www.collegexpress.com/college/seattle-university/1100498/details/" TargetMode="External"/><Relationship Id="rId61" Type="http://schemas.openxmlformats.org/officeDocument/2006/relationships/hyperlink" Target="http://www.collegexpress.com/college/marietta-college/2100280/details/" TargetMode="External"/><Relationship Id="rId82" Type="http://schemas.openxmlformats.org/officeDocument/2006/relationships/hyperlink" Target="http://www.collegexpress.com/college/roanoke-college/2600101/details/" TargetMode="External"/><Relationship Id="rId90" Type="http://schemas.openxmlformats.org/officeDocument/2006/relationships/hyperlink" Target="http://www.collegexpress.com/college/susquehanna-university/1100175/details/" TargetMode="External"/><Relationship Id="rId95" Type="http://schemas.openxmlformats.org/officeDocument/2006/relationships/hyperlink" Target="http://www.collegexpress.com/college/the-university-of-tulsa/1100475/details/" TargetMode="External"/><Relationship Id="rId19" Type="http://schemas.openxmlformats.org/officeDocument/2006/relationships/hyperlink" Target="http://www.collegexpress.com/college/california-lutheran-university/1100675/details/" TargetMode="External"/><Relationship Id="rId14" Type="http://schemas.openxmlformats.org/officeDocument/2006/relationships/hyperlink" Target="http://www.collegexpress.com/college/alfred-university/1100014/details/" TargetMode="External"/><Relationship Id="rId22" Type="http://schemas.openxmlformats.org/officeDocument/2006/relationships/hyperlink" Target="http://www.collegexpress.com/college/cedar-crest-college/1100278/details/" TargetMode="External"/><Relationship Id="rId27" Type="http://schemas.openxmlformats.org/officeDocument/2006/relationships/hyperlink" Target="http://www.collegexpress.com/college/college-of-mount-st-vincent/1100328/details/" TargetMode="External"/><Relationship Id="rId30" Type="http://schemas.openxmlformats.org/officeDocument/2006/relationships/hyperlink" Target="http://www.collegexpress.com/college/desales-university/1100016/details/" TargetMode="External"/><Relationship Id="rId35" Type="http://schemas.openxmlformats.org/officeDocument/2006/relationships/hyperlink" Target="http://www.collegexpress.com/college/elmira-college/2100318/details/" TargetMode="External"/><Relationship Id="rId43" Type="http://schemas.openxmlformats.org/officeDocument/2006/relationships/hyperlink" Target="http://www.collegexpress.com/college/gonzaga-university/1100456/details/" TargetMode="External"/><Relationship Id="rId48" Type="http://schemas.openxmlformats.org/officeDocument/2006/relationships/hyperlink" Target="http://www.collegexpress.com/college/hollins-university/2400093/details/" TargetMode="External"/><Relationship Id="rId56" Type="http://schemas.openxmlformats.org/officeDocument/2006/relationships/hyperlink" Target="http://www.collegexpress.com/college/linfield-college/1100449/details/" TargetMode="External"/><Relationship Id="rId64" Type="http://schemas.openxmlformats.org/officeDocument/2006/relationships/hyperlink" Target="http://www.collegexpress.com/college/meredith-college/1100863/details/" TargetMode="External"/><Relationship Id="rId69" Type="http://schemas.openxmlformats.org/officeDocument/2006/relationships/hyperlink" Target="http://www.collegexpress.com/college/nebraska-wesleyan-university/1100894/details/" TargetMode="External"/><Relationship Id="rId77" Type="http://schemas.openxmlformats.org/officeDocument/2006/relationships/hyperlink" Target="http://www.collegexpress.com/college/quinnipiac-university/1100164/details/" TargetMode="External"/><Relationship Id="rId100" Type="http://schemas.openxmlformats.org/officeDocument/2006/relationships/hyperlink" Target="http://www.collegexpress.com/college/university-of-san-diego/1100600/details/" TargetMode="External"/><Relationship Id="rId105" Type="http://schemas.openxmlformats.org/officeDocument/2006/relationships/hyperlink" Target="http://www.collegexpress.com/college/washington-college/2600042/details/" TargetMode="External"/><Relationship Id="rId113" Type="http://schemas.openxmlformats.org/officeDocument/2006/relationships/printerSettings" Target="../printerSettings/printerSettings4.bin"/><Relationship Id="rId8" Type="http://schemas.openxmlformats.org/officeDocument/2006/relationships/hyperlink" Target="http://www.collegexpress.com/college/university-of-puget-sound/1100593/details/" TargetMode="External"/><Relationship Id="rId51" Type="http://schemas.openxmlformats.org/officeDocument/2006/relationships/hyperlink" Target="http://www.collegexpress.com/college/kalamazoo-college/2800079/details/" TargetMode="External"/><Relationship Id="rId72" Type="http://schemas.openxmlformats.org/officeDocument/2006/relationships/hyperlink" Target="http://www.collegexpress.com/college/oglethorpe-university/2600081/details/" TargetMode="External"/><Relationship Id="rId80" Type="http://schemas.openxmlformats.org/officeDocument/2006/relationships/hyperlink" Target="http://www.collegexpress.com/college/rider-university/1100130/details/" TargetMode="External"/><Relationship Id="rId85" Type="http://schemas.openxmlformats.org/officeDocument/2006/relationships/hyperlink" Target="http://www.collegexpress.com/college/saint-francis-university/1100049/details/" TargetMode="External"/><Relationship Id="rId93" Type="http://schemas.openxmlformats.org/officeDocument/2006/relationships/hyperlink" Target="http://www.collegexpress.com/college/the-college-of-wooster/2800003/details/" TargetMode="External"/><Relationship Id="rId98" Type="http://schemas.openxmlformats.org/officeDocument/2006/relationships/hyperlink" Target="http://www.collegexpress.com/college/university-of-miami/1100812/details/" TargetMode="External"/><Relationship Id="rId3" Type="http://schemas.openxmlformats.org/officeDocument/2006/relationships/hyperlink" Target="http://www.collegexpress.com/college/ithaca-college/1100770/details/" TargetMode="External"/><Relationship Id="rId12" Type="http://schemas.openxmlformats.org/officeDocument/2006/relationships/hyperlink" Target="http://www.collegexpress.com/college/willamette-university/1100388/details/" TargetMode="External"/><Relationship Id="rId17" Type="http://schemas.openxmlformats.org/officeDocument/2006/relationships/hyperlink" Target="http://www.collegexpress.com/college/bentley-university/1100184/details/" TargetMode="External"/><Relationship Id="rId25" Type="http://schemas.openxmlformats.org/officeDocument/2006/relationships/hyperlink" Target="http://www.collegexpress.com/college/clark-university/1100294/details/" TargetMode="External"/><Relationship Id="rId33" Type="http://schemas.openxmlformats.org/officeDocument/2006/relationships/hyperlink" Target="http://www.collegexpress.com/college/drexel-university/2100315/details/" TargetMode="External"/><Relationship Id="rId38" Type="http://schemas.openxmlformats.org/officeDocument/2006/relationships/hyperlink" Target="http://www.collegexpress.com/college/florida-southern-college/1100805/details/" TargetMode="External"/><Relationship Id="rId46" Type="http://schemas.openxmlformats.org/officeDocument/2006/relationships/hyperlink" Target="http://www.collegexpress.com/college/hendrix-college/2400118/details/" TargetMode="External"/><Relationship Id="rId59" Type="http://schemas.openxmlformats.org/officeDocument/2006/relationships/hyperlink" Target="http://www.collegexpress.com/college/lycoming-college/2100340/details/" TargetMode="External"/><Relationship Id="rId67" Type="http://schemas.openxmlformats.org/officeDocument/2006/relationships/hyperlink" Target="http://www.collegexpress.com/college/moravian-college/1100321/details/" TargetMode="External"/><Relationship Id="rId103" Type="http://schemas.openxmlformats.org/officeDocument/2006/relationships/hyperlink" Target="http://www.collegexpress.com/college/wartburg-college/2800033/details/" TargetMode="External"/><Relationship Id="rId108" Type="http://schemas.openxmlformats.org/officeDocument/2006/relationships/hyperlink" Target="http://www.collegexpress.com/college/western-new-england-university/1100273/details/" TargetMode="External"/><Relationship Id="rId20" Type="http://schemas.openxmlformats.org/officeDocument/2006/relationships/hyperlink" Target="http://www.collegexpress.com/college/carroll-college/1100993/details/" TargetMode="External"/><Relationship Id="rId41" Type="http://schemas.openxmlformats.org/officeDocument/2006/relationships/hyperlink" Target="http://www.collegexpress.com/college/fresno-pacific-university/1100945/details/" TargetMode="External"/><Relationship Id="rId54" Type="http://schemas.openxmlformats.org/officeDocument/2006/relationships/hyperlink" Target="http://www.collegexpress.com/college/lesley-university/2100338/details/" TargetMode="External"/><Relationship Id="rId62" Type="http://schemas.openxmlformats.org/officeDocument/2006/relationships/hyperlink" Target="http://www.collegexpress.com/college/mcdaniel-college/1100556/details/" TargetMode="External"/><Relationship Id="rId70" Type="http://schemas.openxmlformats.org/officeDocument/2006/relationships/hyperlink" Target="http://www.collegexpress.com/college/new-england-college/1100339/details/" TargetMode="External"/><Relationship Id="rId75" Type="http://schemas.openxmlformats.org/officeDocument/2006/relationships/hyperlink" Target="http://www.collegexpress.com/college/pine-manor-college/1100129/details/" TargetMode="External"/><Relationship Id="rId83" Type="http://schemas.openxmlformats.org/officeDocument/2006/relationships/hyperlink" Target="http://www.collegexpress.com/college/roger-williams-university/1100174/details/" TargetMode="External"/><Relationship Id="rId88" Type="http://schemas.openxmlformats.org/officeDocument/2006/relationships/hyperlink" Target="http://www.collegexpress.com/college/springfield-college/1100113/details/" TargetMode="External"/><Relationship Id="rId91" Type="http://schemas.openxmlformats.org/officeDocument/2006/relationships/hyperlink" Target="http://www.collegexpress.com/college/temple-university/1100189/details/" TargetMode="External"/><Relationship Id="rId96" Type="http://schemas.openxmlformats.org/officeDocument/2006/relationships/hyperlink" Target="http://www.collegexpress.com/college/university-of-denver/1100408/details/" TargetMode="External"/><Relationship Id="rId111" Type="http://schemas.openxmlformats.org/officeDocument/2006/relationships/hyperlink" Target="http://www.collegexpress.com/college/wittenberg-university/2800004/details/" TargetMode="External"/><Relationship Id="rId1" Type="http://schemas.openxmlformats.org/officeDocument/2006/relationships/hyperlink" Target="http://www.collegexpress.com/college/eckerd-college/2400086/details/" TargetMode="External"/><Relationship Id="rId6" Type="http://schemas.openxmlformats.org/officeDocument/2006/relationships/hyperlink" Target="http://www.collegexpress.com/college/syracuse-university/1100182/details/" TargetMode="External"/><Relationship Id="rId15" Type="http://schemas.openxmlformats.org/officeDocument/2006/relationships/hyperlink" Target="http://www.collegexpress.com/college/allegheny-college/1100015/details/" TargetMode="External"/><Relationship Id="rId23" Type="http://schemas.openxmlformats.org/officeDocument/2006/relationships/hyperlink" Target="http://www.collegexpress.com/college/champlain-college/3000090/details/" TargetMode="External"/><Relationship Id="rId28" Type="http://schemas.openxmlformats.org/officeDocument/2006/relationships/hyperlink" Target="http://www.collegexpress.com/college/college-of-st-benedict/2100363/details/" TargetMode="External"/><Relationship Id="rId36" Type="http://schemas.openxmlformats.org/officeDocument/2006/relationships/hyperlink" Target="http://www.collegexpress.com/college/elon-university/2800145/details/" TargetMode="External"/><Relationship Id="rId49" Type="http://schemas.openxmlformats.org/officeDocument/2006/relationships/hyperlink" Target="http://www.collegexpress.com/college/johnson-wales-university-at-denver/3000421/details/" TargetMode="External"/><Relationship Id="rId57" Type="http://schemas.openxmlformats.org/officeDocument/2006/relationships/hyperlink" Target="http://www.collegexpress.com/college/long-island-university-cw-post-campus/2100349/details/" TargetMode="External"/><Relationship Id="rId106" Type="http://schemas.openxmlformats.org/officeDocument/2006/relationships/hyperlink" Target="http://www.collegexpress.com/college/wells-college/1100258/details/" TargetMode="External"/><Relationship Id="rId114" Type="http://schemas.openxmlformats.org/officeDocument/2006/relationships/drawing" Target="../drawings/drawing4.xml"/><Relationship Id="rId10" Type="http://schemas.openxmlformats.org/officeDocument/2006/relationships/hyperlink" Target="http://www.collegexpress.com/college/university-of-the-pacific/1100551/details/" TargetMode="External"/><Relationship Id="rId31" Type="http://schemas.openxmlformats.org/officeDocument/2006/relationships/hyperlink" Target="http://www.collegexpress.com/college/dickinson-college/1100937/details/" TargetMode="External"/><Relationship Id="rId44" Type="http://schemas.openxmlformats.org/officeDocument/2006/relationships/hyperlink" Target="http://www.collegexpress.com/college/gustavus-adolphus-college/2800067/details/" TargetMode="External"/><Relationship Id="rId52" Type="http://schemas.openxmlformats.org/officeDocument/2006/relationships/hyperlink" Target="http://www.collegexpress.com/college/lake-forest-college/2800080/details/" TargetMode="External"/><Relationship Id="rId60" Type="http://schemas.openxmlformats.org/officeDocument/2006/relationships/hyperlink" Target="http://www.collegexpress.com/college/lynn-university/2400049/details/" TargetMode="External"/><Relationship Id="rId65" Type="http://schemas.openxmlformats.org/officeDocument/2006/relationships/hyperlink" Target="http://www.collegexpress.com/college/mills-college/1100891/details/" TargetMode="External"/><Relationship Id="rId73" Type="http://schemas.openxmlformats.org/officeDocument/2006/relationships/hyperlink" Target="http://www.collegexpress.com/college/otterbein-university/2800103/details/" TargetMode="External"/><Relationship Id="rId78" Type="http://schemas.openxmlformats.org/officeDocument/2006/relationships/hyperlink" Target="http://www.collegexpress.com/college/regis-university/1100409/details/" TargetMode="External"/><Relationship Id="rId81" Type="http://schemas.openxmlformats.org/officeDocument/2006/relationships/hyperlink" Target="http://www.collegexpress.com/college/ripon-college/1100546/details/" TargetMode="External"/><Relationship Id="rId86" Type="http://schemas.openxmlformats.org/officeDocument/2006/relationships/hyperlink" Target="http://www.collegexpress.com/college/simmons-college/1100098/details/" TargetMode="External"/><Relationship Id="rId94" Type="http://schemas.openxmlformats.org/officeDocument/2006/relationships/hyperlink" Target="http://www.collegexpress.com/college/the-george-washington-university/2400217/details/" TargetMode="External"/><Relationship Id="rId99" Type="http://schemas.openxmlformats.org/officeDocument/2006/relationships/hyperlink" Target="http://www.collegexpress.com/college/university-of-rochester/1100166/details/" TargetMode="External"/><Relationship Id="rId101" Type="http://schemas.openxmlformats.org/officeDocument/2006/relationships/hyperlink" Target="http://www.collegexpress.com/college/university-of-san-francisco/1100912/details/" TargetMode="External"/><Relationship Id="rId4" Type="http://schemas.openxmlformats.org/officeDocument/2006/relationships/hyperlink" Target="http://www.collegexpress.com/college/pacific-lutheran-university/2600154/details/" TargetMode="External"/><Relationship Id="rId9" Type="http://schemas.openxmlformats.org/officeDocument/2006/relationships/hyperlink" Target="http://www.collegexpress.com/college/university-of-redlands/1100901/details/" TargetMode="External"/><Relationship Id="rId13" Type="http://schemas.openxmlformats.org/officeDocument/2006/relationships/hyperlink" Target="http://www.collegexpress.com/college/albion-college/2100002/details/" TargetMode="External"/><Relationship Id="rId18" Type="http://schemas.openxmlformats.org/officeDocument/2006/relationships/hyperlink" Target="http://www.collegexpress.com/college/boston-university/1100198/details/" TargetMode="External"/><Relationship Id="rId39" Type="http://schemas.openxmlformats.org/officeDocument/2006/relationships/hyperlink" Target="http://www.collegexpress.com/college/fort-lewis-college/1100354/details/" TargetMode="External"/><Relationship Id="rId109" Type="http://schemas.openxmlformats.org/officeDocument/2006/relationships/hyperlink" Target="http://www.collegexpress.com/college/widener-university/1100284/details/" TargetMode="External"/><Relationship Id="rId34" Type="http://schemas.openxmlformats.org/officeDocument/2006/relationships/hyperlink" Target="http://www.collegexpress.com/college/elmhurst-college/2800099/details/" TargetMode="External"/><Relationship Id="rId50" Type="http://schemas.openxmlformats.org/officeDocument/2006/relationships/hyperlink" Target="http://www.collegexpress.com/college/juniata-college/2100350/details/" TargetMode="External"/><Relationship Id="rId55" Type="http://schemas.openxmlformats.org/officeDocument/2006/relationships/hyperlink" Target="http://www.collegexpress.com/college/lewis-and-clark-college/1100990/details/" TargetMode="External"/><Relationship Id="rId76" Type="http://schemas.openxmlformats.org/officeDocument/2006/relationships/hyperlink" Target="http://www.collegexpress.com/college/providence-college/1100162/details/" TargetMode="External"/><Relationship Id="rId97" Type="http://schemas.openxmlformats.org/officeDocument/2006/relationships/hyperlink" Target="http://www.collegexpress.com/college/university-of-hartford/2100325/details/" TargetMode="External"/><Relationship Id="rId104" Type="http://schemas.openxmlformats.org/officeDocument/2006/relationships/hyperlink" Target="http://www.collegexpress.com/college/washington-jefferson-college/1100247/details/" TargetMode="External"/><Relationship Id="rId7" Type="http://schemas.openxmlformats.org/officeDocument/2006/relationships/hyperlink" Target="http://www.collegexpress.com/college/trinity-university/1100480/details/" TargetMode="External"/><Relationship Id="rId71" Type="http://schemas.openxmlformats.org/officeDocument/2006/relationships/hyperlink" Target="http://www.collegexpress.com/college/niagara-university/2800142/details/" TargetMode="External"/><Relationship Id="rId92" Type="http://schemas.openxmlformats.org/officeDocument/2006/relationships/hyperlink" Target="http://www.collegexpress.com/college/the-college-of-idaho/1100379/detai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B4C1-5683-48E5-8AE8-0D3345F0A7CF}">
  <dimension ref="A1:Q144"/>
  <sheetViews>
    <sheetView topLeftCell="B1" zoomScaleNormal="100" workbookViewId="0">
      <selection activeCell="M32" sqref="M32"/>
    </sheetView>
  </sheetViews>
  <sheetFormatPr defaultColWidth="8.796875" defaultRowHeight="13.8" x14ac:dyDescent="0.25"/>
  <cols>
    <col min="1" max="1" width="47.19921875" customWidth="1"/>
    <col min="2" max="6" width="9" style="3"/>
    <col min="8" max="8" width="17.8984375" bestFit="1" customWidth="1"/>
    <col min="9" max="9" width="20.3984375" bestFit="1" customWidth="1"/>
    <col min="10" max="10" width="13.69921875" bestFit="1" customWidth="1"/>
    <col min="11" max="11" width="12.19921875" bestFit="1" customWidth="1"/>
    <col min="12" max="12" width="11.69921875" customWidth="1"/>
    <col min="13" max="13" width="15" customWidth="1"/>
    <col min="14" max="14" width="12.296875" customWidth="1"/>
    <col min="15" max="15" width="15.296875" customWidth="1"/>
    <col min="16" max="16" width="12.59765625" bestFit="1" customWidth="1"/>
  </cols>
  <sheetData>
    <row r="1" spans="1:15" x14ac:dyDescent="0.25">
      <c r="A1" s="22" t="s">
        <v>0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</row>
    <row r="2" spans="1:15" x14ac:dyDescent="0.25">
      <c r="A2" s="25" t="s">
        <v>6</v>
      </c>
      <c r="B2" s="26">
        <v>44800</v>
      </c>
      <c r="C2" s="26">
        <v>22920</v>
      </c>
      <c r="D2" s="26">
        <v>62</v>
      </c>
      <c r="E2" s="26">
        <v>88</v>
      </c>
      <c r="F2" s="26">
        <v>1</v>
      </c>
      <c r="H2" t="s">
        <v>126</v>
      </c>
    </row>
    <row r="3" spans="1:15" x14ac:dyDescent="0.25">
      <c r="A3" s="25" t="s">
        <v>7</v>
      </c>
      <c r="B3" s="26">
        <v>45100</v>
      </c>
      <c r="C3" s="26">
        <v>23429</v>
      </c>
      <c r="D3" s="26">
        <v>73</v>
      </c>
      <c r="E3" s="26">
        <v>92</v>
      </c>
      <c r="F3" s="26">
        <v>0</v>
      </c>
    </row>
    <row r="4" spans="1:15" x14ac:dyDescent="0.25">
      <c r="A4" s="25" t="s">
        <v>8</v>
      </c>
      <c r="B4" s="26">
        <v>42300</v>
      </c>
      <c r="C4" s="26">
        <v>19567</v>
      </c>
      <c r="D4" s="26">
        <v>63</v>
      </c>
      <c r="E4" s="26">
        <v>87</v>
      </c>
      <c r="F4" s="26">
        <v>0</v>
      </c>
      <c r="H4" s="27" t="s">
        <v>127</v>
      </c>
      <c r="I4" s="27"/>
    </row>
    <row r="5" spans="1:15" x14ac:dyDescent="0.25">
      <c r="A5" s="25" t="s">
        <v>9</v>
      </c>
      <c r="B5" s="26">
        <v>49200</v>
      </c>
      <c r="C5" s="26">
        <v>25147</v>
      </c>
      <c r="D5" s="26">
        <v>78</v>
      </c>
      <c r="E5" s="26">
        <v>92</v>
      </c>
      <c r="F5" s="26">
        <v>0</v>
      </c>
      <c r="H5" s="25" t="s">
        <v>128</v>
      </c>
      <c r="I5" s="25">
        <v>0.65515087314945819</v>
      </c>
    </row>
    <row r="6" spans="1:15" ht="15" x14ac:dyDescent="0.25">
      <c r="A6" s="25" t="s">
        <v>10</v>
      </c>
      <c r="B6" s="26">
        <v>37900</v>
      </c>
      <c r="C6" s="26">
        <v>21979</v>
      </c>
      <c r="D6" s="26">
        <v>78</v>
      </c>
      <c r="E6" s="26">
        <v>93</v>
      </c>
      <c r="F6" s="26">
        <v>1</v>
      </c>
      <c r="H6" s="25" t="s">
        <v>129</v>
      </c>
      <c r="I6" s="25">
        <v>0.4292226665884975</v>
      </c>
      <c r="J6" s="21" t="s">
        <v>173</v>
      </c>
    </row>
    <row r="7" spans="1:15" x14ac:dyDescent="0.25">
      <c r="A7" s="25" t="s">
        <v>11</v>
      </c>
      <c r="B7" s="26">
        <v>74900</v>
      </c>
      <c r="C7" s="26">
        <v>29886</v>
      </c>
      <c r="D7" s="26">
        <v>86</v>
      </c>
      <c r="E7" s="26">
        <v>98</v>
      </c>
      <c r="F7" s="26">
        <v>1</v>
      </c>
      <c r="H7" s="25" t="s">
        <v>130</v>
      </c>
      <c r="I7" s="25">
        <v>0.40865411403312801</v>
      </c>
    </row>
    <row r="8" spans="1:15" x14ac:dyDescent="0.25">
      <c r="A8" s="25" t="s">
        <v>12</v>
      </c>
      <c r="B8" s="26">
        <v>60600</v>
      </c>
      <c r="C8" s="26">
        <v>34603</v>
      </c>
      <c r="D8" s="26">
        <v>84</v>
      </c>
      <c r="E8" s="26">
        <v>95</v>
      </c>
      <c r="F8" s="26">
        <v>1</v>
      </c>
      <c r="H8" s="25" t="s">
        <v>131</v>
      </c>
      <c r="I8" s="25">
        <v>5645.8306110881313</v>
      </c>
    </row>
    <row r="9" spans="1:15" x14ac:dyDescent="0.25">
      <c r="A9" s="25" t="s">
        <v>13</v>
      </c>
      <c r="B9" s="26">
        <v>52900</v>
      </c>
      <c r="C9" s="26">
        <v>28107</v>
      </c>
      <c r="D9" s="26">
        <v>65</v>
      </c>
      <c r="E9" s="26">
        <v>90</v>
      </c>
      <c r="F9" s="26">
        <v>1</v>
      </c>
      <c r="H9" s="25" t="s">
        <v>132</v>
      </c>
      <c r="I9" s="25">
        <v>116</v>
      </c>
    </row>
    <row r="10" spans="1:15" x14ac:dyDescent="0.25">
      <c r="A10" s="25" t="s">
        <v>14</v>
      </c>
      <c r="B10" s="26">
        <v>44000</v>
      </c>
      <c r="C10" s="26">
        <v>23583</v>
      </c>
      <c r="D10" s="26">
        <v>65</v>
      </c>
      <c r="E10" s="26">
        <v>95</v>
      </c>
      <c r="F10" s="26">
        <v>0</v>
      </c>
    </row>
    <row r="11" spans="1:15" x14ac:dyDescent="0.25">
      <c r="A11" s="25" t="s">
        <v>15</v>
      </c>
      <c r="B11" s="26">
        <v>54500</v>
      </c>
      <c r="C11" s="26">
        <v>34086</v>
      </c>
      <c r="D11" s="26">
        <v>68</v>
      </c>
      <c r="E11" s="26">
        <v>92</v>
      </c>
      <c r="F11" s="26">
        <v>1</v>
      </c>
      <c r="H11" t="s">
        <v>133</v>
      </c>
    </row>
    <row r="12" spans="1:15" x14ac:dyDescent="0.25">
      <c r="A12" s="25" t="s">
        <v>16</v>
      </c>
      <c r="B12" s="26">
        <v>45200</v>
      </c>
      <c r="C12" s="26">
        <v>19156</v>
      </c>
      <c r="D12" s="26">
        <v>61</v>
      </c>
      <c r="E12" s="26">
        <v>83</v>
      </c>
      <c r="F12" s="26">
        <v>1</v>
      </c>
      <c r="H12" s="28"/>
      <c r="I12" s="28" t="s">
        <v>138</v>
      </c>
      <c r="J12" s="28" t="s">
        <v>139</v>
      </c>
      <c r="K12" s="28" t="s">
        <v>140</v>
      </c>
      <c r="L12" s="28" t="s">
        <v>141</v>
      </c>
      <c r="M12" s="28" t="s">
        <v>142</v>
      </c>
    </row>
    <row r="13" spans="1:15" x14ac:dyDescent="0.25">
      <c r="A13" s="25" t="s">
        <v>17</v>
      </c>
      <c r="B13" s="26">
        <v>40400</v>
      </c>
      <c r="C13" s="26">
        <v>31564</v>
      </c>
      <c r="D13" s="26">
        <v>62</v>
      </c>
      <c r="E13" s="26">
        <v>89</v>
      </c>
      <c r="F13" s="26">
        <v>1</v>
      </c>
      <c r="H13" s="25" t="s">
        <v>134</v>
      </c>
      <c r="I13" s="25">
        <v>4</v>
      </c>
      <c r="J13" s="25">
        <v>2660691959.0478535</v>
      </c>
      <c r="K13" s="25">
        <v>665172989.76196337</v>
      </c>
      <c r="L13" s="25">
        <v>20.867908202730977</v>
      </c>
      <c r="M13" s="25">
        <v>7.5637496423603034E-13</v>
      </c>
    </row>
    <row r="14" spans="1:15" x14ac:dyDescent="0.25">
      <c r="A14" s="25" t="s">
        <v>18</v>
      </c>
      <c r="B14" s="26">
        <v>51800</v>
      </c>
      <c r="C14" s="26">
        <v>33821</v>
      </c>
      <c r="D14" s="26">
        <v>74</v>
      </c>
      <c r="E14" s="26">
        <v>87</v>
      </c>
      <c r="F14" s="26">
        <v>1</v>
      </c>
      <c r="H14" s="25" t="s">
        <v>135</v>
      </c>
      <c r="I14" s="25">
        <v>111</v>
      </c>
      <c r="J14" s="25">
        <v>3538169765.0900764</v>
      </c>
      <c r="K14" s="25">
        <v>31875403.289099786</v>
      </c>
      <c r="L14" s="25"/>
      <c r="M14" s="25"/>
      <c r="O14" s="11"/>
    </row>
    <row r="15" spans="1:15" x14ac:dyDescent="0.25">
      <c r="A15" s="25" t="s">
        <v>19</v>
      </c>
      <c r="B15" s="26">
        <v>44100</v>
      </c>
      <c r="C15" s="26">
        <v>23415</v>
      </c>
      <c r="D15" s="26">
        <v>80</v>
      </c>
      <c r="E15" s="26">
        <v>94</v>
      </c>
      <c r="F15" s="26">
        <v>1</v>
      </c>
      <c r="H15" s="25" t="s">
        <v>136</v>
      </c>
      <c r="I15" s="25">
        <v>115</v>
      </c>
      <c r="J15" s="25">
        <v>6198861724.1379299</v>
      </c>
      <c r="K15" s="25"/>
      <c r="L15" s="25"/>
      <c r="M15" s="25"/>
      <c r="O15" s="11"/>
    </row>
    <row r="16" spans="1:15" x14ac:dyDescent="0.25">
      <c r="A16" s="25" t="s">
        <v>20</v>
      </c>
      <c r="B16" s="26">
        <v>38600</v>
      </c>
      <c r="C16" s="26">
        <v>22644</v>
      </c>
      <c r="D16" s="26">
        <v>56</v>
      </c>
      <c r="E16" s="26">
        <v>88</v>
      </c>
      <c r="F16" s="26">
        <v>0</v>
      </c>
    </row>
    <row r="17" spans="1:17" x14ac:dyDescent="0.25">
      <c r="A17" s="25" t="s">
        <v>21</v>
      </c>
      <c r="B17" s="26">
        <v>51900</v>
      </c>
      <c r="C17" s="26">
        <v>19647</v>
      </c>
      <c r="D17" s="26">
        <v>54</v>
      </c>
      <c r="E17" s="26">
        <v>85</v>
      </c>
      <c r="F17" s="26">
        <v>1</v>
      </c>
      <c r="H17" s="28"/>
      <c r="I17" s="28" t="s">
        <v>143</v>
      </c>
      <c r="J17" s="28" t="s">
        <v>131</v>
      </c>
      <c r="K17" s="28" t="s">
        <v>144</v>
      </c>
      <c r="L17" s="28" t="s">
        <v>145</v>
      </c>
      <c r="M17" s="28" t="s">
        <v>146</v>
      </c>
      <c r="N17" s="28" t="s">
        <v>147</v>
      </c>
      <c r="O17" s="28" t="s">
        <v>148</v>
      </c>
      <c r="P17" s="28" t="s">
        <v>149</v>
      </c>
    </row>
    <row r="18" spans="1:17" x14ac:dyDescent="0.25">
      <c r="A18" s="25" t="s">
        <v>22</v>
      </c>
      <c r="B18" s="26">
        <v>47600</v>
      </c>
      <c r="C18" s="26">
        <v>23518</v>
      </c>
      <c r="D18" s="26">
        <v>81</v>
      </c>
      <c r="E18" s="26">
        <v>98</v>
      </c>
      <c r="F18" s="26">
        <v>0</v>
      </c>
      <c r="H18" s="25" t="s">
        <v>137</v>
      </c>
      <c r="I18" s="25">
        <v>10004.966451790013</v>
      </c>
      <c r="J18" s="25">
        <v>7634.3338425670199</v>
      </c>
      <c r="K18" s="25">
        <v>1.31052252339359</v>
      </c>
      <c r="L18" s="25">
        <v>0.19272431857728689</v>
      </c>
      <c r="M18" s="25">
        <v>-5122.9757030526844</v>
      </c>
      <c r="N18" s="25">
        <v>25132.908606632711</v>
      </c>
      <c r="O18" s="25">
        <v>-5122.9757030526844</v>
      </c>
      <c r="P18" s="25">
        <v>25132.908606632711</v>
      </c>
    </row>
    <row r="19" spans="1:17" x14ac:dyDescent="0.25">
      <c r="A19" s="25" t="s">
        <v>23</v>
      </c>
      <c r="B19" s="26">
        <v>35900</v>
      </c>
      <c r="C19" s="26">
        <v>16575</v>
      </c>
      <c r="D19" s="26">
        <v>43</v>
      </c>
      <c r="E19" s="26">
        <v>71</v>
      </c>
      <c r="F19" s="26">
        <v>0</v>
      </c>
      <c r="H19" s="25" t="s">
        <v>2</v>
      </c>
      <c r="I19" s="25">
        <v>0.43491380983693811</v>
      </c>
      <c r="J19" s="25">
        <v>0.11102648463602002</v>
      </c>
      <c r="K19" s="25">
        <v>3.9172077839150119</v>
      </c>
      <c r="L19" s="25">
        <v>1.5515180189891947E-4</v>
      </c>
      <c r="M19" s="25">
        <v>0.21490741872731361</v>
      </c>
      <c r="N19" s="25">
        <v>0.65492020094656267</v>
      </c>
      <c r="O19" s="25">
        <v>0.21490741872731361</v>
      </c>
      <c r="P19" s="25">
        <v>0.65492020094656267</v>
      </c>
    </row>
    <row r="20" spans="1:17" x14ac:dyDescent="0.25">
      <c r="A20" s="25" t="s">
        <v>24</v>
      </c>
      <c r="B20" s="26">
        <v>48300</v>
      </c>
      <c r="C20" s="26">
        <v>27080</v>
      </c>
      <c r="D20" s="26">
        <v>69</v>
      </c>
      <c r="E20" s="26">
        <v>90</v>
      </c>
      <c r="F20" s="26">
        <v>0</v>
      </c>
      <c r="H20" s="25" t="s">
        <v>3</v>
      </c>
      <c r="I20" s="25">
        <v>178.0989094105451</v>
      </c>
      <c r="J20" s="25">
        <v>69.193974732963824</v>
      </c>
      <c r="K20" s="25">
        <v>2.5739077730087279</v>
      </c>
      <c r="L20" s="25">
        <v>1.1373239959250091E-2</v>
      </c>
      <c r="M20" s="25">
        <v>40.986429289823349</v>
      </c>
      <c r="N20" s="25">
        <v>315.21138953126689</v>
      </c>
      <c r="O20" s="25">
        <v>40.986429289823349</v>
      </c>
      <c r="P20" s="25">
        <v>315.21138953126689</v>
      </c>
    </row>
    <row r="21" spans="1:17" x14ac:dyDescent="0.25">
      <c r="A21" s="25" t="s">
        <v>25</v>
      </c>
      <c r="B21" s="26">
        <v>52100</v>
      </c>
      <c r="C21" s="26">
        <v>29678</v>
      </c>
      <c r="D21" s="26">
        <v>85</v>
      </c>
      <c r="E21" s="26">
        <v>95</v>
      </c>
      <c r="F21" s="26">
        <v>1</v>
      </c>
      <c r="H21" s="25" t="s">
        <v>4</v>
      </c>
      <c r="I21" s="25">
        <v>141.47830025474349</v>
      </c>
      <c r="J21" s="25">
        <v>117.21201043146823</v>
      </c>
      <c r="K21" s="25">
        <v>1.2070290385255642</v>
      </c>
      <c r="L21" s="25">
        <v>0.2299868907731642</v>
      </c>
      <c r="M21" s="25">
        <v>-90.785123146170477</v>
      </c>
      <c r="N21" s="25">
        <v>373.74172365565744</v>
      </c>
      <c r="O21" s="25">
        <v>-90.785123146170477</v>
      </c>
      <c r="P21" s="25">
        <v>373.74172365565744</v>
      </c>
    </row>
    <row r="22" spans="1:17" x14ac:dyDescent="0.25">
      <c r="A22" s="25" t="s">
        <v>26</v>
      </c>
      <c r="B22" s="26">
        <v>42300</v>
      </c>
      <c r="C22" s="26">
        <v>21713</v>
      </c>
      <c r="D22" s="26">
        <v>62</v>
      </c>
      <c r="E22" s="26">
        <v>90</v>
      </c>
      <c r="F22" s="26">
        <v>0</v>
      </c>
      <c r="H22" s="25" t="s">
        <v>5</v>
      </c>
      <c r="I22" s="25">
        <v>2526.788806133914</v>
      </c>
      <c r="J22" s="25">
        <v>1103.4026222770658</v>
      </c>
      <c r="K22" s="25">
        <v>2.2899971008945403</v>
      </c>
      <c r="L22" s="25">
        <v>2.3911513311872346E-2</v>
      </c>
      <c r="M22" s="25">
        <v>340.32285016040692</v>
      </c>
      <c r="N22" s="25">
        <v>4713.2547621074209</v>
      </c>
      <c r="O22" s="25">
        <v>340.32285016040692</v>
      </c>
      <c r="P22" s="25">
        <v>4713.2547621074209</v>
      </c>
    </row>
    <row r="23" spans="1:17" x14ac:dyDescent="0.25">
      <c r="A23" s="25" t="s">
        <v>27</v>
      </c>
      <c r="B23" s="26">
        <v>44400</v>
      </c>
      <c r="C23" s="26">
        <v>13902</v>
      </c>
      <c r="D23" s="26">
        <v>65</v>
      </c>
      <c r="E23" s="26">
        <v>86</v>
      </c>
      <c r="F23" s="26">
        <v>0</v>
      </c>
      <c r="L23" t="s">
        <v>174</v>
      </c>
    </row>
    <row r="24" spans="1:17" x14ac:dyDescent="0.25">
      <c r="A24" s="25" t="s">
        <v>28</v>
      </c>
      <c r="B24" s="26">
        <v>50900</v>
      </c>
      <c r="C24" s="26">
        <v>27652</v>
      </c>
      <c r="D24" s="26">
        <v>69</v>
      </c>
      <c r="E24" s="26">
        <v>93</v>
      </c>
      <c r="F24" s="26">
        <v>0</v>
      </c>
      <c r="I24" s="19" t="s">
        <v>154</v>
      </c>
    </row>
    <row r="25" spans="1:17" x14ac:dyDescent="0.25">
      <c r="A25" s="25" t="s">
        <v>29</v>
      </c>
      <c r="B25" s="26">
        <v>61100</v>
      </c>
      <c r="C25" s="26">
        <v>33742</v>
      </c>
      <c r="D25" s="26">
        <v>67</v>
      </c>
      <c r="E25" s="26">
        <v>90</v>
      </c>
      <c r="F25" s="26">
        <v>1</v>
      </c>
      <c r="M25" s="23" t="s">
        <v>1</v>
      </c>
      <c r="N25" s="24" t="s">
        <v>2</v>
      </c>
      <c r="O25" s="24" t="s">
        <v>3</v>
      </c>
      <c r="P25" s="24" t="s">
        <v>4</v>
      </c>
      <c r="Q25" s="24" t="s">
        <v>5</v>
      </c>
    </row>
    <row r="26" spans="1:17" x14ac:dyDescent="0.25">
      <c r="A26" s="25" t="s">
        <v>30</v>
      </c>
      <c r="B26" s="26">
        <v>32300</v>
      </c>
      <c r="C26" s="26">
        <v>19414</v>
      </c>
      <c r="D26" s="26">
        <v>71</v>
      </c>
      <c r="E26" s="26">
        <v>96</v>
      </c>
      <c r="F26" s="26">
        <v>0</v>
      </c>
      <c r="H26" t="s">
        <v>150</v>
      </c>
      <c r="M26" s="26">
        <v>44800</v>
      </c>
      <c r="N26" s="26">
        <v>22920</v>
      </c>
      <c r="O26" s="26">
        <v>62</v>
      </c>
      <c r="P26" s="26">
        <v>88</v>
      </c>
      <c r="Q26" s="26">
        <v>1</v>
      </c>
    </row>
    <row r="27" spans="1:17" x14ac:dyDescent="0.25">
      <c r="A27" s="25" t="s">
        <v>31</v>
      </c>
      <c r="B27" s="26">
        <v>40800</v>
      </c>
      <c r="C27" s="26">
        <v>29864</v>
      </c>
      <c r="D27" s="26">
        <v>63</v>
      </c>
      <c r="E27" s="26">
        <v>81</v>
      </c>
      <c r="F27" s="26">
        <v>1</v>
      </c>
      <c r="J27" s="19" t="s">
        <v>177</v>
      </c>
      <c r="L27" s="19" t="s">
        <v>175</v>
      </c>
      <c r="M27" t="s">
        <v>155</v>
      </c>
    </row>
    <row r="28" spans="1:17" x14ac:dyDescent="0.25">
      <c r="A28" s="25" t="s">
        <v>32</v>
      </c>
      <c r="B28" s="26">
        <v>48100</v>
      </c>
      <c r="C28" s="26">
        <v>19466</v>
      </c>
      <c r="D28" s="26">
        <v>74</v>
      </c>
      <c r="E28" s="26">
        <v>91</v>
      </c>
      <c r="F28" s="26">
        <v>0</v>
      </c>
      <c r="H28" s="28" t="s">
        <v>151</v>
      </c>
      <c r="I28" s="28" t="s">
        <v>152</v>
      </c>
      <c r="J28" s="28" t="s">
        <v>153</v>
      </c>
      <c r="M28" s="23" t="s">
        <v>172</v>
      </c>
    </row>
    <row r="29" spans="1:17" x14ac:dyDescent="0.25">
      <c r="A29" s="25" t="s">
        <v>33</v>
      </c>
      <c r="B29" s="26">
        <v>43600</v>
      </c>
      <c r="C29" s="26">
        <v>22787</v>
      </c>
      <c r="D29" s="26">
        <v>60</v>
      </c>
      <c r="E29" s="26">
        <v>89</v>
      </c>
      <c r="F29" s="26">
        <v>1</v>
      </c>
      <c r="H29" s="25">
        <v>1</v>
      </c>
      <c r="I29" s="25">
        <v>45992.202585257772</v>
      </c>
      <c r="J29" s="25">
        <v>-1192.2025852577717</v>
      </c>
      <c r="K29" t="s">
        <v>176</v>
      </c>
      <c r="M29" s="25">
        <f>I18*1+I19*N26+I20*O26+I21*P26+I22*Q26</f>
        <v>45992.202585257772</v>
      </c>
      <c r="N29" s="20" t="str">
        <f ca="1">_xlfn.FORMULATEXT(M29)</f>
        <v>=I18*1+I19*N26+I20*O26+I21*P26+I22*Q26</v>
      </c>
    </row>
    <row r="30" spans="1:17" x14ac:dyDescent="0.25">
      <c r="A30" s="25" t="s">
        <v>34</v>
      </c>
      <c r="B30" s="26">
        <v>44500</v>
      </c>
      <c r="C30" s="26">
        <v>31898</v>
      </c>
      <c r="D30" s="26">
        <v>83</v>
      </c>
      <c r="E30" s="26">
        <v>96</v>
      </c>
      <c r="F30" s="26">
        <v>0</v>
      </c>
      <c r="H30" s="25">
        <v>2</v>
      </c>
      <c r="I30" s="25">
        <v>46211.786112865833</v>
      </c>
      <c r="J30" s="25">
        <v>-1111.7861128658333</v>
      </c>
    </row>
    <row r="31" spans="1:17" x14ac:dyDescent="0.25">
      <c r="A31" s="25" t="s">
        <v>35</v>
      </c>
      <c r="B31" s="26">
        <v>42800</v>
      </c>
      <c r="C31" s="26">
        <v>31810</v>
      </c>
      <c r="D31" s="26">
        <v>72</v>
      </c>
      <c r="E31" s="26">
        <v>96</v>
      </c>
      <c r="F31" s="26">
        <v>0</v>
      </c>
      <c r="H31" s="25">
        <v>3</v>
      </c>
      <c r="I31" s="25">
        <v>42043.768383896408</v>
      </c>
      <c r="J31" s="25">
        <v>256.23161610359239</v>
      </c>
    </row>
    <row r="32" spans="1:17" x14ac:dyDescent="0.25">
      <c r="A32" s="25" t="s">
        <v>36</v>
      </c>
      <c r="B32" s="26">
        <v>37600</v>
      </c>
      <c r="C32" s="26">
        <v>21558</v>
      </c>
      <c r="D32" s="26">
        <v>57</v>
      </c>
      <c r="E32" s="26">
        <v>82</v>
      </c>
      <c r="F32" s="26">
        <v>1</v>
      </c>
      <c r="H32" s="25">
        <v>4</v>
      </c>
      <c r="I32" s="25">
        <v>47849.462585218411</v>
      </c>
      <c r="J32" s="25">
        <v>1350.5374147815892</v>
      </c>
    </row>
    <row r="33" spans="1:10" x14ac:dyDescent="0.25">
      <c r="A33" s="25" t="s">
        <v>37</v>
      </c>
      <c r="B33" s="26">
        <v>34000</v>
      </c>
      <c r="C33" s="26">
        <v>14398</v>
      </c>
      <c r="D33" s="26">
        <v>37</v>
      </c>
      <c r="E33" s="26">
        <v>77</v>
      </c>
      <c r="F33" s="26">
        <v>0</v>
      </c>
      <c r="H33" s="25">
        <v>5</v>
      </c>
      <c r="I33" s="25">
        <v>49139.922742043644</v>
      </c>
      <c r="J33" s="25">
        <v>-11239.922742043644</v>
      </c>
    </row>
    <row r="34" spans="1:10" x14ac:dyDescent="0.25">
      <c r="A34" s="25" t="s">
        <v>38</v>
      </c>
      <c r="B34" s="26">
        <v>38000</v>
      </c>
      <c r="C34" s="26">
        <v>24266</v>
      </c>
      <c r="D34" s="26">
        <v>47</v>
      </c>
      <c r="E34" s="26">
        <v>88</v>
      </c>
      <c r="F34" s="26">
        <v>0</v>
      </c>
      <c r="H34" s="25">
        <v>6</v>
      </c>
      <c r="I34" s="25">
        <v>54710.969012982401</v>
      </c>
      <c r="J34" s="25">
        <v>20189.030987017599</v>
      </c>
    </row>
    <row r="35" spans="1:10" x14ac:dyDescent="0.25">
      <c r="A35" s="25" t="s">
        <v>39</v>
      </c>
      <c r="B35" s="26">
        <v>39700</v>
      </c>
      <c r="C35" s="26">
        <v>15403</v>
      </c>
      <c r="D35" s="26">
        <v>57</v>
      </c>
      <c r="E35" s="26">
        <v>81</v>
      </c>
      <c r="F35" s="26">
        <v>1</v>
      </c>
      <c r="H35" s="25">
        <v>7</v>
      </c>
      <c r="I35" s="25">
        <v>55981.824734397916</v>
      </c>
      <c r="J35" s="25">
        <v>4618.1752656020835</v>
      </c>
    </row>
    <row r="36" spans="1:10" x14ac:dyDescent="0.25">
      <c r="A36" s="25" t="s">
        <v>40</v>
      </c>
      <c r="B36" s="26">
        <v>43300</v>
      </c>
      <c r="C36" s="26">
        <v>24402</v>
      </c>
      <c r="D36" s="26">
        <v>63</v>
      </c>
      <c r="E36" s="26">
        <v>92</v>
      </c>
      <c r="F36" s="26">
        <v>0</v>
      </c>
      <c r="H36" s="25">
        <v>8</v>
      </c>
      <c r="I36" s="25">
        <v>49065.353845623089</v>
      </c>
      <c r="J36" s="25">
        <v>3834.646154376911</v>
      </c>
    </row>
    <row r="37" spans="1:10" x14ac:dyDescent="0.25">
      <c r="A37" s="25" t="s">
        <v>41</v>
      </c>
      <c r="B37" s="26">
        <v>52800</v>
      </c>
      <c r="C37" s="26">
        <v>28155</v>
      </c>
      <c r="D37" s="26">
        <v>82</v>
      </c>
      <c r="E37" s="26">
        <v>95</v>
      </c>
      <c r="F37" s="26">
        <v>1</v>
      </c>
      <c r="H37" s="25">
        <v>9</v>
      </c>
      <c r="I37" s="25">
        <v>45278.406465060587</v>
      </c>
      <c r="J37" s="25">
        <v>-1278.4064650605869</v>
      </c>
    </row>
    <row r="38" spans="1:10" x14ac:dyDescent="0.25">
      <c r="A38" s="25" t="s">
        <v>42</v>
      </c>
      <c r="B38" s="26">
        <v>45500</v>
      </c>
      <c r="C38" s="26">
        <v>24246</v>
      </c>
      <c r="D38" s="26">
        <v>67</v>
      </c>
      <c r="E38" s="26">
        <v>91</v>
      </c>
      <c r="F38" s="26">
        <v>1</v>
      </c>
      <c r="H38" s="25">
        <v>10</v>
      </c>
      <c r="I38" s="25">
        <v>52482.956843379267</v>
      </c>
      <c r="J38" s="25">
        <v>2017.0431566207335</v>
      </c>
    </row>
    <row r="39" spans="1:10" x14ac:dyDescent="0.25">
      <c r="A39" s="25" t="s">
        <v>43</v>
      </c>
      <c r="B39" s="26">
        <v>50100</v>
      </c>
      <c r="C39" s="26">
        <v>23162</v>
      </c>
      <c r="D39" s="26">
        <v>83</v>
      </c>
      <c r="E39" s="26">
        <v>95</v>
      </c>
      <c r="F39" s="26">
        <v>0</v>
      </c>
      <c r="H39" s="25">
        <v>11</v>
      </c>
      <c r="I39" s="25">
        <v>43469.696594347268</v>
      </c>
      <c r="J39" s="25">
        <v>1730.3034056527322</v>
      </c>
    </row>
    <row r="40" spans="1:10" x14ac:dyDescent="0.25">
      <c r="A40" s="25" t="s">
        <v>44</v>
      </c>
      <c r="B40" s="26">
        <v>43400</v>
      </c>
      <c r="C40" s="26">
        <v>20967</v>
      </c>
      <c r="D40" s="26">
        <v>40</v>
      </c>
      <c r="E40" s="26">
        <v>87</v>
      </c>
      <c r="F40" s="26">
        <v>1</v>
      </c>
      <c r="H40" s="25">
        <v>12</v>
      </c>
      <c r="I40" s="25">
        <v>49893.075857743002</v>
      </c>
      <c r="J40" s="25">
        <v>-9493.0758577430024</v>
      </c>
    </row>
    <row r="41" spans="1:10" x14ac:dyDescent="0.25">
      <c r="A41" s="25" t="s">
        <v>45</v>
      </c>
      <c r="B41" s="26">
        <v>40500</v>
      </c>
      <c r="C41" s="26">
        <v>22231</v>
      </c>
      <c r="D41" s="26">
        <v>71</v>
      </c>
      <c r="E41" s="26">
        <v>87</v>
      </c>
      <c r="F41" s="26">
        <v>1</v>
      </c>
      <c r="H41" s="25">
        <v>13</v>
      </c>
      <c r="I41" s="25">
        <v>52728.906638962028</v>
      </c>
      <c r="J41" s="25">
        <v>-928.9066389620275</v>
      </c>
    </row>
    <row r="42" spans="1:10" x14ac:dyDescent="0.25">
      <c r="A42" s="25" t="s">
        <v>46</v>
      </c>
      <c r="B42" s="26">
        <v>48600</v>
      </c>
      <c r="C42" s="26">
        <v>30720</v>
      </c>
      <c r="D42" s="26">
        <v>78</v>
      </c>
      <c r="E42" s="26">
        <v>95</v>
      </c>
      <c r="F42" s="26">
        <v>0</v>
      </c>
      <c r="H42" s="25">
        <v>14</v>
      </c>
      <c r="I42" s="25">
        <v>50262.135092045333</v>
      </c>
      <c r="J42" s="25">
        <v>-6162.1350920453333</v>
      </c>
    </row>
    <row r="43" spans="1:10" x14ac:dyDescent="0.25">
      <c r="A43" s="25" t="s">
        <v>47</v>
      </c>
      <c r="B43" s="26">
        <v>37000</v>
      </c>
      <c r="C43" s="26">
        <v>20252</v>
      </c>
      <c r="D43" s="26">
        <v>58</v>
      </c>
      <c r="E43" s="26">
        <v>80</v>
      </c>
      <c r="F43" s="26">
        <v>0</v>
      </c>
      <c r="H43" s="25">
        <v>15</v>
      </c>
      <c r="I43" s="25">
        <v>42276.784111145593</v>
      </c>
      <c r="J43" s="25">
        <v>-3676.7841111455928</v>
      </c>
    </row>
    <row r="44" spans="1:10" x14ac:dyDescent="0.25">
      <c r="A44" s="25" t="s">
        <v>48</v>
      </c>
      <c r="B44" s="26">
        <v>50400</v>
      </c>
      <c r="C44" s="26">
        <v>31958</v>
      </c>
      <c r="D44" s="26">
        <v>76</v>
      </c>
      <c r="E44" s="26">
        <v>96</v>
      </c>
      <c r="F44" s="26">
        <v>0</v>
      </c>
      <c r="H44" s="25">
        <v>16</v>
      </c>
      <c r="I44" s="25">
        <v>42719.503509612878</v>
      </c>
      <c r="J44" s="25">
        <v>9180.4964903871223</v>
      </c>
    </row>
    <row r="45" spans="1:10" x14ac:dyDescent="0.25">
      <c r="A45" s="25" t="s">
        <v>49</v>
      </c>
      <c r="B45" s="26">
        <v>35100</v>
      </c>
      <c r="C45" s="26">
        <v>24423</v>
      </c>
      <c r="D45" s="26">
        <v>54</v>
      </c>
      <c r="E45" s="26">
        <v>80</v>
      </c>
      <c r="F45" s="26">
        <v>1</v>
      </c>
      <c r="H45" s="25">
        <v>17</v>
      </c>
      <c r="I45" s="25">
        <v>48524.154518754134</v>
      </c>
      <c r="J45" s="25">
        <v>-924.15451875413419</v>
      </c>
    </row>
    <row r="46" spans="1:10" x14ac:dyDescent="0.25">
      <c r="A46" s="25" t="s">
        <v>50</v>
      </c>
      <c r="B46" s="26">
        <v>45200</v>
      </c>
      <c r="C46" s="26">
        <v>24614</v>
      </c>
      <c r="D46" s="26">
        <v>75</v>
      </c>
      <c r="E46" s="26">
        <v>96</v>
      </c>
      <c r="F46" s="26">
        <v>0</v>
      </c>
      <c r="H46" s="25">
        <v>18</v>
      </c>
      <c r="I46" s="25">
        <v>34916.87527257749</v>
      </c>
      <c r="J46" s="25">
        <v>983.12472742250975</v>
      </c>
    </row>
    <row r="47" spans="1:10" x14ac:dyDescent="0.25">
      <c r="A47" s="25" t="s">
        <v>51</v>
      </c>
      <c r="B47" s="26">
        <v>49400</v>
      </c>
      <c r="C47" s="26">
        <v>21531</v>
      </c>
      <c r="D47" s="26">
        <v>79</v>
      </c>
      <c r="E47" s="26">
        <v>93</v>
      </c>
      <c r="F47" s="26">
        <v>1</v>
      </c>
      <c r="H47" s="25">
        <v>19</v>
      </c>
      <c r="I47" s="25">
        <v>46804.30419442882</v>
      </c>
      <c r="J47" s="25">
        <v>1495.6958055711802</v>
      </c>
    </row>
    <row r="48" spans="1:10" x14ac:dyDescent="0.25">
      <c r="A48" s="25" t="s">
        <v>52</v>
      </c>
      <c r="B48" s="26">
        <v>48100</v>
      </c>
      <c r="C48" s="26">
        <v>23921</v>
      </c>
      <c r="D48" s="26">
        <v>67</v>
      </c>
      <c r="E48" s="26">
        <v>93</v>
      </c>
      <c r="F48" s="26">
        <v>0</v>
      </c>
      <c r="H48" s="25">
        <v>20</v>
      </c>
      <c r="I48" s="25">
        <v>54017.973130361541</v>
      </c>
      <c r="J48" s="25">
        <v>-1917.9731303615408</v>
      </c>
    </row>
    <row r="49" spans="1:10" x14ac:dyDescent="0.25">
      <c r="A49" s="25" t="s">
        <v>53</v>
      </c>
      <c r="B49" s="26">
        <v>40900</v>
      </c>
      <c r="C49" s="26">
        <v>25316</v>
      </c>
      <c r="D49" s="26">
        <v>49</v>
      </c>
      <c r="E49" s="26">
        <v>88</v>
      </c>
      <c r="F49" s="26">
        <v>1</v>
      </c>
      <c r="H49" s="25">
        <v>21</v>
      </c>
      <c r="I49" s="25">
        <v>43223.429411160163</v>
      </c>
      <c r="J49" s="25">
        <v>-923.429411160163</v>
      </c>
    </row>
    <row r="50" spans="1:10" x14ac:dyDescent="0.25">
      <c r="A50" s="25" t="s">
        <v>54</v>
      </c>
      <c r="B50" s="26">
        <v>36700</v>
      </c>
      <c r="C50" s="26">
        <v>32534</v>
      </c>
      <c r="D50" s="26">
        <v>46</v>
      </c>
      <c r="E50" s="26">
        <v>86</v>
      </c>
      <c r="F50" s="26">
        <v>1</v>
      </c>
      <c r="H50" s="25">
        <v>22</v>
      </c>
      <c r="I50" s="25">
        <v>39794.701169736494</v>
      </c>
      <c r="J50" s="25">
        <v>4605.2988302635058</v>
      </c>
    </row>
    <row r="51" spans="1:10" x14ac:dyDescent="0.25">
      <c r="A51" s="25" t="s">
        <v>55</v>
      </c>
      <c r="B51" s="26">
        <v>43400</v>
      </c>
      <c r="C51" s="26">
        <v>32636</v>
      </c>
      <c r="D51" s="26">
        <v>75</v>
      </c>
      <c r="E51" s="26">
        <v>96</v>
      </c>
      <c r="F51" s="26">
        <v>1</v>
      </c>
      <c r="H51" s="25">
        <v>23</v>
      </c>
      <c r="I51" s="25">
        <v>47477.509794419777</v>
      </c>
      <c r="J51" s="25">
        <v>3422.4902055802231</v>
      </c>
    </row>
    <row r="52" spans="1:10" x14ac:dyDescent="0.25">
      <c r="A52" s="25" t="s">
        <v>56</v>
      </c>
      <c r="B52" s="26">
        <v>51300</v>
      </c>
      <c r="C52" s="26">
        <v>24893</v>
      </c>
      <c r="D52" s="26">
        <v>68</v>
      </c>
      <c r="E52" s="26">
        <v>93</v>
      </c>
      <c r="F52" s="26">
        <v>0</v>
      </c>
      <c r="H52" s="25">
        <v>24</v>
      </c>
      <c r="I52" s="25">
        <v>51872.290982875325</v>
      </c>
      <c r="J52" s="25">
        <v>9227.7090171246746</v>
      </c>
    </row>
    <row r="53" spans="1:10" x14ac:dyDescent="0.25">
      <c r="A53" s="25" t="s">
        <v>57</v>
      </c>
      <c r="B53" s="26">
        <v>46000</v>
      </c>
      <c r="C53" s="26">
        <v>25613</v>
      </c>
      <c r="D53" s="26">
        <v>41</v>
      </c>
      <c r="E53" s="26">
        <v>74</v>
      </c>
      <c r="F53" s="26">
        <v>0</v>
      </c>
      <c r="H53" s="25">
        <v>25</v>
      </c>
      <c r="I53" s="25">
        <v>44675.322548568409</v>
      </c>
      <c r="J53" s="25">
        <v>-12375.322548568409</v>
      </c>
    </row>
    <row r="54" spans="1:10" x14ac:dyDescent="0.25">
      <c r="A54" s="25" t="s">
        <v>58</v>
      </c>
      <c r="B54" s="26">
        <v>41300</v>
      </c>
      <c r="C54" s="26">
        <v>21546</v>
      </c>
      <c r="D54" s="26">
        <v>57</v>
      </c>
      <c r="E54" s="26">
        <v>83</v>
      </c>
      <c r="F54" s="26">
        <v>1</v>
      </c>
      <c r="H54" s="25">
        <v>26</v>
      </c>
      <c r="I54" s="25">
        <v>48199.994888392808</v>
      </c>
      <c r="J54" s="25">
        <v>-7399.9948883928082</v>
      </c>
    </row>
    <row r="55" spans="1:10" x14ac:dyDescent="0.25">
      <c r="A55" s="25" t="s">
        <v>59</v>
      </c>
      <c r="B55" s="26">
        <v>42800</v>
      </c>
      <c r="C55" s="26">
        <v>21127</v>
      </c>
      <c r="D55" s="26">
        <v>64</v>
      </c>
      <c r="E55" s="26">
        <v>90</v>
      </c>
      <c r="F55" s="26">
        <v>1</v>
      </c>
      <c r="H55" s="25">
        <v>27</v>
      </c>
      <c r="I55" s="25">
        <v>44524.843293637845</v>
      </c>
      <c r="J55" s="25">
        <v>3575.1567063621551</v>
      </c>
    </row>
    <row r="56" spans="1:10" x14ac:dyDescent="0.25">
      <c r="A56" s="25" t="s">
        <v>60</v>
      </c>
      <c r="B56" s="26">
        <v>35500</v>
      </c>
      <c r="C56" s="26">
        <v>33074</v>
      </c>
      <c r="D56" s="26">
        <v>41</v>
      </c>
      <c r="E56" s="26">
        <v>76</v>
      </c>
      <c r="F56" s="26">
        <v>1</v>
      </c>
      <c r="H56" s="25">
        <v>28</v>
      </c>
      <c r="I56" s="25">
        <v>45719.639529983106</v>
      </c>
      <c r="J56" s="25">
        <v>-2119.6395299831056</v>
      </c>
    </row>
    <row r="57" spans="1:10" x14ac:dyDescent="0.25">
      <c r="A57" s="25" t="s">
        <v>61</v>
      </c>
      <c r="B57" s="26">
        <v>42600</v>
      </c>
      <c r="C57" s="26">
        <v>22473</v>
      </c>
      <c r="D57" s="26">
        <v>59</v>
      </c>
      <c r="E57" s="26">
        <v>89</v>
      </c>
      <c r="F57" s="26">
        <v>0</v>
      </c>
      <c r="H57" s="25">
        <v>29</v>
      </c>
      <c r="I57" s="25">
        <v>52241.973463499286</v>
      </c>
      <c r="J57" s="25">
        <v>-7741.9734634992856</v>
      </c>
    </row>
    <row r="58" spans="1:10" x14ac:dyDescent="0.25">
      <c r="A58" s="25" t="s">
        <v>62</v>
      </c>
      <c r="B58" s="26">
        <v>44600</v>
      </c>
      <c r="C58" s="26">
        <v>20675</v>
      </c>
      <c r="D58" s="26">
        <v>73</v>
      </c>
      <c r="E58" s="26">
        <v>95</v>
      </c>
      <c r="F58" s="26">
        <v>0</v>
      </c>
      <c r="H58" s="25">
        <v>30</v>
      </c>
      <c r="I58" s="25">
        <v>50244.613044717633</v>
      </c>
      <c r="J58" s="25">
        <v>-7444.6130447176329</v>
      </c>
    </row>
    <row r="59" spans="1:10" x14ac:dyDescent="0.25">
      <c r="A59" s="25" t="s">
        <v>63</v>
      </c>
      <c r="B59" s="26">
        <v>50600</v>
      </c>
      <c r="C59" s="26">
        <v>25918</v>
      </c>
      <c r="D59" s="26">
        <v>38</v>
      </c>
      <c r="E59" s="26">
        <v>78</v>
      </c>
      <c r="F59" s="26">
        <v>0</v>
      </c>
      <c r="H59" s="25">
        <v>31</v>
      </c>
      <c r="I59" s="25">
        <v>43660.485627678674</v>
      </c>
      <c r="J59" s="25">
        <v>-6060.4856276786741</v>
      </c>
    </row>
    <row r="60" spans="1:10" x14ac:dyDescent="0.25">
      <c r="A60" s="25" t="s">
        <v>64</v>
      </c>
      <c r="B60" s="26">
        <v>38400</v>
      </c>
      <c r="C60" s="26">
        <v>22275</v>
      </c>
      <c r="D60" s="26">
        <v>61</v>
      </c>
      <c r="E60" s="26">
        <v>87</v>
      </c>
      <c r="F60" s="26">
        <v>1</v>
      </c>
      <c r="H60" s="25">
        <v>32</v>
      </c>
      <c r="I60" s="25">
        <v>33750.344253627663</v>
      </c>
      <c r="J60" s="25">
        <v>249.65574637233658</v>
      </c>
    </row>
    <row r="61" spans="1:10" x14ac:dyDescent="0.25">
      <c r="A61" s="25" t="s">
        <v>65</v>
      </c>
      <c r="B61" s="26">
        <v>39000</v>
      </c>
      <c r="C61" s="26">
        <v>25539</v>
      </c>
      <c r="D61" s="26">
        <v>62</v>
      </c>
      <c r="E61" s="26">
        <v>81</v>
      </c>
      <c r="F61" s="26">
        <v>1</v>
      </c>
      <c r="H61" s="25">
        <v>33</v>
      </c>
      <c r="I61" s="25">
        <v>41379.324126006199</v>
      </c>
      <c r="J61" s="25">
        <v>-3379.3241260061986</v>
      </c>
    </row>
    <row r="62" spans="1:10" x14ac:dyDescent="0.25">
      <c r="A62" s="25" t="s">
        <v>66</v>
      </c>
      <c r="B62" s="26">
        <v>40700</v>
      </c>
      <c r="C62" s="26">
        <v>15685</v>
      </c>
      <c r="D62" s="26">
        <v>58</v>
      </c>
      <c r="E62" s="26">
        <v>89</v>
      </c>
      <c r="F62" s="26">
        <v>0</v>
      </c>
      <c r="H62" s="25">
        <v>34</v>
      </c>
      <c r="I62" s="25">
        <v>40842.112827877572</v>
      </c>
      <c r="J62" s="25">
        <v>-1142.1128278775723</v>
      </c>
    </row>
    <row r="63" spans="1:10" x14ac:dyDescent="0.25">
      <c r="A63" s="25" t="s">
        <v>67</v>
      </c>
      <c r="B63" s="26">
        <v>50000</v>
      </c>
      <c r="C63" s="26">
        <v>24730</v>
      </c>
      <c r="D63" s="26">
        <v>74</v>
      </c>
      <c r="E63" s="26">
        <v>91</v>
      </c>
      <c r="F63" s="26">
        <v>1</v>
      </c>
      <c r="H63" s="25">
        <v>35</v>
      </c>
      <c r="I63" s="25">
        <v>44853.968155731716</v>
      </c>
      <c r="J63" s="25">
        <v>-1553.9681557317163</v>
      </c>
    </row>
    <row r="64" spans="1:10" x14ac:dyDescent="0.25">
      <c r="A64" s="25" t="s">
        <v>68</v>
      </c>
      <c r="B64" s="26">
        <v>43900</v>
      </c>
      <c r="C64" s="26">
        <v>25936</v>
      </c>
      <c r="D64" s="26">
        <v>70</v>
      </c>
      <c r="E64" s="26">
        <v>93</v>
      </c>
      <c r="F64" s="26">
        <v>0</v>
      </c>
      <c r="H64" s="25">
        <v>36</v>
      </c>
      <c r="I64" s="25">
        <v>52821.302669748249</v>
      </c>
      <c r="J64" s="25">
        <v>-21.302669748249173</v>
      </c>
    </row>
    <row r="65" spans="1:10" x14ac:dyDescent="0.25">
      <c r="A65" s="25" t="s">
        <v>69</v>
      </c>
      <c r="B65" s="26">
        <v>45500</v>
      </c>
      <c r="C65" s="26">
        <v>22204</v>
      </c>
      <c r="D65" s="26">
        <v>67</v>
      </c>
      <c r="E65" s="26">
        <v>93</v>
      </c>
      <c r="F65" s="26">
        <v>1</v>
      </c>
      <c r="H65" s="25">
        <v>37</v>
      </c>
      <c r="I65" s="25">
        <v>47883.827744918504</v>
      </c>
      <c r="J65" s="25">
        <v>-2383.8277449185043</v>
      </c>
    </row>
    <row r="66" spans="1:10" x14ac:dyDescent="0.25">
      <c r="A66" s="25" t="s">
        <v>70</v>
      </c>
      <c r="B66" s="26">
        <v>35600</v>
      </c>
      <c r="C66" s="26">
        <v>28458</v>
      </c>
      <c r="D66" s="26">
        <v>41</v>
      </c>
      <c r="E66" s="26">
        <v>78</v>
      </c>
      <c r="F66" s="26">
        <v>0</v>
      </c>
      <c r="H66" s="25">
        <v>38</v>
      </c>
      <c r="I66" s="25">
        <v>48301.088120509048</v>
      </c>
      <c r="J66" s="25">
        <v>1798.9118794909518</v>
      </c>
    </row>
    <row r="67" spans="1:10" x14ac:dyDescent="0.25">
      <c r="A67" s="25" t="s">
        <v>71</v>
      </c>
      <c r="B67" s="26">
        <v>44000</v>
      </c>
      <c r="C67" s="26">
        <v>17437</v>
      </c>
      <c r="D67" s="26">
        <v>66</v>
      </c>
      <c r="E67" s="26">
        <v>87</v>
      </c>
      <c r="F67" s="26">
        <v>0</v>
      </c>
      <c r="H67" s="25">
        <v>39</v>
      </c>
      <c r="I67" s="25">
        <v>41083.161607359492</v>
      </c>
      <c r="J67" s="25">
        <v>2316.8383926405077</v>
      </c>
    </row>
    <row r="68" spans="1:10" x14ac:dyDescent="0.25">
      <c r="A68" s="25" t="s">
        <v>72</v>
      </c>
      <c r="B68" s="26">
        <v>43900</v>
      </c>
      <c r="C68" s="26">
        <v>19721</v>
      </c>
      <c r="D68" s="26">
        <v>59</v>
      </c>
      <c r="E68" s="26">
        <v>79</v>
      </c>
      <c r="F68" s="26">
        <v>0</v>
      </c>
      <c r="H68" s="25">
        <v>40</v>
      </c>
      <c r="I68" s="25">
        <v>47153.95885472028</v>
      </c>
      <c r="J68" s="25">
        <v>-6653.9588547202802</v>
      </c>
    </row>
    <row r="69" spans="1:10" x14ac:dyDescent="0.25">
      <c r="A69" s="25" t="s">
        <v>73</v>
      </c>
      <c r="B69" s="26">
        <v>41200</v>
      </c>
      <c r="C69" s="26">
        <v>24850</v>
      </c>
      <c r="D69" s="26">
        <v>59</v>
      </c>
      <c r="E69" s="26">
        <v>86</v>
      </c>
      <c r="F69" s="26">
        <v>0</v>
      </c>
      <c r="H69" s="25">
        <v>41</v>
      </c>
      <c r="I69" s="25">
        <v>50697.672148203899</v>
      </c>
      <c r="J69" s="25">
        <v>-2097.6721482038993</v>
      </c>
    </row>
    <row r="70" spans="1:10" x14ac:dyDescent="0.25">
      <c r="A70" s="25" t="s">
        <v>74</v>
      </c>
      <c r="B70" s="26">
        <v>58400</v>
      </c>
      <c r="C70" s="26">
        <v>24961</v>
      </c>
      <c r="D70" s="26">
        <v>53</v>
      </c>
      <c r="E70" s="26">
        <v>86</v>
      </c>
      <c r="F70" s="26">
        <v>1</v>
      </c>
      <c r="H70" s="25">
        <v>42</v>
      </c>
      <c r="I70" s="25">
        <v>40460.841694798779</v>
      </c>
      <c r="J70" s="25">
        <v>-3460.8416947987789</v>
      </c>
    </row>
    <row r="71" spans="1:10" x14ac:dyDescent="0.25">
      <c r="A71" s="25" t="s">
        <v>75</v>
      </c>
      <c r="B71" s="26">
        <v>45900</v>
      </c>
      <c r="C71" s="26">
        <v>23486</v>
      </c>
      <c r="D71" s="26">
        <v>70</v>
      </c>
      <c r="E71" s="26">
        <v>93</v>
      </c>
      <c r="F71" s="26">
        <v>0</v>
      </c>
      <c r="H71" s="25">
        <v>43</v>
      </c>
      <c r="I71" s="25">
        <v>51021.375926215682</v>
      </c>
      <c r="J71" s="25">
        <v>-621.37592621568183</v>
      </c>
    </row>
    <row r="72" spans="1:10" x14ac:dyDescent="0.25">
      <c r="A72" s="25" t="s">
        <v>76</v>
      </c>
      <c r="B72" s="26">
        <v>34700</v>
      </c>
      <c r="C72" s="26">
        <v>13735</v>
      </c>
      <c r="D72" s="26">
        <v>32</v>
      </c>
      <c r="E72" s="26">
        <v>52</v>
      </c>
      <c r="F72" s="26">
        <v>0</v>
      </c>
      <c r="H72" s="25">
        <v>44</v>
      </c>
      <c r="I72" s="25">
        <v>44089.260364120375</v>
      </c>
      <c r="J72" s="25">
        <v>-8989.260364120375</v>
      </c>
    </row>
    <row r="73" spans="1:10" x14ac:dyDescent="0.25">
      <c r="A73" s="25" t="s">
        <v>77</v>
      </c>
      <c r="B73" s="26">
        <v>59600</v>
      </c>
      <c r="C73" s="26">
        <v>34841</v>
      </c>
      <c r="D73" s="26">
        <v>86</v>
      </c>
      <c r="E73" s="26">
        <v>96</v>
      </c>
      <c r="F73" s="26">
        <v>1</v>
      </c>
      <c r="H73" s="25">
        <v>45</v>
      </c>
      <c r="I73" s="25">
        <v>47649.269997362666</v>
      </c>
      <c r="J73" s="25">
        <v>-2449.2699973626659</v>
      </c>
    </row>
    <row r="74" spans="1:10" x14ac:dyDescent="0.25">
      <c r="A74" s="25" t="s">
        <v>78</v>
      </c>
      <c r="B74" s="26">
        <v>56400</v>
      </c>
      <c r="C74" s="26">
        <v>35159</v>
      </c>
      <c r="D74" s="26">
        <v>76</v>
      </c>
      <c r="E74" s="26">
        <v>96</v>
      </c>
      <c r="F74" s="26">
        <v>0</v>
      </c>
      <c r="H74" s="25">
        <v>46</v>
      </c>
      <c r="I74" s="25">
        <v>49123.180264647242</v>
      </c>
      <c r="J74" s="25">
        <v>276.81973535275756</v>
      </c>
    </row>
    <row r="75" spans="1:10" x14ac:dyDescent="0.25">
      <c r="A75" s="25" t="s">
        <v>79</v>
      </c>
      <c r="B75" s="26">
        <v>53100</v>
      </c>
      <c r="C75" s="26">
        <v>21046</v>
      </c>
      <c r="D75" s="26">
        <v>58</v>
      </c>
      <c r="E75" s="26">
        <v>85</v>
      </c>
      <c r="F75" s="26">
        <v>1</v>
      </c>
      <c r="H75" s="25">
        <v>47</v>
      </c>
      <c r="I75" s="25">
        <v>45498.648551097074</v>
      </c>
      <c r="J75" s="25">
        <v>2601.3514489029258</v>
      </c>
    </row>
    <row r="76" spans="1:10" x14ac:dyDescent="0.25">
      <c r="A76" s="25" t="s">
        <v>80</v>
      </c>
      <c r="B76" s="26">
        <v>39600</v>
      </c>
      <c r="C76" s="26">
        <v>9938</v>
      </c>
      <c r="D76" s="26">
        <v>43</v>
      </c>
      <c r="E76" s="26">
        <v>84</v>
      </c>
      <c r="F76" s="26">
        <v>0</v>
      </c>
      <c r="H76" s="25">
        <v>48</v>
      </c>
      <c r="I76" s="25">
        <v>44718.970251289982</v>
      </c>
      <c r="J76" s="25">
        <v>-3818.9702512899821</v>
      </c>
    </row>
    <row r="77" spans="1:10" x14ac:dyDescent="0.25">
      <c r="A77" s="25" t="s">
        <v>81</v>
      </c>
      <c r="B77" s="26">
        <v>48100</v>
      </c>
      <c r="C77" s="26">
        <v>28210</v>
      </c>
      <c r="D77" s="26">
        <v>67</v>
      </c>
      <c r="E77" s="26">
        <v>89</v>
      </c>
      <c r="F77" s="26">
        <v>0</v>
      </c>
      <c r="H77" s="25">
        <v>49</v>
      </c>
      <c r="I77" s="25">
        <v>47040.924801951878</v>
      </c>
      <c r="J77" s="25">
        <v>-10340.924801951878</v>
      </c>
    </row>
    <row r="78" spans="1:10" x14ac:dyDescent="0.25">
      <c r="A78" s="25" t="s">
        <v>82</v>
      </c>
      <c r="B78" s="26">
        <v>42800</v>
      </c>
      <c r="C78" s="26">
        <v>19254</v>
      </c>
      <c r="D78" s="26">
        <v>73</v>
      </c>
      <c r="E78" s="26">
        <v>90</v>
      </c>
      <c r="F78" s="26">
        <v>0</v>
      </c>
      <c r="H78" s="25">
        <v>50</v>
      </c>
      <c r="I78" s="25">
        <v>53664.937386008489</v>
      </c>
      <c r="J78" s="25">
        <v>-10264.937386008489</v>
      </c>
    </row>
    <row r="79" spans="1:10" x14ac:dyDescent="0.25">
      <c r="A79" s="25" t="s">
        <v>83</v>
      </c>
      <c r="B79" s="26">
        <v>42500</v>
      </c>
      <c r="C79" s="26">
        <v>26451</v>
      </c>
      <c r="D79" s="26">
        <v>65</v>
      </c>
      <c r="E79" s="26">
        <v>89</v>
      </c>
      <c r="F79" s="26">
        <v>0</v>
      </c>
      <c r="H79" s="25">
        <v>51</v>
      </c>
      <c r="I79" s="25">
        <v>46099.483683669125</v>
      </c>
      <c r="J79" s="25">
        <v>5200.5163163308753</v>
      </c>
    </row>
    <row r="80" spans="1:10" x14ac:dyDescent="0.25">
      <c r="A80" s="25" t="s">
        <v>84</v>
      </c>
      <c r="B80" s="26">
        <v>47200</v>
      </c>
      <c r="C80" s="26">
        <v>33838</v>
      </c>
      <c r="D80" s="26">
        <v>62</v>
      </c>
      <c r="E80" s="26">
        <v>93</v>
      </c>
      <c r="F80" s="26">
        <v>0</v>
      </c>
      <c r="H80" s="25">
        <v>52</v>
      </c>
      <c r="I80" s="25">
        <v>38915.863367826874</v>
      </c>
      <c r="J80" s="25">
        <v>7084.1366321731257</v>
      </c>
    </row>
    <row r="81" spans="1:10" x14ac:dyDescent="0.25">
      <c r="A81" s="25" t="s">
        <v>85</v>
      </c>
      <c r="B81" s="26">
        <v>42200</v>
      </c>
      <c r="C81" s="26">
        <v>29427</v>
      </c>
      <c r="D81" s="26">
        <v>69</v>
      </c>
      <c r="E81" s="26">
        <v>83</v>
      </c>
      <c r="F81" s="26">
        <v>0</v>
      </c>
      <c r="H81" s="25">
        <v>53</v>
      </c>
      <c r="I81" s="25">
        <v>43796.744962215373</v>
      </c>
      <c r="J81" s="25">
        <v>-2496.7449622153727</v>
      </c>
    </row>
    <row r="82" spans="1:10" x14ac:dyDescent="0.25">
      <c r="A82" s="25" t="s">
        <v>86</v>
      </c>
      <c r="B82" s="26">
        <v>46900</v>
      </c>
      <c r="C82" s="26">
        <v>22593</v>
      </c>
      <c r="D82" s="26">
        <v>68</v>
      </c>
      <c r="E82" s="26">
        <v>90</v>
      </c>
      <c r="F82" s="26">
        <v>0</v>
      </c>
      <c r="H82" s="25">
        <v>54</v>
      </c>
      <c r="I82" s="25">
        <v>45851.556543550716</v>
      </c>
      <c r="J82" s="25">
        <v>-3051.556543550716</v>
      </c>
    </row>
    <row r="83" spans="1:10" x14ac:dyDescent="0.25">
      <c r="A83" s="25" t="s">
        <v>87</v>
      </c>
      <c r="B83" s="26">
        <v>55200</v>
      </c>
      <c r="C83" s="26">
        <v>33557</v>
      </c>
      <c r="D83" s="26">
        <v>77</v>
      </c>
      <c r="E83" s="26">
        <v>92</v>
      </c>
      <c r="F83" s="26">
        <v>1</v>
      </c>
      <c r="H83" s="25">
        <v>55</v>
      </c>
      <c r="I83" s="25">
        <v>44970.500709663669</v>
      </c>
      <c r="J83" s="25">
        <v>-9470.5007096636691</v>
      </c>
    </row>
    <row r="84" spans="1:10" x14ac:dyDescent="0.25">
      <c r="A84" s="25" t="s">
        <v>88</v>
      </c>
      <c r="B84" s="26">
        <v>51400</v>
      </c>
      <c r="C84" s="26">
        <v>29085</v>
      </c>
      <c r="D84" s="26">
        <v>69</v>
      </c>
      <c r="E84" s="26">
        <v>93</v>
      </c>
      <c r="F84" s="26">
        <v>1</v>
      </c>
      <c r="H84" s="25">
        <v>56</v>
      </c>
      <c r="I84" s="25">
        <v>42878.188878149849</v>
      </c>
      <c r="J84" s="25">
        <v>-278.18887814984919</v>
      </c>
    </row>
    <row r="85" spans="1:10" x14ac:dyDescent="0.25">
      <c r="A85" s="25" t="s">
        <v>89</v>
      </c>
      <c r="B85" s="26">
        <v>46400</v>
      </c>
      <c r="C85" s="26">
        <v>31293</v>
      </c>
      <c r="D85" s="26">
        <v>70</v>
      </c>
      <c r="E85" s="26">
        <v>67</v>
      </c>
      <c r="F85" s="26">
        <v>1</v>
      </c>
      <c r="H85" s="25">
        <v>57</v>
      </c>
      <c r="I85" s="25">
        <v>45438.468381339131</v>
      </c>
      <c r="J85" s="25">
        <v>-838.46838133913116</v>
      </c>
    </row>
    <row r="86" spans="1:10" x14ac:dyDescent="0.25">
      <c r="A86" s="25" t="s">
        <v>90</v>
      </c>
      <c r="B86" s="26">
        <v>45100</v>
      </c>
      <c r="C86" s="26">
        <v>27674</v>
      </c>
      <c r="D86" s="26">
        <v>67</v>
      </c>
      <c r="E86" s="26">
        <v>80</v>
      </c>
      <c r="F86" s="26">
        <v>1</v>
      </c>
      <c r="H86" s="25">
        <v>58</v>
      </c>
      <c r="I86" s="25">
        <v>39080.128552614486</v>
      </c>
      <c r="J86" s="25">
        <v>11519.871447385514</v>
      </c>
    </row>
    <row r="87" spans="1:10" x14ac:dyDescent="0.25">
      <c r="A87" s="25" t="s">
        <v>91</v>
      </c>
      <c r="B87" s="26">
        <v>42600</v>
      </c>
      <c r="C87" s="26">
        <v>21815</v>
      </c>
      <c r="D87" s="26">
        <v>64</v>
      </c>
      <c r="E87" s="26">
        <v>86</v>
      </c>
      <c r="F87" s="26">
        <v>0</v>
      </c>
      <c r="H87" s="25">
        <v>59</v>
      </c>
      <c r="I87" s="25">
        <v>45392.105968247655</v>
      </c>
      <c r="J87" s="25">
        <v>-6992.1059682476553</v>
      </c>
    </row>
    <row r="88" spans="1:10" x14ac:dyDescent="0.25">
      <c r="A88" s="25" t="s">
        <v>92</v>
      </c>
      <c r="B88" s="26">
        <v>49900</v>
      </c>
      <c r="C88" s="26">
        <v>27507</v>
      </c>
      <c r="D88" s="26">
        <v>56</v>
      </c>
      <c r="E88" s="26">
        <v>84</v>
      </c>
      <c r="F88" s="26">
        <v>1</v>
      </c>
      <c r="H88" s="25">
        <v>60</v>
      </c>
      <c r="I88" s="25">
        <v>46140.893751437507</v>
      </c>
      <c r="J88" s="25">
        <v>-7140.8937514375066</v>
      </c>
    </row>
    <row r="89" spans="1:10" x14ac:dyDescent="0.25">
      <c r="A89" s="25" t="s">
        <v>93</v>
      </c>
      <c r="B89" s="26">
        <v>50000</v>
      </c>
      <c r="C89" s="26">
        <v>24954</v>
      </c>
      <c r="D89" s="26">
        <v>75</v>
      </c>
      <c r="E89" s="26">
        <v>95</v>
      </c>
      <c r="F89" s="26">
        <v>0</v>
      </c>
      <c r="H89" s="25">
        <v>61</v>
      </c>
      <c r="I89" s="25">
        <v>39747.89502756617</v>
      </c>
      <c r="J89" s="25">
        <v>952.10497243382997</v>
      </c>
    </row>
    <row r="90" spans="1:10" x14ac:dyDescent="0.25">
      <c r="A90" s="25" t="s">
        <v>94</v>
      </c>
      <c r="B90" s="26">
        <v>56600</v>
      </c>
      <c r="C90" s="26">
        <v>28912</v>
      </c>
      <c r="D90" s="26">
        <v>81</v>
      </c>
      <c r="E90" s="26">
        <v>93</v>
      </c>
      <c r="F90" s="26">
        <v>1</v>
      </c>
      <c r="H90" s="25">
        <v>62</v>
      </c>
      <c r="I90" s="25">
        <v>49341.018394753402</v>
      </c>
      <c r="J90" s="25">
        <v>658.98160524659761</v>
      </c>
    </row>
    <row r="91" spans="1:10" x14ac:dyDescent="0.25">
      <c r="A91" s="25" t="s">
        <v>95</v>
      </c>
      <c r="B91" s="26">
        <v>46500</v>
      </c>
      <c r="C91" s="26">
        <v>20845</v>
      </c>
      <c r="D91" s="26">
        <v>66</v>
      </c>
      <c r="E91" s="26">
        <v>86</v>
      </c>
      <c r="F91" s="26">
        <v>1</v>
      </c>
      <c r="H91" s="25">
        <v>63</v>
      </c>
      <c r="I91" s="25">
        <v>46909.296606150143</v>
      </c>
      <c r="J91" s="25">
        <v>-3009.2966061501429</v>
      </c>
    </row>
    <row r="92" spans="1:10" x14ac:dyDescent="0.25">
      <c r="A92" s="25" t="s">
        <v>96</v>
      </c>
      <c r="B92" s="26">
        <v>38900</v>
      </c>
      <c r="C92" s="26">
        <v>16681</v>
      </c>
      <c r="D92" s="26">
        <v>65</v>
      </c>
      <c r="E92" s="26">
        <v>90</v>
      </c>
      <c r="F92" s="26">
        <v>0</v>
      </c>
      <c r="H92" s="25">
        <v>64</v>
      </c>
      <c r="I92" s="25">
        <v>47278.690345740964</v>
      </c>
      <c r="J92" s="25">
        <v>-1778.6903457409644</v>
      </c>
    </row>
    <row r="93" spans="1:10" x14ac:dyDescent="0.25">
      <c r="A93" s="25" t="s">
        <v>97</v>
      </c>
      <c r="B93" s="26">
        <v>44400</v>
      </c>
      <c r="C93" s="26">
        <v>21455</v>
      </c>
      <c r="D93" s="26">
        <v>75</v>
      </c>
      <c r="E93" s="26">
        <v>91</v>
      </c>
      <c r="F93" s="26">
        <v>0</v>
      </c>
      <c r="H93" s="25">
        <v>65</v>
      </c>
      <c r="I93" s="25">
        <v>40719.106357831937</v>
      </c>
      <c r="J93" s="25">
        <v>-5119.1063578319372</v>
      </c>
    </row>
    <row r="94" spans="1:10" x14ac:dyDescent="0.25">
      <c r="A94" s="25" t="s">
        <v>98</v>
      </c>
      <c r="B94" s="26">
        <v>64500</v>
      </c>
      <c r="C94" s="26">
        <v>30206</v>
      </c>
      <c r="D94" s="26">
        <v>80</v>
      </c>
      <c r="E94" s="26">
        <v>95</v>
      </c>
      <c r="F94" s="26">
        <v>1</v>
      </c>
      <c r="H94" s="25">
        <v>66</v>
      </c>
      <c r="I94" s="25">
        <v>41651.698697175365</v>
      </c>
      <c r="J94" s="25">
        <v>2348.3013028246351</v>
      </c>
    </row>
    <row r="95" spans="1:10" x14ac:dyDescent="0.25">
      <c r="A95" s="25" t="s">
        <v>99</v>
      </c>
      <c r="B95" s="26">
        <v>43200</v>
      </c>
      <c r="C95" s="26">
        <v>25702</v>
      </c>
      <c r="D95" s="26">
        <v>67</v>
      </c>
      <c r="E95" s="26">
        <v>87</v>
      </c>
      <c r="F95" s="26">
        <v>1</v>
      </c>
      <c r="H95" s="25">
        <v>67</v>
      </c>
      <c r="I95" s="25">
        <v>40266.523070931165</v>
      </c>
      <c r="J95" s="25">
        <v>3633.4769290688346</v>
      </c>
    </row>
    <row r="96" spans="1:10" x14ac:dyDescent="0.25">
      <c r="A96" s="25" t="s">
        <v>100</v>
      </c>
      <c r="B96" s="26">
        <v>53200</v>
      </c>
      <c r="C96" s="26">
        <v>22389</v>
      </c>
      <c r="D96" s="26">
        <v>81</v>
      </c>
      <c r="E96" s="26">
        <v>96</v>
      </c>
      <c r="F96" s="26">
        <v>1</v>
      </c>
      <c r="H96" s="25">
        <v>68</v>
      </c>
      <c r="I96" s="25">
        <v>43487.544103368025</v>
      </c>
      <c r="J96" s="25">
        <v>-2287.5441033680254</v>
      </c>
    </row>
    <row r="97" spans="1:10" x14ac:dyDescent="0.25">
      <c r="A97" s="25" t="s">
        <v>101</v>
      </c>
      <c r="B97" s="26">
        <v>51400</v>
      </c>
      <c r="C97" s="26">
        <v>29362</v>
      </c>
      <c r="D97" s="26">
        <v>77</v>
      </c>
      <c r="E97" s="26">
        <v>92</v>
      </c>
      <c r="F97" s="26">
        <v>1</v>
      </c>
      <c r="H97" s="25">
        <v>69</v>
      </c>
      <c r="I97" s="25">
        <v>44994.014885930563</v>
      </c>
      <c r="J97" s="25">
        <v>13405.985114069437</v>
      </c>
    </row>
    <row r="98" spans="1:10" x14ac:dyDescent="0.25">
      <c r="A98" s="25" t="s">
        <v>102</v>
      </c>
      <c r="B98" s="26">
        <v>45900</v>
      </c>
      <c r="C98" s="26">
        <v>29140</v>
      </c>
      <c r="D98" s="26">
        <v>55</v>
      </c>
      <c r="E98" s="26">
        <v>86</v>
      </c>
      <c r="F98" s="26">
        <v>1</v>
      </c>
      <c r="H98" s="25">
        <v>70</v>
      </c>
      <c r="I98" s="25">
        <v>45843.757772049641</v>
      </c>
      <c r="J98" s="25">
        <v>56.242227950358938</v>
      </c>
    </row>
    <row r="99" spans="1:10" x14ac:dyDescent="0.25">
      <c r="A99" s="25" t="s">
        <v>103</v>
      </c>
      <c r="B99" s="26">
        <v>52400</v>
      </c>
      <c r="C99" s="26">
        <v>30394</v>
      </c>
      <c r="D99" s="26">
        <v>81</v>
      </c>
      <c r="E99" s="26">
        <v>90</v>
      </c>
      <c r="F99" s="26">
        <v>0</v>
      </c>
      <c r="H99" s="25">
        <v>71</v>
      </c>
      <c r="I99" s="25">
        <v>29034.544344284463</v>
      </c>
      <c r="J99" s="25">
        <v>5665.4556557155374</v>
      </c>
    </row>
    <row r="100" spans="1:10" x14ac:dyDescent="0.25">
      <c r="A100" s="25" t="s">
        <v>104</v>
      </c>
      <c r="B100" s="26">
        <v>51500</v>
      </c>
      <c r="C100" s="26">
        <v>32115</v>
      </c>
      <c r="D100" s="26">
        <v>78</v>
      </c>
      <c r="E100" s="26">
        <v>94</v>
      </c>
      <c r="F100" s="26">
        <v>1</v>
      </c>
      <c r="H100" s="25">
        <v>72</v>
      </c>
      <c r="I100" s="25">
        <v>56583.01034021494</v>
      </c>
      <c r="J100" s="25">
        <v>3016.9896597850602</v>
      </c>
    </row>
    <row r="101" spans="1:10" x14ac:dyDescent="0.25">
      <c r="A101" s="25" t="s">
        <v>105</v>
      </c>
      <c r="B101" s="26">
        <v>53800</v>
      </c>
      <c r="C101" s="26">
        <v>25057</v>
      </c>
      <c r="D101" s="26">
        <v>72</v>
      </c>
      <c r="E101" s="26">
        <v>91</v>
      </c>
      <c r="F101" s="26">
        <v>1</v>
      </c>
      <c r="H101" s="25">
        <v>73</v>
      </c>
      <c r="I101" s="25">
        <v>52413.535031503721</v>
      </c>
      <c r="J101" s="25">
        <v>3986.4649684962787</v>
      </c>
    </row>
    <row r="102" spans="1:10" x14ac:dyDescent="0.25">
      <c r="A102" s="25" t="s">
        <v>106</v>
      </c>
      <c r="B102" s="26">
        <v>55500</v>
      </c>
      <c r="C102" s="26">
        <v>26608</v>
      </c>
      <c r="D102" s="26">
        <v>85</v>
      </c>
      <c r="E102" s="26">
        <v>93</v>
      </c>
      <c r="F102" s="26">
        <v>1</v>
      </c>
      <c r="H102" s="25">
        <v>74</v>
      </c>
      <c r="I102" s="25">
        <v>44040.343567216936</v>
      </c>
      <c r="J102" s="25">
        <v>9059.6564327830638</v>
      </c>
    </row>
    <row r="103" spans="1:10" x14ac:dyDescent="0.25">
      <c r="A103" s="25" t="s">
        <v>107</v>
      </c>
      <c r="B103" s="26">
        <v>56300</v>
      </c>
      <c r="C103" s="26">
        <v>31593</v>
      </c>
      <c r="D103" s="26">
        <v>75</v>
      </c>
      <c r="E103" s="26">
        <v>92</v>
      </c>
      <c r="F103" s="26">
        <v>1</v>
      </c>
      <c r="H103" s="25">
        <v>75</v>
      </c>
      <c r="I103" s="25">
        <v>33869.570220001398</v>
      </c>
      <c r="J103" s="25">
        <v>5730.4297799986016</v>
      </c>
    </row>
    <row r="104" spans="1:10" x14ac:dyDescent="0.25">
      <c r="A104" s="25" t="s">
        <v>108</v>
      </c>
      <c r="B104" s="26">
        <v>61000</v>
      </c>
      <c r="C104" s="26">
        <v>31915</v>
      </c>
      <c r="D104" s="26">
        <v>68</v>
      </c>
      <c r="E104" s="26">
        <v>87</v>
      </c>
      <c r="F104" s="26">
        <v>1</v>
      </c>
      <c r="H104" s="25">
        <v>76</v>
      </c>
      <c r="I104" s="25">
        <v>46798.080680468731</v>
      </c>
      <c r="J104" s="25">
        <v>1301.9193195312691</v>
      </c>
    </row>
    <row r="105" spans="1:10" x14ac:dyDescent="0.25">
      <c r="A105" s="25" t="s">
        <v>109</v>
      </c>
      <c r="B105" s="26">
        <v>44400</v>
      </c>
      <c r="C105" s="26">
        <v>27955</v>
      </c>
      <c r="D105" s="26">
        <v>59</v>
      </c>
      <c r="E105" s="26">
        <v>87</v>
      </c>
      <c r="F105" s="26">
        <v>1</v>
      </c>
      <c r="H105" s="25">
        <v>77</v>
      </c>
      <c r="I105" s="25">
        <v>44113.064356287126</v>
      </c>
      <c r="J105" s="25">
        <v>-1313.0643562871264</v>
      </c>
    </row>
    <row r="106" spans="1:10" x14ac:dyDescent="0.25">
      <c r="A106" s="25" t="s">
        <v>110</v>
      </c>
      <c r="B106" s="26">
        <v>66400</v>
      </c>
      <c r="C106" s="26">
        <v>30318</v>
      </c>
      <c r="D106" s="26">
        <v>57</v>
      </c>
      <c r="E106" s="26">
        <v>89</v>
      </c>
      <c r="F106" s="26">
        <v>1</v>
      </c>
      <c r="H106" s="25">
        <v>78</v>
      </c>
      <c r="I106" s="25">
        <v>45676.869470144462</v>
      </c>
      <c r="J106" s="25">
        <v>-3176.869470144462</v>
      </c>
    </row>
    <row r="107" spans="1:10" x14ac:dyDescent="0.25">
      <c r="A107" s="25" t="s">
        <v>111</v>
      </c>
      <c r="B107" s="26">
        <v>43200</v>
      </c>
      <c r="C107" s="26">
        <v>22124</v>
      </c>
      <c r="D107" s="26">
        <v>64</v>
      </c>
      <c r="E107" s="26">
        <v>90</v>
      </c>
      <c r="F107" s="26">
        <v>0</v>
      </c>
      <c r="H107" s="25">
        <v>79</v>
      </c>
      <c r="I107" s="25">
        <v>48921.194256197261</v>
      </c>
      <c r="J107" s="25">
        <v>-1721.194256197261</v>
      </c>
    </row>
    <row r="108" spans="1:10" x14ac:dyDescent="0.25">
      <c r="A108" s="25" t="s">
        <v>112</v>
      </c>
      <c r="B108" s="26">
        <v>49900</v>
      </c>
      <c r="C108" s="26">
        <v>26491</v>
      </c>
      <c r="D108" s="26">
        <v>76</v>
      </c>
      <c r="E108" s="26">
        <v>93</v>
      </c>
      <c r="F108" s="26">
        <v>0</v>
      </c>
      <c r="H108" s="25">
        <v>80</v>
      </c>
      <c r="I108" s="25">
        <v>46834.698804332911</v>
      </c>
      <c r="J108" s="25">
        <v>-4634.6988043329111</v>
      </c>
    </row>
    <row r="109" spans="1:10" x14ac:dyDescent="0.25">
      <c r="A109" s="25" t="s">
        <v>113</v>
      </c>
      <c r="B109" s="26">
        <v>48300</v>
      </c>
      <c r="C109" s="26">
        <v>30255</v>
      </c>
      <c r="D109" s="26">
        <v>69</v>
      </c>
      <c r="E109" s="26">
        <v>92</v>
      </c>
      <c r="F109" s="26">
        <v>0</v>
      </c>
      <c r="H109" s="25">
        <v>81</v>
      </c>
      <c r="I109" s="25">
        <v>44674.747020279938</v>
      </c>
      <c r="J109" s="25">
        <v>2225.2529797200623</v>
      </c>
    </row>
    <row r="110" spans="1:10" x14ac:dyDescent="0.25">
      <c r="A110" s="25" t="s">
        <v>114</v>
      </c>
      <c r="B110" s="26">
        <v>33600</v>
      </c>
      <c r="C110" s="26">
        <v>19739</v>
      </c>
      <c r="D110" s="26">
        <v>57</v>
      </c>
      <c r="E110" s="26">
        <v>86</v>
      </c>
      <c r="F110" s="26">
        <v>0</v>
      </c>
      <c r="H110" s="25">
        <v>82</v>
      </c>
      <c r="I110" s="25">
        <v>53855.77762267043</v>
      </c>
      <c r="J110" s="25">
        <v>1344.22237732957</v>
      </c>
    </row>
    <row r="111" spans="1:10" x14ac:dyDescent="0.25">
      <c r="A111" s="25" t="s">
        <v>115</v>
      </c>
      <c r="B111" s="26">
        <v>43100</v>
      </c>
      <c r="C111" s="26">
        <v>18292</v>
      </c>
      <c r="D111" s="26">
        <v>59</v>
      </c>
      <c r="E111" s="26">
        <v>82</v>
      </c>
      <c r="F111" s="26">
        <v>0</v>
      </c>
      <c r="H111" s="25">
        <v>83</v>
      </c>
      <c r="I111" s="25">
        <v>50627.530090050022</v>
      </c>
      <c r="J111" s="25">
        <v>772.46990994997759</v>
      </c>
    </row>
    <row r="112" spans="1:10" x14ac:dyDescent="0.25">
      <c r="A112" s="25" t="s">
        <v>116</v>
      </c>
      <c r="B112" s="26">
        <v>55100</v>
      </c>
      <c r="C112" s="26">
        <v>28517</v>
      </c>
      <c r="D112" s="26">
        <v>61</v>
      </c>
      <c r="E112" s="26">
        <v>92</v>
      </c>
      <c r="F112" s="26">
        <v>1</v>
      </c>
      <c r="H112" s="25">
        <v>84</v>
      </c>
      <c r="I112" s="25">
        <v>48087.4828849572</v>
      </c>
      <c r="J112" s="25">
        <v>-1687.4828849572004</v>
      </c>
    </row>
    <row r="113" spans="1:10" x14ac:dyDescent="0.25">
      <c r="A113" s="25" t="s">
        <v>117</v>
      </c>
      <c r="B113" s="26">
        <v>45100</v>
      </c>
      <c r="C113" s="26">
        <v>33181</v>
      </c>
      <c r="D113" s="26">
        <v>67</v>
      </c>
      <c r="E113" s="26">
        <v>86</v>
      </c>
      <c r="F113" s="26">
        <v>0</v>
      </c>
      <c r="H113" s="25">
        <v>85</v>
      </c>
      <c r="I113" s="25">
        <v>47818.450982237351</v>
      </c>
      <c r="J113" s="25">
        <v>-2718.4509822373511</v>
      </c>
    </row>
    <row r="114" spans="1:10" x14ac:dyDescent="0.25">
      <c r="A114" s="25" t="s">
        <v>118</v>
      </c>
      <c r="B114" s="26">
        <v>51700</v>
      </c>
      <c r="C114" s="26">
        <v>27387</v>
      </c>
      <c r="D114" s="26">
        <v>56</v>
      </c>
      <c r="E114" s="26">
        <v>83</v>
      </c>
      <c r="F114" s="26">
        <v>0</v>
      </c>
      <c r="H114" s="25">
        <v>86</v>
      </c>
      <c r="I114" s="25">
        <v>43058.075237565645</v>
      </c>
      <c r="J114" s="25">
        <v>-458.07523756564478</v>
      </c>
    </row>
    <row r="115" spans="1:10" x14ac:dyDescent="0.25">
      <c r="A115" s="25" t="s">
        <v>119</v>
      </c>
      <c r="B115" s="26">
        <v>49200</v>
      </c>
      <c r="C115" s="26">
        <v>30312</v>
      </c>
      <c r="D115" s="26">
        <v>78</v>
      </c>
      <c r="E115" s="26">
        <v>93</v>
      </c>
      <c r="F115" s="26">
        <v>1</v>
      </c>
      <c r="H115" s="25">
        <v>87</v>
      </c>
      <c r="I115" s="25">
        <v>46352.645573497561</v>
      </c>
      <c r="J115" s="25">
        <v>3547.3544265024393</v>
      </c>
    </row>
    <row r="116" spans="1:10" x14ac:dyDescent="0.25">
      <c r="A116" s="25" t="s">
        <v>120</v>
      </c>
      <c r="B116" s="26">
        <v>36100</v>
      </c>
      <c r="C116" s="26">
        <v>15311</v>
      </c>
      <c r="D116" s="26">
        <v>54</v>
      </c>
      <c r="E116" s="26">
        <v>76</v>
      </c>
      <c r="F116" s="26">
        <v>1</v>
      </c>
      <c r="H116" s="25">
        <v>88</v>
      </c>
      <c r="I116" s="25">
        <v>47655.662392452483</v>
      </c>
      <c r="J116" s="25">
        <v>2344.3376075475171</v>
      </c>
    </row>
    <row r="117" spans="1:10" x14ac:dyDescent="0.25">
      <c r="A117" s="25" t="s">
        <v>121</v>
      </c>
      <c r="B117" s="26">
        <v>42700</v>
      </c>
      <c r="C117" s="26">
        <v>26616</v>
      </c>
      <c r="D117" s="26">
        <v>64</v>
      </c>
      <c r="E117" s="26">
        <v>90</v>
      </c>
      <c r="F117" s="26">
        <v>1</v>
      </c>
      <c r="H117" s="25">
        <v>89</v>
      </c>
      <c r="I117" s="25">
        <v>52689.476913874772</v>
      </c>
      <c r="J117" s="25">
        <v>3910.5230861252276</v>
      </c>
    </row>
    <row r="118" spans="1:10" x14ac:dyDescent="0.25">
      <c r="H118" s="25">
        <v>90</v>
      </c>
      <c r="I118" s="25">
        <v>45519.19546697881</v>
      </c>
      <c r="J118" s="25">
        <v>980.80453302118985</v>
      </c>
    </row>
    <row r="119" spans="1:10" x14ac:dyDescent="0.25">
      <c r="H119" s="25">
        <v>91</v>
      </c>
      <c r="I119" s="25">
        <v>41569.239848292324</v>
      </c>
      <c r="J119" s="25">
        <v>-2669.2398482923236</v>
      </c>
    </row>
    <row r="120" spans="1:10" x14ac:dyDescent="0.25">
      <c r="H120" s="25">
        <v>92</v>
      </c>
      <c r="I120" s="25">
        <v>45567.985770814063</v>
      </c>
      <c r="J120" s="25">
        <v>-1167.9857708140626</v>
      </c>
    </row>
    <row r="121" spans="1:10" x14ac:dyDescent="0.25">
      <c r="H121" s="25">
        <v>93</v>
      </c>
      <c r="I121" s="25">
        <v>53357.113074902714</v>
      </c>
      <c r="J121" s="25">
        <v>11142.886925097286</v>
      </c>
    </row>
    <row r="122" spans="1:10" x14ac:dyDescent="0.25">
      <c r="H122" s="25">
        <v>94</v>
      </c>
      <c r="I122" s="25">
        <v>47951.149051022112</v>
      </c>
      <c r="J122" s="25">
        <v>-4751.149051022112</v>
      </c>
    </row>
    <row r="123" spans="1:10" x14ac:dyDescent="0.25">
      <c r="H123" s="25">
        <v>95</v>
      </c>
      <c r="I123" s="25">
        <v>50276.969033072659</v>
      </c>
      <c r="J123" s="25">
        <v>2923.0309669273411</v>
      </c>
    </row>
    <row r="124" spans="1:10" x14ac:dyDescent="0.25">
      <c r="H124" s="25">
        <v>96</v>
      </c>
      <c r="I124" s="25">
        <v>52031.314190404475</v>
      </c>
      <c r="J124" s="25">
        <v>-631.31419040447508</v>
      </c>
    </row>
    <row r="125" spans="1:10" x14ac:dyDescent="0.25">
      <c r="H125" s="25">
        <v>97</v>
      </c>
      <c r="I125" s="25">
        <v>47167.71751606022</v>
      </c>
      <c r="J125" s="25">
        <v>-1267.7175160602201</v>
      </c>
    </row>
    <row r="126" spans="1:10" x14ac:dyDescent="0.25">
      <c r="H126" s="25">
        <v>98</v>
      </c>
      <c r="I126" s="25">
        <v>50382.795473154976</v>
      </c>
      <c r="J126" s="25">
        <v>2017.2045268450238</v>
      </c>
    </row>
    <row r="127" spans="1:10" x14ac:dyDescent="0.25">
      <c r="H127" s="25">
        <v>99</v>
      </c>
      <c r="I127" s="25">
        <v>53689.687418805595</v>
      </c>
      <c r="J127" s="25">
        <v>-2189.6874188055954</v>
      </c>
    </row>
    <row r="128" spans="1:10" x14ac:dyDescent="0.25">
      <c r="H128" s="25">
        <v>100</v>
      </c>
      <c r="I128" s="25">
        <v>49127.037391748992</v>
      </c>
      <c r="J128" s="25">
        <v>4672.9626082510076</v>
      </c>
    </row>
    <row r="129" spans="8:10" x14ac:dyDescent="0.25">
      <c r="H129" s="25">
        <v>101</v>
      </c>
      <c r="I129" s="25">
        <v>52399.831133652646</v>
      </c>
      <c r="J129" s="25">
        <v>3100.1688663473542</v>
      </c>
    </row>
    <row r="130" spans="8:10" x14ac:dyDescent="0.25">
      <c r="H130" s="25">
        <v>102</v>
      </c>
      <c r="I130" s="25">
        <v>52645.409081329592</v>
      </c>
      <c r="J130" s="25">
        <v>3654.5909186704084</v>
      </c>
    </row>
    <row r="131" spans="8:10" x14ac:dyDescent="0.25">
      <c r="H131" s="25">
        <v>103</v>
      </c>
      <c r="I131" s="25">
        <v>50831.36746094955</v>
      </c>
      <c r="J131" s="25">
        <v>10168.63253905045</v>
      </c>
    </row>
    <row r="132" spans="8:10" x14ac:dyDescent="0.25">
      <c r="H132" s="25">
        <v>104</v>
      </c>
      <c r="I132" s="25">
        <v>47506.21858930037</v>
      </c>
      <c r="J132" s="25">
        <v>-3106.2185893003698</v>
      </c>
    </row>
    <row r="133" spans="8:10" x14ac:dyDescent="0.25">
      <c r="H133" s="25">
        <v>105</v>
      </c>
      <c r="I133" s="25">
        <v>48460.678703633457</v>
      </c>
      <c r="J133" s="25">
        <v>17939.321296366543</v>
      </c>
    </row>
    <row r="134" spans="8:10" x14ac:dyDescent="0.25">
      <c r="H134" s="25">
        <v>106</v>
      </c>
      <c r="I134" s="25">
        <v>43758.376805824235</v>
      </c>
      <c r="J134" s="25">
        <v>-558.37680582423491</v>
      </c>
    </row>
    <row r="135" spans="8:10" x14ac:dyDescent="0.25">
      <c r="H135" s="25">
        <v>107</v>
      </c>
      <c r="I135" s="25">
        <v>48219.267227072909</v>
      </c>
      <c r="J135" s="25">
        <v>1680.732772927091</v>
      </c>
    </row>
    <row r="136" spans="8:10" x14ac:dyDescent="0.25">
      <c r="H136" s="25">
        <v>108</v>
      </c>
      <c r="I136" s="25">
        <v>48468.11214117059</v>
      </c>
      <c r="J136" s="25">
        <v>-168.11214117058989</v>
      </c>
    </row>
    <row r="137" spans="8:10" x14ac:dyDescent="0.25">
      <c r="H137" s="25">
        <v>109</v>
      </c>
      <c r="I137" s="25">
        <v>40908.501802470346</v>
      </c>
      <c r="J137" s="25">
        <v>-7308.5018024703459</v>
      </c>
    </row>
    <row r="138" spans="8:10" x14ac:dyDescent="0.25">
      <c r="H138" s="25">
        <v>110</v>
      </c>
      <c r="I138" s="25">
        <v>40069.466137438409</v>
      </c>
      <c r="J138" s="25">
        <v>3030.5338625615914</v>
      </c>
    </row>
    <row r="139" spans="8:10" x14ac:dyDescent="0.25">
      <c r="H139" s="25">
        <v>111</v>
      </c>
      <c r="I139" s="25">
        <v>48814.22947052354</v>
      </c>
      <c r="J139" s="25">
        <v>6285.7705294764601</v>
      </c>
    </row>
    <row r="140" spans="8:10" x14ac:dyDescent="0.25">
      <c r="H140" s="25">
        <v>112</v>
      </c>
      <c r="I140" s="25">
        <v>48535.602328403918</v>
      </c>
      <c r="J140" s="25">
        <v>-3435.6023284039184</v>
      </c>
    </row>
    <row r="141" spans="8:10" x14ac:dyDescent="0.25">
      <c r="H141" s="25">
        <v>113</v>
      </c>
      <c r="I141" s="25">
        <v>43632.18880992847</v>
      </c>
      <c r="J141" s="25">
        <v>8067.8111900715303</v>
      </c>
    </row>
    <row r="142" spans="8:10" x14ac:dyDescent="0.25">
      <c r="H142" s="25">
        <v>114</v>
      </c>
      <c r="I142" s="25">
        <v>52764.059519414848</v>
      </c>
      <c r="J142" s="25">
        <v>-3564.0595194148482</v>
      </c>
    </row>
    <row r="143" spans="8:10" x14ac:dyDescent="0.25">
      <c r="H143" s="25">
        <v>115</v>
      </c>
      <c r="I143" s="25">
        <v>39560.412527867229</v>
      </c>
      <c r="J143" s="25">
        <v>-3460.4125278672291</v>
      </c>
    </row>
    <row r="144" spans="8:10" x14ac:dyDescent="0.25">
      <c r="H144" s="25">
        <v>116</v>
      </c>
      <c r="I144" s="25">
        <v>48238.79844574567</v>
      </c>
      <c r="J144" s="25">
        <v>-5538.7984457456696</v>
      </c>
    </row>
  </sheetData>
  <hyperlinks>
    <hyperlink ref="A27" r:id="rId1" display="http://www.collegexpress.com/college/eckerd-college/2400086/details/" xr:uid="{91538007-ADAD-4EBF-B4FA-583DF7F09395}"/>
    <hyperlink ref="A38" r:id="rId2" display="http://www.collegexpress.com/college/goucher-college/2800138/details/" xr:uid="{83768351-61F2-4130-8EC6-90DCF2B5DB21}"/>
    <hyperlink ref="A44" r:id="rId3" display="http://www.collegexpress.com/college/ithaca-college/1100770/details/" xr:uid="{6A98C15D-90C0-48AA-BF07-85EEAB63F5AA}"/>
    <hyperlink ref="A71" r:id="rId4" display="http://www.collegexpress.com/college/pacific-lutheran-university/2600154/details/" xr:uid="{6C2F5375-86F1-4E30-AE1D-A139CDAC0026}"/>
    <hyperlink ref="A83" r:id="rId5" display="http://www.collegexpress.com/college/seattle-university/1100498/details/" xr:uid="{7C3C9D71-36AD-4D49-B1C6-41BC525D2651}"/>
    <hyperlink ref="A90" r:id="rId6" display="http://www.collegexpress.com/college/syracuse-university/1100182/details/" xr:uid="{B20867FC-0C8E-4589-A66F-D052764DE049}"/>
    <hyperlink ref="A96" r:id="rId7" display="http://www.collegexpress.com/college/trinity-university/1100480/details/" xr:uid="{C5881BEA-5CC7-48B1-BD62-133FAC7AFC2A}"/>
    <hyperlink ref="A100" r:id="rId8" display="http://www.collegexpress.com/college/university-of-puget-sound/1100593/details/" xr:uid="{F6469587-3942-4FB1-86FF-06B8F4744A48}"/>
    <hyperlink ref="A101" r:id="rId9" display="http://www.collegexpress.com/college/university-of-redlands/1100901/details/" xr:uid="{873D10CC-EEF4-4F1E-BE38-7D14C30D041D}"/>
    <hyperlink ref="A106" r:id="rId10" display="http://www.collegexpress.com/college/university-of-the-pacific/1100551/details/" xr:uid="{61CA9971-26FD-48EF-9DC7-B907D3F98748}"/>
    <hyperlink ref="A113" r:id="rId11" display="http://www.collegexpress.com/college/whittier-college/1100922/details/" xr:uid="{47E970A1-F135-4EF2-9E0B-7BFD76BF355D}"/>
    <hyperlink ref="A115" r:id="rId12" display="http://www.collegexpress.com/college/willamette-university/1100388/details/" xr:uid="{BEBE72CA-6497-4598-851C-0A2059183CD2}"/>
    <hyperlink ref="A3" r:id="rId13" display="http://www.collegexpress.com/college/albion-college/2100002/details/" xr:uid="{FD40740E-4BBD-42DC-A5D1-3C5CB5BD6111}"/>
    <hyperlink ref="A4" r:id="rId14" display="http://www.collegexpress.com/college/alfred-university/1100014/details/" xr:uid="{45F7BB9F-0231-45F1-B301-0FBDB73743ED}"/>
    <hyperlink ref="A5" r:id="rId15" display="http://www.collegexpress.com/college/allegheny-college/1100015/details/" xr:uid="{E5F083E5-3F19-4200-8569-96792209D94D}"/>
    <hyperlink ref="A6" r:id="rId16" display="http://www.collegexpress.com/college/beloit-college/2100202/details/" xr:uid="{FDB64F89-478B-4966-BE2E-373CBAB672DB}"/>
    <hyperlink ref="A7" r:id="rId17" display="http://www.collegexpress.com/college/bentley-university/1100184/details/" xr:uid="{C9EE00F5-70B4-4CE1-9D14-D7F826E63F9D}"/>
    <hyperlink ref="A8" r:id="rId18" display="http://www.collegexpress.com/college/boston-university/1100198/details/" xr:uid="{B3457658-B7EB-477B-A01A-8E99B3E73282}"/>
    <hyperlink ref="A9" r:id="rId19" display="http://www.collegexpress.com/college/california-lutheran-university/1100675/details/" xr:uid="{FA3A73CA-4D82-4F97-B1D1-13B27B23B93E}"/>
    <hyperlink ref="A10" r:id="rId20" display="http://www.collegexpress.com/college/carroll-college/1100993/details/" xr:uid="{89AC4DF9-E866-4C53-92E2-43601F866443}"/>
    <hyperlink ref="A11" r:id="rId21" display="http://www.collegexpress.com/college/catholic-university-of-america/2400062/details/" xr:uid="{1BA7A9BE-04F3-4516-A5FB-F274B77FAD40}"/>
    <hyperlink ref="A12" r:id="rId22" display="http://www.collegexpress.com/college/cedar-crest-college/1100278/details/" xr:uid="{F461B63A-8273-4B49-9BE4-715CB346BB00}"/>
    <hyperlink ref="A13" r:id="rId23" display="http://www.collegexpress.com/college/champlain-college/3000090/details/" xr:uid="{44781E9C-EC45-4BF3-B639-6EAC4021773D}"/>
    <hyperlink ref="A14" r:id="rId24" display="http://www.collegexpress.com/college/chapman-university/1100371/details/" xr:uid="{E4BF5068-2706-4435-834A-A81CCE6DA0FB}"/>
    <hyperlink ref="A15" r:id="rId25" display="http://www.collegexpress.com/college/clark-university/1100294/details/" xr:uid="{8149747E-5C5F-450F-A6CE-6455E2B3AEBD}"/>
    <hyperlink ref="A16" r:id="rId26" display="http://www.collegexpress.com/college/colby-sawyer-college/1100311/details/" xr:uid="{21C343A1-8DA9-40F0-BFA0-B2C231FB9931}"/>
    <hyperlink ref="A17" r:id="rId27" display="http://www.collegexpress.com/college/college-of-mount-st-vincent/1100328/details/" xr:uid="{45CBB1BC-A224-49A0-95C0-C2B10D4CE535}"/>
    <hyperlink ref="A18" r:id="rId28" display="http://www.collegexpress.com/college/college-of-st-benedict/2100363/details/" xr:uid="{2B4CD9B6-8C9A-48AF-BA39-5E6DD282B4CE}"/>
    <hyperlink ref="A19" r:id="rId29" display="http://www.collegexpress.com/college/davis-elkins-college/1100579/details/" xr:uid="{D08B4103-DDBF-42A8-BA1E-D1E6CB266BF2}"/>
    <hyperlink ref="A20" r:id="rId30" display="http://www.collegexpress.com/college/desales-university/1100016/details/" xr:uid="{06CDAC37-F650-4DD3-B638-E8C9E727CF0F}"/>
    <hyperlink ref="A21" r:id="rId31" display="http://www.collegexpress.com/college/dickinson-college/1100937/details/" xr:uid="{280068BB-4F58-4A89-B189-41A9A2965A6D}"/>
    <hyperlink ref="A22" r:id="rId32" display="http://www.collegexpress.com/college/doane-college/1100947/details/" xr:uid="{C125C3F7-0A81-460A-AD90-19ACDBA94E48}"/>
    <hyperlink ref="A25" r:id="rId33" display="http://www.collegexpress.com/college/drexel-university/2100315/details/" xr:uid="{433FC97F-69AD-4EE8-ADEA-C593142CEFC8}"/>
    <hyperlink ref="A28" r:id="rId34" display="http://www.collegexpress.com/college/elmhurst-college/2800099/details/" xr:uid="{563F7CDA-A115-44D9-95E9-FA7A00080F2A}"/>
    <hyperlink ref="A29" r:id="rId35" display="http://www.collegexpress.com/college/elmira-college/2100318/details/" xr:uid="{98E80845-468D-488B-A812-939227C120B8}"/>
    <hyperlink ref="A30" r:id="rId36" display="http://www.collegexpress.com/college/elon-university/2800145/details/" xr:uid="{D009F1A3-FC4A-450B-816F-E316D4029C5F}"/>
    <hyperlink ref="A31" r:id="rId37" display="http://www.collegexpress.com/college/endicott-college/3000052/details/" xr:uid="{23D2562E-E583-4F11-B60C-851684EF56C9}"/>
    <hyperlink ref="A32" r:id="rId38" display="http://www.collegexpress.com/college/florida-southern-college/1100805/details/" xr:uid="{E904FE17-EB52-4CED-B844-898AEEF41803}"/>
    <hyperlink ref="A33" r:id="rId39" display="http://www.collegexpress.com/college/fort-lewis-college/1100354/details/" xr:uid="{72FDC685-6474-40DE-94EE-1472C799ADAB}"/>
    <hyperlink ref="A34" r:id="rId40" display="http://www.collegexpress.com/college/franklin-pierce-university/2100321/details/" xr:uid="{D302D8E8-EE43-43EC-9886-38C9DE84055A}"/>
    <hyperlink ref="A35" r:id="rId41" display="http://www.collegexpress.com/college/fresno-pacific-university/1100945/details/" xr:uid="{E2427CB5-338D-4569-A910-1F375A3793BD}"/>
    <hyperlink ref="A36" r:id="rId42" display="http://www.collegexpress.com/college/george-fox-university/1100674/details/" xr:uid="{D5444420-D46C-4172-96C0-A51F9C44D607}"/>
    <hyperlink ref="A37" r:id="rId43" display="http://www.collegexpress.com/college/gonzaga-university/1100456/details/" xr:uid="{15BE3CBC-51D7-4B65-995C-411468E36D98}"/>
    <hyperlink ref="A39" r:id="rId44" display="http://www.collegexpress.com/college/gustavus-adolphus-college/2800067/details/" xr:uid="{CC19F291-8ACF-49B9-AA7A-D417F69951AF}"/>
    <hyperlink ref="A40" r:id="rId45" display="http://www.collegexpress.com/college/hawaii-pacific-university/1100361/details/" xr:uid="{ACC3C107-061E-40E4-8412-D87B8CCABA97}"/>
    <hyperlink ref="A41" r:id="rId46" display="http://www.collegexpress.com/college/hendrix-college/2400118/details/" xr:uid="{782163CC-DB46-4F2B-B6B1-2570954CD6F1}"/>
    <hyperlink ref="A42" r:id="rId47" display="http://www.collegexpress.com/college/hobart-and-william-smith-colleges/2100326/details/" xr:uid="{9E1E1A36-2B5E-42B6-A6FB-4EB75E231D69}"/>
    <hyperlink ref="A43" r:id="rId48" display="http://www.collegexpress.com/college/hollins-university/2400093/details/" xr:uid="{E6796401-CD7D-4104-B552-1E58DEE5BE83}"/>
    <hyperlink ref="A45" r:id="rId49" display="http://www.collegexpress.com/college/johnson-wales-university-at-denver/3000421/details/" xr:uid="{E7A26ED1-945C-4AAE-86C0-1659D8E8ECB4}"/>
    <hyperlink ref="A46" r:id="rId50" display="http://www.collegexpress.com/college/juniata-college/2100350/details/" xr:uid="{E1AE6289-3800-4B3C-9AA2-AE67399D95C2}"/>
    <hyperlink ref="A47" r:id="rId51" display="http://www.collegexpress.com/college/kalamazoo-college/2800079/details/" xr:uid="{3BDD372C-AD65-42C4-B476-A995D2AE6642}"/>
    <hyperlink ref="A48" r:id="rId52" display="http://www.collegexpress.com/college/lake-forest-college/2800080/details/" xr:uid="{4CF6FC2C-5185-45DE-AF07-6DAE509E0BAE}"/>
    <hyperlink ref="A49" r:id="rId53" display="http://www.collegexpress.com/college/lasell-college/3000093/details/" xr:uid="{43D41150-E1D9-47D6-A37C-003C33CAE39B}"/>
    <hyperlink ref="A50" r:id="rId54" display="http://www.collegexpress.com/college/lesley-university/2100338/details/" xr:uid="{9B15DE5F-D2B4-4CD9-B0A2-19266F5AC273}"/>
    <hyperlink ref="A51" r:id="rId55" display="http://www.collegexpress.com/college/lewis-and-clark-college/1100990/details/" xr:uid="{5BC5C901-E0A8-4E25-8010-88FC1BD45936}"/>
    <hyperlink ref="A52" r:id="rId56" display="http://www.collegexpress.com/college/linfield-college/1100449/details/" xr:uid="{9B21ED50-994B-4B2B-954D-C3CCD1335026}"/>
    <hyperlink ref="A53" r:id="rId57" display="http://www.collegexpress.com/college/long-island-university-cw-post-campus/2100349/details/" xr:uid="{522A1C55-25ED-49B1-9B19-95966794512B}"/>
    <hyperlink ref="A54" r:id="rId58" display="http://www.collegexpress.com/college/loyola-university-new-orleans/2400207/details/" xr:uid="{9EC21F24-A8AF-41B3-973F-982F3028BE8B}"/>
    <hyperlink ref="A55" r:id="rId59" display="http://www.collegexpress.com/college/lycoming-college/2100340/details/" xr:uid="{76C0D644-DAE5-48EB-A514-E9383D272558}"/>
    <hyperlink ref="A56" r:id="rId60" display="http://www.collegexpress.com/college/lynn-university/2400049/details/" xr:uid="{EC4C0647-FD99-434F-9D5A-F011584231B0}"/>
    <hyperlink ref="A57" r:id="rId61" display="http://www.collegexpress.com/college/marietta-college/2100280/details/" xr:uid="{4A7A9BBB-EC72-47AD-B43D-70D18368B7D1}"/>
    <hyperlink ref="A58" r:id="rId62" display="http://www.collegexpress.com/college/mcdaniel-college/1100556/details/" xr:uid="{9465EE8C-2EF6-4C56-99FD-C146988FCBA9}"/>
    <hyperlink ref="A59" r:id="rId63" display="http://www.collegexpress.com/college/menlo-college/1100402/details/" xr:uid="{D422F862-A60B-4553-9AE3-5B2B5486B812}"/>
    <hyperlink ref="A60" r:id="rId64" display="http://www.collegexpress.com/college/meredith-college/1100863/details/" xr:uid="{EA8B1D86-8CF3-4DCD-A587-88A5DD50998A}"/>
    <hyperlink ref="A61" r:id="rId65" display="http://www.collegexpress.com/college/mills-college/1100891/details/" xr:uid="{DDEF28E5-ABF3-4814-89AB-27EBF109B483}"/>
    <hyperlink ref="A62" r:id="rId66" display="http://www.collegexpress.com/college/monmouth-college/1100567/details/" xr:uid="{D8AA9F9B-EDB4-4FC3-A448-077D45EA3FA4}"/>
    <hyperlink ref="A63" r:id="rId67" display="http://www.collegexpress.com/college/moravian-college/1100321/details/" xr:uid="{299580B6-0627-4BC4-8B99-4CA134BB27CE}"/>
    <hyperlink ref="A64" r:id="rId68" display="http://www.collegexpress.com/college/nazareth-college-of-rochester/1100335/details/" xr:uid="{16004665-1094-4476-8B31-D397CB081472}"/>
    <hyperlink ref="A65" r:id="rId69" display="http://www.collegexpress.com/college/nebraska-wesleyan-university/1100894/details/" xr:uid="{ED965A80-F7C3-4CAB-9049-8A3EFB5E5AC8}"/>
    <hyperlink ref="A66" r:id="rId70" display="http://www.collegexpress.com/college/new-england-college/1100339/details/" xr:uid="{DDF6EE3E-27F7-40C2-88E8-90DB871E9BBA}"/>
    <hyperlink ref="A67" r:id="rId71" display="http://www.collegexpress.com/college/niagara-university/2800142/details/" xr:uid="{49974360-F685-4944-B4E1-29717F7C6333}"/>
    <hyperlink ref="A68" r:id="rId72" display="http://www.collegexpress.com/college/oglethorpe-university/2600081/details/" xr:uid="{A055D17F-CCF4-47C1-92B0-CBFEA21D09F8}"/>
    <hyperlink ref="A69" r:id="rId73" display="http://www.collegexpress.com/college/otterbein-university/2800103/details/" xr:uid="{1C07F78F-0B2B-4EA3-BC9D-CA3B28777313}"/>
    <hyperlink ref="A70" r:id="rId74" display="http://www.collegexpress.com/college/pace-university/1100090/details/" xr:uid="{5D335EE5-EF40-4D53-821A-3458F83E5C82}"/>
    <hyperlink ref="A72" r:id="rId75" display="http://www.collegexpress.com/college/pine-manor-college/1100129/details/" xr:uid="{621DC57B-33A0-4CAF-84DE-8881221348CA}"/>
    <hyperlink ref="A73" r:id="rId76" display="http://www.collegexpress.com/college/providence-college/1100162/details/" xr:uid="{19B60EEE-3ACA-4B8F-9374-F4C76D0A1675}"/>
    <hyperlink ref="A74" r:id="rId77" display="http://www.collegexpress.com/college/quinnipiac-university/1100164/details/" xr:uid="{C0229B5F-5536-477E-9DAF-E1D443597F62}"/>
    <hyperlink ref="A75" r:id="rId78" display="http://www.collegexpress.com/college/regis-university/1100409/details/" xr:uid="{A94D93FF-6984-4EF0-8D5C-7436F7AB70C6}"/>
    <hyperlink ref="A76" r:id="rId79" display="http://www.collegexpress.com/college/rhode-island-college/1100094/details/" xr:uid="{BCB81F20-D9AF-4BD8-9BED-3B912FB8D127}"/>
    <hyperlink ref="A77" r:id="rId80" display="http://www.collegexpress.com/college/rider-university/1100130/details/" xr:uid="{DF65548B-8119-4C0B-B02B-DF0B25F11837}"/>
    <hyperlink ref="A78" r:id="rId81" display="http://www.collegexpress.com/college/ripon-college/1100546/details/" xr:uid="{766F4BCB-5631-4D99-89A3-886872B6ACCE}"/>
    <hyperlink ref="A79" r:id="rId82" display="http://www.collegexpress.com/college/roanoke-college/2600101/details/" xr:uid="{C1ABEA85-F0FF-4822-9473-33D76F5006B1}"/>
    <hyperlink ref="A80" r:id="rId83" display="http://www.collegexpress.com/college/roger-williams-university/1100174/details/" xr:uid="{B43A5720-E68E-4819-8D71-FC8A1D7572ED}"/>
    <hyperlink ref="A81" r:id="rId84" display="http://www.collegexpress.com/college/rollins-college/1100718/details/" xr:uid="{8F6EFE22-3529-4E5E-BC6A-20E00C1489F5}"/>
    <hyperlink ref="A82" r:id="rId85" display="http://www.collegexpress.com/college/saint-francis-university/1100049/details/" xr:uid="{251953E0-9A6A-40C2-B7FA-9DE9116C71F8}"/>
    <hyperlink ref="A84" r:id="rId86" display="http://www.collegexpress.com/college/simmons-college/1100098/details/" xr:uid="{33B3B8FA-8AB1-49ED-97B2-A64031692A71}"/>
    <hyperlink ref="A85" r:id="rId87" display="http://www.collegexpress.com/college/spelman-college/2600130/details/" xr:uid="{47DF4B1B-3E95-4A88-B37D-68F0DE51173A}"/>
    <hyperlink ref="A86" r:id="rId88" display="http://www.collegexpress.com/college/springfield-college/1100113/details/" xr:uid="{6DA1742F-1336-441D-92EF-6C3B64802576}"/>
    <hyperlink ref="A88" r:id="rId89" display="http://www.collegexpress.com/college/suffolk-university/1100125/details/" xr:uid="{AFDCC617-9F19-44B8-A7E9-D355DF22E83B}"/>
    <hyperlink ref="A89" r:id="rId90" display="http://www.collegexpress.com/college/susquehanna-university/1100175/details/" xr:uid="{7DF64C96-F79E-4A30-B683-455207966A26}"/>
    <hyperlink ref="A91" r:id="rId91" display="http://www.collegexpress.com/college/temple-university/1100189/details/" xr:uid="{7036BF05-A773-464B-BF52-1180BC0D1A5C}"/>
    <hyperlink ref="A92" r:id="rId92" display="http://www.collegexpress.com/college/the-college-of-idaho/1100379/details/" xr:uid="{9D259BF9-786B-4AB8-B878-F3CBF52DE668}"/>
    <hyperlink ref="A93" r:id="rId93" display="http://www.collegexpress.com/college/the-college-of-wooster/2800003/details/" xr:uid="{F90B79C2-B79C-4A13-8716-920C6B5216C1}"/>
    <hyperlink ref="A94" r:id="rId94" display="http://www.collegexpress.com/college/the-george-washington-university/2400217/details/" xr:uid="{AF6829BC-5DC4-46CD-888D-B205F8FDBADD}"/>
    <hyperlink ref="A95" r:id="rId95" display="http://www.collegexpress.com/college/the-university-of-tulsa/1100475/details/" xr:uid="{ECBE45DC-ACFC-4465-892F-E84487EE1D12}"/>
    <hyperlink ref="A97" r:id="rId96" display="http://www.collegexpress.com/college/university-of-denver/1100408/details/" xr:uid="{282D79F7-64FF-41DE-9EAD-E872A9A4A653}"/>
    <hyperlink ref="A98" r:id="rId97" display="http://www.collegexpress.com/college/university-of-hartford/2100325/details/" xr:uid="{5A27C57B-F392-40B1-937C-EF11AFC96541}"/>
    <hyperlink ref="A99" r:id="rId98" display="http://www.collegexpress.com/college/university-of-miami/1100812/details/" xr:uid="{0747E827-C3A6-4DAA-9AD1-6D05115B7BAA}"/>
    <hyperlink ref="A102" r:id="rId99" display="http://www.collegexpress.com/college/university-of-rochester/1100166/details/" xr:uid="{C4B0ADCC-C44F-4182-A83A-84EAF227B73F}"/>
    <hyperlink ref="A103" r:id="rId100" display="http://www.collegexpress.com/college/university-of-san-diego/1100600/details/" xr:uid="{08C3CA66-C92A-42EC-8F6B-0BD0B4E7BA1E}"/>
    <hyperlink ref="A104" r:id="rId101" display="http://www.collegexpress.com/college/university-of-san-francisco/1100912/details/" xr:uid="{6FDC22CB-6CD2-413A-B51D-241F0105D4BF}"/>
    <hyperlink ref="A105" r:id="rId102" display="http://www.collegexpress.com/college/university-of-tampa/2600002/details/" xr:uid="{A1DB475C-AB07-4E5A-816D-FA9469FAA21A}"/>
    <hyperlink ref="A107" r:id="rId103" display="http://www.collegexpress.com/college/wartburg-college/2800033/details/" xr:uid="{E0F18402-601F-4EC6-916D-CDA6999BE6F4}"/>
    <hyperlink ref="A108" r:id="rId104" display="http://www.collegexpress.com/college/washington-jefferson-college/1100247/details/" xr:uid="{B1D3B634-74C9-4BC5-B795-D516A18163DA}"/>
    <hyperlink ref="A109" r:id="rId105" display="http://www.collegexpress.com/college/washington-college/2600042/details/" xr:uid="{B91B882B-64D7-4498-81D4-FECE42C46F0F}"/>
    <hyperlink ref="A110" r:id="rId106" display="http://www.collegexpress.com/college/wells-college/1100258/details/" xr:uid="{3D2FF311-DE1F-4912-AEE4-CE21E2B6A7FB}"/>
    <hyperlink ref="A111" r:id="rId107" display="http://www.collegexpress.com/college/west-virginia-wesleyan-college/2600053/details/" xr:uid="{44F31067-D0AA-4B7B-9700-95A296EB887D}"/>
    <hyperlink ref="A112" r:id="rId108" display="http://www.collegexpress.com/college/western-new-england-university/1100273/details/" xr:uid="{319B7A74-9AD1-4DCD-ACC9-0DB183188D18}"/>
    <hyperlink ref="A114" r:id="rId109" display="http://www.collegexpress.com/college/widener-university/1100284/details/" xr:uid="{4652B617-9E17-4FD4-97EC-25D6F2564B6C}"/>
    <hyperlink ref="A116" r:id="rId110" display="http://www.collegexpress.com/college/winthrop-university/2600063/details/" xr:uid="{82D900E5-1BCC-47FA-A55A-CF0E6B389652}"/>
    <hyperlink ref="A117" r:id="rId111" display="http://www.collegexpress.com/college/wittenberg-university/2800004/details/" xr:uid="{9767FFAA-CFE9-4A9B-94D7-27BCD3807129}"/>
    <hyperlink ref="A24" r:id="rId112" display="http://www.collegexpress.com/college/drew-university/1100304/details/" xr:uid="{492073F8-6074-4291-89CF-352046442A56}"/>
  </hyperlinks>
  <pageMargins left="0.7" right="0.7" top="0.75" bottom="0.75" header="0.3" footer="0.3"/>
  <pageSetup orientation="portrait" r:id="rId113"/>
  <drawing r:id="rId1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54F1-E21E-9346-B9E2-EEB8389FF4ED}">
  <sheetPr>
    <pageSetUpPr fitToPage="1"/>
  </sheetPr>
  <dimension ref="A1:W244"/>
  <sheetViews>
    <sheetView zoomScaleNormal="100" workbookViewId="0">
      <selection activeCell="H1" sqref="H1"/>
    </sheetView>
  </sheetViews>
  <sheetFormatPr defaultColWidth="8.796875" defaultRowHeight="13.8" x14ac:dyDescent="0.25"/>
  <cols>
    <col min="1" max="1" width="9.296875" style="3" bestFit="1" customWidth="1"/>
    <col min="2" max="2" width="13.59765625" style="3" bestFit="1" customWidth="1"/>
    <col min="3" max="3" width="11.19921875" style="3" customWidth="1"/>
    <col min="4" max="4" width="11.69921875" style="3" customWidth="1"/>
    <col min="5" max="5" width="12.5" bestFit="1" customWidth="1"/>
    <col min="6" max="6" width="12.19921875" bestFit="1" customWidth="1"/>
    <col min="7" max="7" width="14.796875" bestFit="1" customWidth="1"/>
    <col min="9" max="9" width="9.19921875" bestFit="1" customWidth="1"/>
    <col min="10" max="10" width="16.19921875" bestFit="1" customWidth="1"/>
    <col min="11" max="11" width="17.5" bestFit="1" customWidth="1"/>
    <col min="12" max="12" width="12.796875" customWidth="1"/>
    <col min="13" max="13" width="12.19921875" bestFit="1" customWidth="1"/>
    <col min="14" max="17" width="14.19921875" bestFit="1" customWidth="1"/>
  </cols>
  <sheetData>
    <row r="1" spans="1:14" x14ac:dyDescent="0.25">
      <c r="A1" s="3" t="s">
        <v>122</v>
      </c>
      <c r="B1" s="2" t="s">
        <v>125</v>
      </c>
      <c r="C1" s="12" t="s">
        <v>124</v>
      </c>
      <c r="D1" s="2" t="s">
        <v>123</v>
      </c>
      <c r="E1" s="34" t="str">
        <f ca="1">"d1 "&amp;_xlfn.FORMULATEXT(E2)</f>
        <v>d1 =IF($B2=1,1,0)</v>
      </c>
      <c r="F1" s="34" t="str">
        <f ca="1">"d2 "&amp;_xlfn.FORMULATEXT(F2)</f>
        <v>d2 =IF($B2=2,1,0)</v>
      </c>
      <c r="G1" s="34" t="str">
        <f ca="1">"d3 "&amp;_xlfn.FORMULATEXT(G2)</f>
        <v>d3 =IF($B2=3,1,0)</v>
      </c>
    </row>
    <row r="2" spans="1:14" x14ac:dyDescent="0.25">
      <c r="A2" s="3">
        <v>2011</v>
      </c>
      <c r="B2" s="3">
        <v>1</v>
      </c>
      <c r="C2" s="6">
        <v>1059989</v>
      </c>
      <c r="D2" s="4">
        <v>15285.828</v>
      </c>
      <c r="E2">
        <f>IF($B2=1,1,0)</f>
        <v>1</v>
      </c>
      <c r="F2">
        <f>IF($B2=2,1,0)</f>
        <v>0</v>
      </c>
      <c r="G2">
        <f>IF($B2=3,1,0)</f>
        <v>0</v>
      </c>
      <c r="H2" s="7"/>
    </row>
    <row r="3" spans="1:14" x14ac:dyDescent="0.25">
      <c r="A3" s="3">
        <v>2011</v>
      </c>
      <c r="B3" s="3">
        <v>2</v>
      </c>
      <c r="C3" s="6">
        <v>1161474</v>
      </c>
      <c r="D3" s="4">
        <v>15496.189</v>
      </c>
      <c r="E3">
        <f t="shared" ref="E3:E41" si="0">IF($B3=1,1,0)</f>
        <v>0</v>
      </c>
      <c r="F3">
        <f t="shared" ref="F3:F41" si="1">IF($B3=2,1,0)</f>
        <v>1</v>
      </c>
      <c r="G3">
        <f t="shared" ref="G3:G41" si="2">IF($B3=3,1,0)</f>
        <v>0</v>
      </c>
      <c r="I3" s="1" t="s">
        <v>157</v>
      </c>
    </row>
    <row r="4" spans="1:14" x14ac:dyDescent="0.25">
      <c r="A4" s="3">
        <v>2011</v>
      </c>
      <c r="B4" s="3">
        <v>3</v>
      </c>
      <c r="C4" s="6">
        <v>1167991</v>
      </c>
      <c r="D4" s="4">
        <v>15591.85</v>
      </c>
      <c r="E4">
        <f t="shared" si="0"/>
        <v>0</v>
      </c>
      <c r="F4">
        <f t="shared" si="1"/>
        <v>0</v>
      </c>
      <c r="G4">
        <f t="shared" si="2"/>
        <v>1</v>
      </c>
      <c r="I4" t="s">
        <v>126</v>
      </c>
    </row>
    <row r="5" spans="1:14" ht="14.4" thickBot="1" x14ac:dyDescent="0.3">
      <c r="A5" s="3">
        <v>2011</v>
      </c>
      <c r="B5" s="3">
        <v>4</v>
      </c>
      <c r="C5" s="6">
        <v>1222523</v>
      </c>
      <c r="D5" s="4">
        <v>15796.46</v>
      </c>
      <c r="E5">
        <f t="shared" si="0"/>
        <v>0</v>
      </c>
      <c r="F5">
        <f t="shared" si="1"/>
        <v>0</v>
      </c>
      <c r="G5">
        <f t="shared" si="2"/>
        <v>0</v>
      </c>
    </row>
    <row r="6" spans="1:14" x14ac:dyDescent="0.25">
      <c r="A6" s="3">
        <v>2012</v>
      </c>
      <c r="B6" s="3">
        <v>1</v>
      </c>
      <c r="C6" s="6">
        <v>1141734</v>
      </c>
      <c r="D6" s="4">
        <v>16019.758</v>
      </c>
      <c r="E6">
        <f t="shared" si="0"/>
        <v>1</v>
      </c>
      <c r="F6">
        <f t="shared" si="1"/>
        <v>0</v>
      </c>
      <c r="G6">
        <f t="shared" si="2"/>
        <v>0</v>
      </c>
      <c r="I6" s="10" t="s">
        <v>127</v>
      </c>
      <c r="J6" s="10"/>
    </row>
    <row r="7" spans="1:14" x14ac:dyDescent="0.25">
      <c r="A7" s="3">
        <v>2012</v>
      </c>
      <c r="B7" s="3">
        <v>2</v>
      </c>
      <c r="C7" s="6">
        <v>1212532</v>
      </c>
      <c r="D7" s="4">
        <v>16152.257</v>
      </c>
      <c r="E7">
        <f t="shared" si="0"/>
        <v>0</v>
      </c>
      <c r="F7">
        <f t="shared" si="1"/>
        <v>1</v>
      </c>
      <c r="G7">
        <f t="shared" si="2"/>
        <v>0</v>
      </c>
      <c r="I7" t="s">
        <v>128</v>
      </c>
      <c r="J7">
        <v>0.98957359428003744</v>
      </c>
    </row>
    <row r="8" spans="1:14" x14ac:dyDescent="0.25">
      <c r="A8" s="3">
        <v>2012</v>
      </c>
      <c r="B8" s="3">
        <v>3</v>
      </c>
      <c r="C8" s="6">
        <v>1214923</v>
      </c>
      <c r="D8" s="4">
        <v>16257.151</v>
      </c>
      <c r="E8">
        <f t="shared" si="0"/>
        <v>0</v>
      </c>
      <c r="F8">
        <f t="shared" si="1"/>
        <v>0</v>
      </c>
      <c r="G8">
        <f t="shared" si="2"/>
        <v>1</v>
      </c>
      <c r="I8" t="s">
        <v>129</v>
      </c>
      <c r="J8">
        <v>0.97925589849631212</v>
      </c>
      <c r="K8" s="20" t="s">
        <v>178</v>
      </c>
    </row>
    <row r="9" spans="1:14" x14ac:dyDescent="0.25">
      <c r="A9" s="3">
        <v>2012</v>
      </c>
      <c r="B9" s="3">
        <v>4</v>
      </c>
      <c r="C9" s="6">
        <v>1272567</v>
      </c>
      <c r="D9" s="4">
        <v>16358.862999999999</v>
      </c>
      <c r="E9">
        <f t="shared" si="0"/>
        <v>0</v>
      </c>
      <c r="F9">
        <f t="shared" si="1"/>
        <v>0</v>
      </c>
      <c r="G9">
        <f t="shared" si="2"/>
        <v>0</v>
      </c>
      <c r="I9" t="s">
        <v>130</v>
      </c>
      <c r="J9">
        <v>0.97688514403874771</v>
      </c>
    </row>
    <row r="10" spans="1:14" x14ac:dyDescent="0.25">
      <c r="A10" s="3">
        <v>2013</v>
      </c>
      <c r="B10" s="3">
        <v>1</v>
      </c>
      <c r="C10" s="5">
        <v>1171293</v>
      </c>
      <c r="D10" s="4">
        <v>16569.591</v>
      </c>
      <c r="E10">
        <f t="shared" si="0"/>
        <v>1</v>
      </c>
      <c r="F10">
        <f t="shared" si="1"/>
        <v>0</v>
      </c>
      <c r="G10">
        <f t="shared" si="2"/>
        <v>0</v>
      </c>
      <c r="I10" t="s">
        <v>131</v>
      </c>
      <c r="J10">
        <v>23982.155995056219</v>
      </c>
    </row>
    <row r="11" spans="1:14" ht="14.4" thickBot="1" x14ac:dyDescent="0.3">
      <c r="A11" s="3">
        <v>2013</v>
      </c>
      <c r="B11" s="3">
        <v>2</v>
      </c>
      <c r="C11" s="5">
        <v>1260446</v>
      </c>
      <c r="D11" s="4">
        <v>16637.925999999999</v>
      </c>
      <c r="E11">
        <f t="shared" si="0"/>
        <v>0</v>
      </c>
      <c r="F11">
        <f t="shared" si="1"/>
        <v>1</v>
      </c>
      <c r="G11">
        <f t="shared" si="2"/>
        <v>0</v>
      </c>
      <c r="I11" s="8" t="s">
        <v>132</v>
      </c>
      <c r="J11" s="8">
        <v>40</v>
      </c>
    </row>
    <row r="12" spans="1:14" x14ac:dyDescent="0.25">
      <c r="A12" s="3">
        <v>2013</v>
      </c>
      <c r="B12" s="3">
        <v>3</v>
      </c>
      <c r="C12" s="5">
        <v>1272129</v>
      </c>
      <c r="D12" s="4">
        <v>16848.748</v>
      </c>
      <c r="E12">
        <f t="shared" si="0"/>
        <v>0</v>
      </c>
      <c r="F12">
        <f t="shared" si="1"/>
        <v>0</v>
      </c>
      <c r="G12">
        <f t="shared" si="2"/>
        <v>1</v>
      </c>
    </row>
    <row r="13" spans="1:14" ht="14.4" thickBot="1" x14ac:dyDescent="0.3">
      <c r="A13" s="3">
        <v>2013</v>
      </c>
      <c r="B13" s="3">
        <v>4</v>
      </c>
      <c r="C13" s="5">
        <v>1316396</v>
      </c>
      <c r="D13" s="4">
        <v>17083.136999999999</v>
      </c>
      <c r="E13">
        <f t="shared" si="0"/>
        <v>0</v>
      </c>
      <c r="F13">
        <f t="shared" si="1"/>
        <v>0</v>
      </c>
      <c r="G13">
        <f t="shared" si="2"/>
        <v>0</v>
      </c>
      <c r="I13" t="s">
        <v>133</v>
      </c>
    </row>
    <row r="14" spans="1:14" x14ac:dyDescent="0.25">
      <c r="A14" s="3">
        <v>2014</v>
      </c>
      <c r="B14" s="3">
        <v>1</v>
      </c>
      <c r="C14" s="5">
        <v>1195724</v>
      </c>
      <c r="D14" s="4">
        <v>17104.555</v>
      </c>
      <c r="E14">
        <f t="shared" si="0"/>
        <v>1</v>
      </c>
      <c r="F14">
        <f t="shared" si="1"/>
        <v>0</v>
      </c>
      <c r="G14">
        <f t="shared" si="2"/>
        <v>0</v>
      </c>
      <c r="I14" s="9"/>
      <c r="J14" s="9" t="s">
        <v>138</v>
      </c>
      <c r="K14" s="9" t="s">
        <v>139</v>
      </c>
      <c r="L14" s="9" t="s">
        <v>140</v>
      </c>
      <c r="M14" s="9" t="s">
        <v>141</v>
      </c>
      <c r="N14" s="9" t="s">
        <v>142</v>
      </c>
    </row>
    <row r="15" spans="1:14" x14ac:dyDescent="0.25">
      <c r="A15" s="3">
        <v>2014</v>
      </c>
      <c r="B15" s="3">
        <v>2</v>
      </c>
      <c r="C15" s="5">
        <v>1323909</v>
      </c>
      <c r="D15" s="4">
        <v>17432.909</v>
      </c>
      <c r="E15">
        <f t="shared" si="0"/>
        <v>0</v>
      </c>
      <c r="F15">
        <f t="shared" si="1"/>
        <v>1</v>
      </c>
      <c r="G15">
        <f t="shared" si="2"/>
        <v>0</v>
      </c>
      <c r="I15" t="s">
        <v>134</v>
      </c>
      <c r="J15">
        <v>4</v>
      </c>
      <c r="K15">
        <v>950267899536.78259</v>
      </c>
      <c r="L15">
        <v>237566974884.19565</v>
      </c>
      <c r="M15">
        <v>413.05665180627159</v>
      </c>
      <c r="N15">
        <v>6.3711955652455254E-29</v>
      </c>
    </row>
    <row r="16" spans="1:14" x14ac:dyDescent="0.25">
      <c r="A16" s="3">
        <v>2014</v>
      </c>
      <c r="B16" s="3">
        <v>3</v>
      </c>
      <c r="C16" s="5">
        <v>1327929</v>
      </c>
      <c r="D16" s="4">
        <v>17721.656999999999</v>
      </c>
      <c r="E16">
        <f t="shared" si="0"/>
        <v>0</v>
      </c>
      <c r="F16">
        <f t="shared" si="1"/>
        <v>0</v>
      </c>
      <c r="G16">
        <f t="shared" si="2"/>
        <v>1</v>
      </c>
      <c r="I16" t="s">
        <v>135</v>
      </c>
      <c r="J16">
        <v>35</v>
      </c>
      <c r="K16">
        <v>20130033215.992386</v>
      </c>
      <c r="L16">
        <v>575143806.171211</v>
      </c>
    </row>
    <row r="17" spans="1:17" ht="14.4" thickBot="1" x14ac:dyDescent="0.3">
      <c r="A17" s="3">
        <v>2014</v>
      </c>
      <c r="B17" s="3">
        <v>4</v>
      </c>
      <c r="C17" s="5">
        <v>1379952</v>
      </c>
      <c r="D17" s="4">
        <v>17849.912</v>
      </c>
      <c r="E17">
        <f t="shared" si="0"/>
        <v>0</v>
      </c>
      <c r="F17">
        <f t="shared" si="1"/>
        <v>0</v>
      </c>
      <c r="G17">
        <f t="shared" si="2"/>
        <v>0</v>
      </c>
      <c r="I17" s="8" t="s">
        <v>136</v>
      </c>
      <c r="J17" s="8">
        <v>39</v>
      </c>
      <c r="K17" s="8">
        <v>970397932752.77502</v>
      </c>
      <c r="L17" s="8"/>
      <c r="M17" s="8"/>
      <c r="N17" s="8"/>
    </row>
    <row r="18" spans="1:17" ht="14.4" thickBot="1" x14ac:dyDescent="0.3">
      <c r="A18" s="3">
        <v>2015</v>
      </c>
      <c r="B18" s="3">
        <v>1</v>
      </c>
      <c r="C18" s="5">
        <v>1232060</v>
      </c>
      <c r="D18" s="4">
        <v>18003.399000000001</v>
      </c>
      <c r="E18">
        <f t="shared" si="0"/>
        <v>1</v>
      </c>
      <c r="F18">
        <f t="shared" si="1"/>
        <v>0</v>
      </c>
      <c r="G18">
        <f t="shared" si="2"/>
        <v>0</v>
      </c>
    </row>
    <row r="19" spans="1:17" x14ac:dyDescent="0.25">
      <c r="A19" s="3">
        <v>2015</v>
      </c>
      <c r="B19" s="3">
        <v>2</v>
      </c>
      <c r="C19" s="5">
        <v>1354216</v>
      </c>
      <c r="D19" s="4">
        <v>18223.577000000001</v>
      </c>
      <c r="E19">
        <f t="shared" si="0"/>
        <v>0</v>
      </c>
      <c r="F19">
        <f t="shared" si="1"/>
        <v>1</v>
      </c>
      <c r="G19">
        <f t="shared" si="2"/>
        <v>0</v>
      </c>
      <c r="I19" s="9"/>
      <c r="J19" s="9" t="s">
        <v>143</v>
      </c>
      <c r="K19" s="9" t="s">
        <v>131</v>
      </c>
      <c r="L19" s="9" t="s">
        <v>144</v>
      </c>
      <c r="M19" s="9" t="s">
        <v>145</v>
      </c>
      <c r="N19" s="9" t="s">
        <v>146</v>
      </c>
      <c r="O19" s="9" t="s">
        <v>147</v>
      </c>
      <c r="P19" s="9" t="s">
        <v>148</v>
      </c>
      <c r="Q19" s="9" t="s">
        <v>149</v>
      </c>
    </row>
    <row r="20" spans="1:17" x14ac:dyDescent="0.25">
      <c r="A20" s="3">
        <v>2015</v>
      </c>
      <c r="B20" s="3">
        <v>3</v>
      </c>
      <c r="C20" s="5">
        <v>1367232</v>
      </c>
      <c r="D20" s="4">
        <v>18347.424999999999</v>
      </c>
      <c r="E20">
        <f t="shared" si="0"/>
        <v>0</v>
      </c>
      <c r="F20">
        <f t="shared" si="1"/>
        <v>0</v>
      </c>
      <c r="G20">
        <f t="shared" si="2"/>
        <v>1</v>
      </c>
      <c r="I20" t="s">
        <v>137</v>
      </c>
      <c r="J20">
        <v>135609.20012353375</v>
      </c>
      <c r="K20">
        <v>37106.938334853512</v>
      </c>
      <c r="L20">
        <v>3.6545510410962634</v>
      </c>
      <c r="M20">
        <v>8.370658513162844E-4</v>
      </c>
      <c r="N20">
        <v>60278.110416851028</v>
      </c>
      <c r="O20">
        <v>210940.28983021647</v>
      </c>
      <c r="P20">
        <v>60278.110416851028</v>
      </c>
      <c r="Q20">
        <v>210940.28983021647</v>
      </c>
    </row>
    <row r="21" spans="1:17" x14ac:dyDescent="0.25">
      <c r="A21" s="3">
        <v>2015</v>
      </c>
      <c r="B21" s="3">
        <v>4</v>
      </c>
      <c r="C21" s="5">
        <v>1412991</v>
      </c>
      <c r="D21" s="4">
        <v>18378.803</v>
      </c>
      <c r="E21">
        <f t="shared" si="0"/>
        <v>0</v>
      </c>
      <c r="F21">
        <f t="shared" si="1"/>
        <v>0</v>
      </c>
      <c r="G21">
        <f t="shared" si="2"/>
        <v>0</v>
      </c>
      <c r="I21" t="s">
        <v>123</v>
      </c>
      <c r="J21">
        <v>70.010975168971839</v>
      </c>
      <c r="K21">
        <v>1.9261395395796341</v>
      </c>
      <c r="L21">
        <v>36.347820980950956</v>
      </c>
      <c r="M21">
        <v>2.1771995369086969E-29</v>
      </c>
      <c r="N21">
        <v>66.100704018754755</v>
      </c>
      <c r="O21">
        <v>73.921246319188924</v>
      </c>
      <c r="P21">
        <v>66.100704018754755</v>
      </c>
      <c r="Q21">
        <v>73.921246319188924</v>
      </c>
    </row>
    <row r="22" spans="1:17" x14ac:dyDescent="0.25">
      <c r="A22" s="3">
        <v>2016</v>
      </c>
      <c r="B22" s="3">
        <v>1</v>
      </c>
      <c r="C22" s="5">
        <v>1278391</v>
      </c>
      <c r="D22" s="4">
        <v>18470.155999999999</v>
      </c>
      <c r="E22">
        <f t="shared" si="0"/>
        <v>1</v>
      </c>
      <c r="F22">
        <f t="shared" si="1"/>
        <v>0</v>
      </c>
      <c r="G22">
        <f t="shared" si="2"/>
        <v>0</v>
      </c>
      <c r="I22" t="s">
        <v>158</v>
      </c>
      <c r="J22">
        <v>-155654.20952605217</v>
      </c>
      <c r="K22">
        <v>10767.843343800641</v>
      </c>
      <c r="L22">
        <v>-14.455467502289286</v>
      </c>
      <c r="M22">
        <v>2.5210674868002376E-16</v>
      </c>
      <c r="N22">
        <v>-177514.09366845954</v>
      </c>
      <c r="O22">
        <v>-133794.32538364481</v>
      </c>
      <c r="P22">
        <v>-177514.09366845954</v>
      </c>
      <c r="Q22">
        <v>-133794.32538364481</v>
      </c>
    </row>
    <row r="23" spans="1:17" x14ac:dyDescent="0.25">
      <c r="A23" s="3">
        <v>2016</v>
      </c>
      <c r="B23" s="3">
        <v>2</v>
      </c>
      <c r="C23" s="5">
        <v>1386918</v>
      </c>
      <c r="D23" s="4">
        <v>18656.206999999999</v>
      </c>
      <c r="E23">
        <f t="shared" si="0"/>
        <v>0</v>
      </c>
      <c r="F23">
        <f t="shared" si="1"/>
        <v>1</v>
      </c>
      <c r="G23">
        <f t="shared" si="2"/>
        <v>0</v>
      </c>
      <c r="I23" t="s">
        <v>159</v>
      </c>
      <c r="J23">
        <v>-50030.350804902184</v>
      </c>
      <c r="K23">
        <v>10771.847095272053</v>
      </c>
      <c r="L23">
        <v>-4.6445470644362707</v>
      </c>
      <c r="M23">
        <v>4.6715729111604671E-5</v>
      </c>
      <c r="N23">
        <v>-71898.362994914409</v>
      </c>
      <c r="O23">
        <v>-28162.338614889952</v>
      </c>
      <c r="P23">
        <v>-71898.362994914409</v>
      </c>
      <c r="Q23">
        <v>-28162.338614889952</v>
      </c>
    </row>
    <row r="24" spans="1:17" ht="14.4" thickBot="1" x14ac:dyDescent="0.3">
      <c r="A24" s="3">
        <v>2016</v>
      </c>
      <c r="B24" s="3">
        <v>3</v>
      </c>
      <c r="C24" s="5">
        <v>1399285</v>
      </c>
      <c r="D24" s="4">
        <v>18821.359</v>
      </c>
      <c r="E24">
        <f t="shared" si="0"/>
        <v>0</v>
      </c>
      <c r="F24">
        <f t="shared" si="1"/>
        <v>0</v>
      </c>
      <c r="G24">
        <f t="shared" si="2"/>
        <v>1</v>
      </c>
      <c r="I24" s="8" t="s">
        <v>160</v>
      </c>
      <c r="J24" s="8">
        <v>-45187.907286395952</v>
      </c>
      <c r="K24" s="8">
        <v>10731.547394201223</v>
      </c>
      <c r="L24" s="8">
        <v>-4.2107541090312077</v>
      </c>
      <c r="M24" s="8">
        <v>1.6896591277841921E-4</v>
      </c>
      <c r="N24" s="8">
        <v>-66974.106733758177</v>
      </c>
      <c r="O24" s="8">
        <v>-23401.70783903373</v>
      </c>
      <c r="P24" s="8">
        <v>-66974.106733758177</v>
      </c>
      <c r="Q24" s="8">
        <v>-23401.70783903373</v>
      </c>
    </row>
    <row r="25" spans="1:17" x14ac:dyDescent="0.25">
      <c r="A25" s="3">
        <v>2016</v>
      </c>
      <c r="B25" s="3">
        <v>4</v>
      </c>
      <c r="C25" s="5">
        <v>1461780</v>
      </c>
      <c r="D25" s="4">
        <v>19032.580000000002</v>
      </c>
      <c r="E25">
        <f t="shared" si="0"/>
        <v>0</v>
      </c>
      <c r="F25">
        <f t="shared" si="1"/>
        <v>0</v>
      </c>
      <c r="G25">
        <f t="shared" si="2"/>
        <v>0</v>
      </c>
    </row>
    <row r="26" spans="1:17" x14ac:dyDescent="0.25">
      <c r="A26" s="3">
        <v>2017</v>
      </c>
      <c r="B26" s="3">
        <v>1</v>
      </c>
      <c r="C26" s="5">
        <v>1324253</v>
      </c>
      <c r="D26" s="4">
        <v>19237.435000000001</v>
      </c>
      <c r="E26">
        <f t="shared" si="0"/>
        <v>1</v>
      </c>
      <c r="F26">
        <f t="shared" si="1"/>
        <v>0</v>
      </c>
      <c r="G26">
        <f t="shared" si="2"/>
        <v>0</v>
      </c>
    </row>
    <row r="27" spans="1:17" x14ac:dyDescent="0.25">
      <c r="A27" s="3">
        <v>2017</v>
      </c>
      <c r="B27" s="3">
        <v>2</v>
      </c>
      <c r="C27" s="5">
        <v>1445499</v>
      </c>
      <c r="D27" s="4">
        <v>19379.232</v>
      </c>
      <c r="E27">
        <f t="shared" si="0"/>
        <v>0</v>
      </c>
      <c r="F27">
        <f t="shared" si="1"/>
        <v>1</v>
      </c>
      <c r="G27">
        <f t="shared" si="2"/>
        <v>0</v>
      </c>
    </row>
    <row r="28" spans="1:17" x14ac:dyDescent="0.25">
      <c r="A28" s="3">
        <v>2017</v>
      </c>
      <c r="B28" s="3">
        <v>3</v>
      </c>
      <c r="C28" s="5">
        <v>1451087</v>
      </c>
      <c r="D28" s="4">
        <v>19617.288</v>
      </c>
      <c r="E28">
        <f t="shared" si="0"/>
        <v>0</v>
      </c>
      <c r="F28">
        <f t="shared" si="1"/>
        <v>0</v>
      </c>
      <c r="G28">
        <f t="shared" si="2"/>
        <v>1</v>
      </c>
      <c r="I28" t="s">
        <v>150</v>
      </c>
    </row>
    <row r="29" spans="1:17" ht="14.4" thickBot="1" x14ac:dyDescent="0.3">
      <c r="A29" s="3">
        <v>2017</v>
      </c>
      <c r="B29" s="3">
        <v>4</v>
      </c>
      <c r="C29" s="5">
        <v>1536250</v>
      </c>
      <c r="D29" s="4">
        <v>19937.963</v>
      </c>
      <c r="E29">
        <f t="shared" si="0"/>
        <v>0</v>
      </c>
      <c r="F29">
        <f t="shared" si="1"/>
        <v>0</v>
      </c>
      <c r="G29">
        <f t="shared" si="2"/>
        <v>0</v>
      </c>
    </row>
    <row r="30" spans="1:17" x14ac:dyDescent="0.25">
      <c r="A30" s="3">
        <v>2018</v>
      </c>
      <c r="B30" s="3">
        <v>1</v>
      </c>
      <c r="C30" s="5">
        <v>1390044</v>
      </c>
      <c r="D30" s="4">
        <v>20242.215</v>
      </c>
      <c r="E30">
        <f t="shared" si="0"/>
        <v>1</v>
      </c>
      <c r="F30">
        <f t="shared" si="1"/>
        <v>0</v>
      </c>
      <c r="G30">
        <f t="shared" si="2"/>
        <v>0</v>
      </c>
      <c r="L30" s="33" t="s">
        <v>151</v>
      </c>
      <c r="M30" s="33" t="s">
        <v>156</v>
      </c>
      <c r="N30" s="33" t="s">
        <v>153</v>
      </c>
    </row>
    <row r="31" spans="1:17" x14ac:dyDescent="0.25">
      <c r="A31" s="3">
        <v>2018</v>
      </c>
      <c r="B31" s="3">
        <v>2</v>
      </c>
      <c r="C31" s="5">
        <v>1519069</v>
      </c>
      <c r="D31" s="4">
        <v>20552.652999999998</v>
      </c>
      <c r="E31">
        <f t="shared" si="0"/>
        <v>0</v>
      </c>
      <c r="F31">
        <f t="shared" si="1"/>
        <v>1</v>
      </c>
      <c r="G31">
        <f t="shared" si="2"/>
        <v>0</v>
      </c>
      <c r="L31">
        <v>1</v>
      </c>
      <c r="M31">
        <v>1050130.7151426559</v>
      </c>
      <c r="N31">
        <v>9858.2848573441152</v>
      </c>
      <c r="O31">
        <f>$J$20*1+$J$21*D2+$J$22*E2+$J$23*F2+$J$24*G2</f>
        <v>1050130.7151426561</v>
      </c>
      <c r="P31" s="30" t="str">
        <f ca="1">_xlfn.FORMULATEXT(O31)</f>
        <v>=$J$20*1+$J$21*D2+$J$22*E2+$J$23*F2+$J$24*G2</v>
      </c>
    </row>
    <row r="32" spans="1:17" x14ac:dyDescent="0.25">
      <c r="A32" s="3">
        <v>2018</v>
      </c>
      <c r="B32" s="3">
        <v>3</v>
      </c>
      <c r="C32" s="5">
        <v>1536768</v>
      </c>
      <c r="D32" s="4">
        <v>20742.723000000002</v>
      </c>
      <c r="E32">
        <f t="shared" si="0"/>
        <v>0</v>
      </c>
      <c r="F32">
        <f t="shared" si="1"/>
        <v>0</v>
      </c>
      <c r="G32">
        <f t="shared" si="2"/>
        <v>1</v>
      </c>
      <c r="L32">
        <v>2</v>
      </c>
      <c r="M32">
        <v>1170482.1526113262</v>
      </c>
      <c r="N32">
        <v>-9008.1526113261934</v>
      </c>
      <c r="O32">
        <f>$J$20*1+$J$21*D3+$J$22*E3+$J$23*F3+$J$24*G3</f>
        <v>1170482.1526113262</v>
      </c>
      <c r="P32" s="30" t="str">
        <f t="shared" ref="P32:P70" ca="1" si="3">_xlfn.FORMULATEXT(O32)</f>
        <v>=$J$20*1+$J$21*D3+$J$22*E3+$J$23*F3+$J$24*G3</v>
      </c>
    </row>
    <row r="33" spans="1:23" x14ac:dyDescent="0.25">
      <c r="A33" s="3">
        <v>2018</v>
      </c>
      <c r="B33" s="3">
        <v>4</v>
      </c>
      <c r="C33" s="5">
        <v>1585439</v>
      </c>
      <c r="D33" s="4">
        <v>20909.852999999999</v>
      </c>
      <c r="E33">
        <f t="shared" si="0"/>
        <v>0</v>
      </c>
      <c r="F33">
        <f t="shared" si="1"/>
        <v>0</v>
      </c>
      <c r="G33">
        <f t="shared" si="2"/>
        <v>0</v>
      </c>
      <c r="L33">
        <v>3</v>
      </c>
      <c r="M33">
        <v>1182021.9160254714</v>
      </c>
      <c r="N33">
        <v>-14030.916025471408</v>
      </c>
      <c r="O33">
        <f>$J$20*1+$J$21*D4+$J$22*E4+$J$23*F4+$J$24*G4</f>
        <v>1182021.9160254714</v>
      </c>
      <c r="P33" s="30" t="str">
        <f t="shared" ca="1" si="3"/>
        <v>=$J$20*1+$J$21*D4+$J$22*E4+$J$23*F4+$J$24*G4</v>
      </c>
    </row>
    <row r="34" spans="1:23" x14ac:dyDescent="0.25">
      <c r="A34" s="3">
        <v>2019</v>
      </c>
      <c r="B34" s="3">
        <v>1</v>
      </c>
      <c r="C34" s="5">
        <v>1417491</v>
      </c>
      <c r="D34" s="4">
        <v>21115.309000000001</v>
      </c>
      <c r="E34">
        <f t="shared" si="0"/>
        <v>1</v>
      </c>
      <c r="F34">
        <f t="shared" si="1"/>
        <v>0</v>
      </c>
      <c r="G34">
        <f t="shared" si="2"/>
        <v>0</v>
      </c>
      <c r="L34">
        <v>4</v>
      </c>
      <c r="M34">
        <v>1241534.7689411906</v>
      </c>
      <c r="N34">
        <v>-19011.768941190559</v>
      </c>
      <c r="O34">
        <f>$J$20*1+$J$21*D5+$J$22*E5+$J$23*F5+$J$24*G5</f>
        <v>1241534.7689411908</v>
      </c>
      <c r="P34" s="30" t="str">
        <f t="shared" ca="1" si="3"/>
        <v>=$J$20*1+$J$21*D5+$J$22*E5+$J$23*F5+$J$24*G5</v>
      </c>
    </row>
    <row r="35" spans="1:23" x14ac:dyDescent="0.25">
      <c r="A35" s="3">
        <v>2019</v>
      </c>
      <c r="B35" s="3">
        <v>2</v>
      </c>
      <c r="C35" s="5">
        <v>1574816</v>
      </c>
      <c r="D35" s="4">
        <v>21329.877</v>
      </c>
      <c r="E35">
        <f t="shared" si="0"/>
        <v>0</v>
      </c>
      <c r="F35">
        <f t="shared" si="1"/>
        <v>1</v>
      </c>
      <c r="G35">
        <f t="shared" si="2"/>
        <v>0</v>
      </c>
      <c r="L35">
        <v>5</v>
      </c>
      <c r="M35">
        <v>1101513.8701484194</v>
      </c>
      <c r="N35">
        <v>40220.129851580597</v>
      </c>
      <c r="O35">
        <f>$J$20*1+$J$21*D6+$J$22*E6+$J$23*F6+$J$24*G6</f>
        <v>1101513.8701484196</v>
      </c>
      <c r="P35" s="30" t="str">
        <f t="shared" ca="1" si="3"/>
        <v>=$J$20*1+$J$21*D6+$J$22*E6+$J$23*F6+$J$24*G6</v>
      </c>
    </row>
    <row r="36" spans="1:23" x14ac:dyDescent="0.25">
      <c r="A36" s="3">
        <v>2019</v>
      </c>
      <c r="B36" s="3">
        <v>3</v>
      </c>
      <c r="C36" s="5">
        <v>1595623</v>
      </c>
      <c r="D36" s="4">
        <v>21540.325000000001</v>
      </c>
      <c r="E36">
        <f t="shared" si="0"/>
        <v>0</v>
      </c>
      <c r="F36">
        <f t="shared" si="1"/>
        <v>0</v>
      </c>
      <c r="G36">
        <f t="shared" si="2"/>
        <v>1</v>
      </c>
      <c r="L36">
        <v>6</v>
      </c>
      <c r="M36">
        <v>1216414.1130684831</v>
      </c>
      <c r="N36">
        <v>-3882.1130684830714</v>
      </c>
      <c r="O36">
        <f>$J$20*1+$J$21*D7+$J$22*E7+$J$23*F7+$J$24*G7</f>
        <v>1216414.1130684833</v>
      </c>
      <c r="P36" s="30" t="str">
        <f t="shared" ca="1" si="3"/>
        <v>=$J$20*1+$J$21*D7+$J$22*E7+$J$23*F7+$J$24*G7</v>
      </c>
    </row>
    <row r="37" spans="1:23" x14ac:dyDescent="0.25">
      <c r="A37" s="3">
        <v>2019</v>
      </c>
      <c r="B37" s="3">
        <v>4</v>
      </c>
      <c r="C37" s="5">
        <v>1652271</v>
      </c>
      <c r="D37" s="4">
        <v>21747.394</v>
      </c>
      <c r="E37">
        <f t="shared" si="0"/>
        <v>0</v>
      </c>
      <c r="F37">
        <f t="shared" si="1"/>
        <v>0</v>
      </c>
      <c r="G37">
        <f t="shared" si="2"/>
        <v>0</v>
      </c>
      <c r="L37">
        <v>7</v>
      </c>
      <c r="M37">
        <v>1228600.2878163634</v>
      </c>
      <c r="N37">
        <v>-13677.287816363387</v>
      </c>
      <c r="O37">
        <f>$J$20*1+$J$21*D8+$J$22*E8+$J$23*F8+$J$24*G8</f>
        <v>1228600.2878163636</v>
      </c>
      <c r="P37" s="30" t="str">
        <f t="shared" ca="1" si="3"/>
        <v>=$J$20*1+$J$21*D8+$J$22*E8+$J$23*F8+$J$24*G8</v>
      </c>
    </row>
    <row r="38" spans="1:23" ht="15" x14ac:dyDescent="0.25">
      <c r="A38" s="3">
        <v>2020</v>
      </c>
      <c r="B38" s="3">
        <v>1</v>
      </c>
      <c r="C38" s="5">
        <v>1443243</v>
      </c>
      <c r="D38" s="4">
        <v>21561.138999999999</v>
      </c>
      <c r="E38">
        <f t="shared" si="0"/>
        <v>1</v>
      </c>
      <c r="F38">
        <f t="shared" si="1"/>
        <v>0</v>
      </c>
      <c r="G38">
        <f t="shared" si="2"/>
        <v>0</v>
      </c>
      <c r="L38">
        <v>8</v>
      </c>
      <c r="M38">
        <v>1280909.1514091459</v>
      </c>
      <c r="N38">
        <v>-8342.1514091459103</v>
      </c>
      <c r="O38">
        <f>$J$20*1+$J$21*D9+$J$22*E9+$J$23*F9+$J$24*G9</f>
        <v>1280909.1514091459</v>
      </c>
      <c r="P38" s="30" t="str">
        <f t="shared" ca="1" si="3"/>
        <v>=$J$20*1+$J$21*D9+$J$22*E9+$J$23*F9+$J$24*G9</v>
      </c>
      <c r="W38" s="29"/>
    </row>
    <row r="39" spans="1:23" x14ac:dyDescent="0.25">
      <c r="A39" s="3">
        <v>2020</v>
      </c>
      <c r="B39" s="3">
        <v>2</v>
      </c>
      <c r="C39" s="5">
        <v>1455588</v>
      </c>
      <c r="D39" s="4">
        <v>19520.114000000001</v>
      </c>
      <c r="E39">
        <f t="shared" si="0"/>
        <v>0</v>
      </c>
      <c r="F39">
        <f t="shared" si="1"/>
        <v>1</v>
      </c>
      <c r="G39">
        <f t="shared" si="2"/>
        <v>0</v>
      </c>
      <c r="L39">
        <v>9</v>
      </c>
      <c r="M39">
        <v>1140008.2146585009</v>
      </c>
      <c r="N39">
        <v>31284.78534149914</v>
      </c>
      <c r="O39">
        <f>$J$20*1+$J$21*D10+$J$22*E10+$J$23*F10+$J$24*G10</f>
        <v>1140008.2146585009</v>
      </c>
      <c r="P39" s="30" t="str">
        <f t="shared" ca="1" si="3"/>
        <v>=$J$20*1+$J$21*D10+$J$22*E10+$J$23*F10+$J$24*G10</v>
      </c>
    </row>
    <row r="40" spans="1:23" x14ac:dyDescent="0.25">
      <c r="A40" s="3">
        <v>2020</v>
      </c>
      <c r="B40" s="3">
        <v>3</v>
      </c>
      <c r="C40" s="5">
        <v>1639409</v>
      </c>
      <c r="D40" s="4">
        <v>21170.252</v>
      </c>
      <c r="E40">
        <f t="shared" si="0"/>
        <v>0</v>
      </c>
      <c r="F40">
        <f t="shared" si="1"/>
        <v>0</v>
      </c>
      <c r="G40">
        <f t="shared" si="2"/>
        <v>1</v>
      </c>
      <c r="L40">
        <v>10</v>
      </c>
      <c r="M40">
        <v>1250416.2733678226</v>
      </c>
      <c r="N40">
        <v>10029.726632177364</v>
      </c>
      <c r="O40">
        <f>$J$20*1+$J$21*D11+$J$22*E11+$J$23*F11+$J$24*G11</f>
        <v>1250416.2733678226</v>
      </c>
      <c r="P40" s="30" t="str">
        <f t="shared" ca="1" si="3"/>
        <v>=$J$20*1+$J$21*D11+$J$22*E11+$J$23*F11+$J$24*G11</v>
      </c>
    </row>
    <row r="41" spans="1:23" x14ac:dyDescent="0.25">
      <c r="A41" s="3">
        <v>2020</v>
      </c>
      <c r="B41" s="3">
        <v>4</v>
      </c>
      <c r="C41" s="5">
        <v>1718793</v>
      </c>
      <c r="D41" s="4">
        <v>21487.896000000001</v>
      </c>
      <c r="E41">
        <f t="shared" si="0"/>
        <v>0</v>
      </c>
      <c r="F41">
        <f t="shared" si="1"/>
        <v>0</v>
      </c>
      <c r="G41">
        <f t="shared" si="2"/>
        <v>0</v>
      </c>
      <c r="L41">
        <v>11</v>
      </c>
      <c r="M41">
        <v>1270018.5706934016</v>
      </c>
      <c r="N41">
        <v>2110.4293065983802</v>
      </c>
      <c r="O41">
        <f>$J$20*1+$J$21*D12+$J$22*E12+$J$23*F12+$J$24*G12</f>
        <v>1270018.5706934016</v>
      </c>
      <c r="P41" s="30" t="str">
        <f t="shared" ca="1" si="3"/>
        <v>=$J$20*1+$J$21*D12+$J$22*E12+$J$23*F12+$J$24*G12</v>
      </c>
    </row>
    <row r="42" spans="1:23" x14ac:dyDescent="0.25">
      <c r="L42">
        <v>12</v>
      </c>
      <c r="M42">
        <v>1331616.2804386776</v>
      </c>
      <c r="N42">
        <v>-15220.280438677641</v>
      </c>
      <c r="O42">
        <f>$J$20*1+$J$21*D13+$J$22*E13+$J$23*F13+$J$24*G13</f>
        <v>1331616.2804386779</v>
      </c>
      <c r="P42" s="30" t="str">
        <f t="shared" ca="1" si="3"/>
        <v>=$J$20*1+$J$21*D13+$J$22*E13+$J$23*F13+$J$24*G13</v>
      </c>
    </row>
    <row r="43" spans="1:23" x14ac:dyDescent="0.25">
      <c r="A43"/>
      <c r="B43"/>
      <c r="C43"/>
      <c r="D43"/>
      <c r="L43">
        <v>13</v>
      </c>
      <c r="M43">
        <v>1177461.5659787946</v>
      </c>
      <c r="N43">
        <v>18262.434021205408</v>
      </c>
      <c r="O43">
        <f>$J$20*1+$J$21*D14+$J$22*E14+$J$23*F14+$J$24*G14</f>
        <v>1177461.5659787948</v>
      </c>
      <c r="P43" s="30" t="str">
        <f t="shared" ca="1" si="3"/>
        <v>=$J$20*1+$J$21*D14+$J$22*E14+$J$23*F14+$J$24*G14</v>
      </c>
    </row>
    <row r="44" spans="1:23" ht="17.399999999999999" x14ac:dyDescent="0.25">
      <c r="A44" s="13" t="s">
        <v>161</v>
      </c>
      <c r="B44"/>
      <c r="C44"/>
      <c r="D44"/>
      <c r="L44">
        <v>14</v>
      </c>
      <c r="M44">
        <v>1306073.8084405772</v>
      </c>
      <c r="N44">
        <v>17835.191559422761</v>
      </c>
      <c r="O44">
        <f>$J$20*1+$J$21*D15+$J$22*E15+$J$23*F15+$J$24*G15</f>
        <v>1306073.8084405775</v>
      </c>
      <c r="P44" s="30" t="str">
        <f t="shared" ca="1" si="3"/>
        <v>=$J$20*1+$J$21*D15+$J$22*E15+$J$23*F15+$J$24*G15</v>
      </c>
    </row>
    <row r="45" spans="1:23" x14ac:dyDescent="0.25">
      <c r="A45" s="17" t="s">
        <v>162</v>
      </c>
      <c r="B45"/>
      <c r="C45"/>
      <c r="D45"/>
      <c r="L45">
        <v>15</v>
      </c>
      <c r="M45">
        <v>1331131.7810171735</v>
      </c>
      <c r="N45">
        <v>-3202.7810171735473</v>
      </c>
      <c r="O45">
        <f>$J$20*1+$J$21*D16+$J$22*E16+$J$23*F16+$J$24*G16</f>
        <v>1331131.7810171738</v>
      </c>
      <c r="P45" s="30" t="str">
        <f t="shared" ca="1" si="3"/>
        <v>=$J$20*1+$J$21*D16+$J$22*E16+$J$23*F16+$J$24*G16</v>
      </c>
    </row>
    <row r="46" spans="1:23" x14ac:dyDescent="0.25">
      <c r="A46"/>
      <c r="B46"/>
      <c r="C46"/>
      <c r="D46"/>
      <c r="L46">
        <v>16</v>
      </c>
      <c r="M46">
        <v>1385298.9459238662</v>
      </c>
      <c r="N46">
        <v>-5346.9459238662384</v>
      </c>
      <c r="O46">
        <f>$J$20*1+$J$21*D17+$J$22*E17+$J$23*F17+$J$24*G17</f>
        <v>1385298.9459238662</v>
      </c>
      <c r="P46" s="30" t="str">
        <f t="shared" ca="1" si="3"/>
        <v>=$J$20*1+$J$21*D17+$J$22*E17+$J$23*F17+$J$24*G17</v>
      </c>
    </row>
    <row r="47" spans="1:23" x14ac:dyDescent="0.25">
      <c r="A47" s="30" t="s">
        <v>163</v>
      </c>
      <c r="B47"/>
      <c r="C47"/>
      <c r="D47"/>
      <c r="L47">
        <v>17</v>
      </c>
      <c r="M47">
        <v>1240390.5109435741</v>
      </c>
      <c r="N47">
        <v>-8330.5109435741324</v>
      </c>
      <c r="O47">
        <f>$J$20*1+$J$21*D18+$J$22*E18+$J$23*F18+$J$24*G18</f>
        <v>1240390.5109435741</v>
      </c>
      <c r="P47" s="30" t="str">
        <f t="shared" ca="1" si="3"/>
        <v>=$J$20*1+$J$21*D18+$J$22*E18+$J$23*F18+$J$24*G18</v>
      </c>
    </row>
    <row r="48" spans="1:23" x14ac:dyDescent="0.25">
      <c r="A48" t="s">
        <v>164</v>
      </c>
      <c r="B48" s="14">
        <f>($J$20*1)+(J21*21000)+(J23*1)</f>
        <v>1555809.3278670404</v>
      </c>
      <c r="C48" t="s">
        <v>166</v>
      </c>
      <c r="D48" s="19" t="str">
        <f ca="1">_xlfn.FORMULATEXT(B48)</f>
        <v>=($J$20*1)+(J21*21000)+(J23*1)</v>
      </c>
      <c r="F48" s="18" t="s">
        <v>179</v>
      </c>
      <c r="L48">
        <v>18</v>
      </c>
      <c r="M48">
        <v>1361429.2461554781</v>
      </c>
      <c r="N48">
        <v>-7213.2461554780602</v>
      </c>
      <c r="O48">
        <f>$J$20*1+$J$21*D19+$J$22*E19+$J$23*F19+$J$24*G19</f>
        <v>1361429.2461554781</v>
      </c>
      <c r="P48" s="30" t="str">
        <f t="shared" ca="1" si="3"/>
        <v>=$J$20*1+$J$21*D19+$J$22*E19+$J$23*F19+$J$24*G19</v>
      </c>
    </row>
    <row r="49" spans="1:16" x14ac:dyDescent="0.25">
      <c r="A49" t="s">
        <v>165</v>
      </c>
      <c r="B49" s="14">
        <f>($J$20*1)+(J21*21000)</f>
        <v>1605839.6786719426</v>
      </c>
      <c r="C49" t="s">
        <v>166</v>
      </c>
      <c r="D49" s="19" t="str">
        <f ca="1">_xlfn.FORMULATEXT(B49)</f>
        <v>=($J$20*1)+(J21*21000)</v>
      </c>
      <c r="F49" s="18" t="s">
        <v>180</v>
      </c>
      <c r="L49">
        <v>19</v>
      </c>
      <c r="M49">
        <v>1374942.4089267107</v>
      </c>
      <c r="N49">
        <v>-7710.4089267107192</v>
      </c>
      <c r="O49">
        <f>$J$20*1+$J$21*D20+$J$22*E20+$J$23*F20+$J$24*G20</f>
        <v>1374942.408926711</v>
      </c>
      <c r="P49" s="30" t="str">
        <f t="shared" ca="1" si="3"/>
        <v>=$J$20*1+$J$21*D20+$J$22*E20+$J$23*F20+$J$24*G20</v>
      </c>
    </row>
    <row r="50" spans="1:16" x14ac:dyDescent="0.25">
      <c r="A50"/>
      <c r="B50"/>
      <c r="C50"/>
      <c r="D50"/>
      <c r="L50">
        <v>20</v>
      </c>
      <c r="M50">
        <v>1422327.120591959</v>
      </c>
      <c r="N50">
        <v>-9336.1205919589847</v>
      </c>
      <c r="O50">
        <f>$J$20*1+$J$21*D21+$J$22*E21+$J$23*F21+$J$24*G21</f>
        <v>1422327.120591959</v>
      </c>
      <c r="P50" s="30" t="str">
        <f t="shared" ca="1" si="3"/>
        <v>=$J$20*1+$J$21*D21+$J$22*E21+$J$23*F21+$J$24*G21</v>
      </c>
    </row>
    <row r="51" spans="1:16" x14ac:dyDescent="0.25">
      <c r="A51" s="32" t="s">
        <v>167</v>
      </c>
      <c r="B51"/>
      <c r="C51"/>
      <c r="D51"/>
      <c r="L51">
        <v>21</v>
      </c>
      <c r="M51">
        <v>1273068.6236805178</v>
      </c>
      <c r="N51">
        <v>5322.3763194822241</v>
      </c>
      <c r="O51">
        <f>$J$20*1+$J$21*D22+$J$22*E22+$J$23*F22+$J$24*G22</f>
        <v>1273068.6236805178</v>
      </c>
      <c r="P51" s="30" t="str">
        <f t="shared" ca="1" si="3"/>
        <v>=$J$20*1+$J$21*D22+$J$22*E22+$J$23*F22+$J$24*G22</v>
      </c>
    </row>
    <row r="52" spans="1:16" x14ac:dyDescent="0.25">
      <c r="A52"/>
      <c r="B52"/>
      <c r="C52"/>
      <c r="D52"/>
      <c r="L52">
        <v>22</v>
      </c>
      <c r="M52">
        <v>1391718.0943428301</v>
      </c>
      <c r="N52">
        <v>-4800.0943428301252</v>
      </c>
      <c r="O52">
        <f>$J$20*1+$J$21*D23+$J$22*E23+$J$23*F23+$J$24*G23</f>
        <v>1391718.0943428301</v>
      </c>
      <c r="P52" s="30" t="str">
        <f t="shared" ca="1" si="3"/>
        <v>=$J$20*1+$J$21*D23+$J$22*E23+$J$23*F23+$J$24*G23</v>
      </c>
    </row>
    <row r="53" spans="1:16" x14ac:dyDescent="0.25">
      <c r="A53" t="s">
        <v>169</v>
      </c>
      <c r="B53"/>
      <c r="C53"/>
      <c r="D53"/>
      <c r="L53">
        <v>23</v>
      </c>
      <c r="M53">
        <v>1408122.9904324424</v>
      </c>
      <c r="N53">
        <v>-8837.9904324423987</v>
      </c>
      <c r="O53">
        <f>$J$20*1+$J$21*D24+$J$22*E24+$J$23*F24+$J$24*G24</f>
        <v>1408122.9904324424</v>
      </c>
      <c r="P53" s="30" t="str">
        <f t="shared" ca="1" si="3"/>
        <v>=$J$20*1+$J$21*D24+$J$22*E24+$J$23*F24+$J$24*G24</v>
      </c>
    </row>
    <row r="54" spans="1:16" x14ac:dyDescent="0.25">
      <c r="A54"/>
      <c r="B54"/>
      <c r="C54"/>
      <c r="D54"/>
      <c r="L54">
        <v>24</v>
      </c>
      <c r="M54">
        <v>1468098.6859050039</v>
      </c>
      <c r="N54">
        <v>-6318.6859050039202</v>
      </c>
      <c r="O54">
        <f>$J$20*1+$J$21*D25+$J$22*E25+$J$23*F25+$J$24*G25</f>
        <v>1468098.6859050039</v>
      </c>
      <c r="P54" s="30" t="str">
        <f t="shared" ca="1" si="3"/>
        <v>=$J$20*1+$J$21*D25+$J$22*E25+$J$23*F25+$J$24*G25</v>
      </c>
    </row>
    <row r="55" spans="1:16" x14ac:dyDescent="0.25">
      <c r="A55"/>
      <c r="B55"/>
      <c r="C55"/>
      <c r="D55"/>
      <c r="L55">
        <v>25</v>
      </c>
      <c r="M55">
        <v>1326786.5746971914</v>
      </c>
      <c r="N55">
        <v>-2533.5746971913613</v>
      </c>
      <c r="O55">
        <f>$J$20*1+$J$21*D26+$J$22*E26+$J$23*F26+$J$24*G26</f>
        <v>1326786.5746971914</v>
      </c>
      <c r="P55" s="30" t="str">
        <f t="shared" ca="1" si="3"/>
        <v>=$J$20*1+$J$21*D26+$J$22*E26+$J$23*F26+$J$24*G26</v>
      </c>
    </row>
    <row r="56" spans="1:16" x14ac:dyDescent="0.25">
      <c r="A56"/>
      <c r="B56"/>
      <c r="C56"/>
      <c r="D56"/>
      <c r="L56">
        <v>26</v>
      </c>
      <c r="M56">
        <v>1442337.7796643761</v>
      </c>
      <c r="N56">
        <v>3161.2203356239479</v>
      </c>
      <c r="O56">
        <f>$J$20*1+$J$21*D27+$J$22*E27+$J$23*F27+$J$24*G27</f>
        <v>1442337.7796643761</v>
      </c>
      <c r="P56" s="30" t="str">
        <f t="shared" ca="1" si="3"/>
        <v>=$J$20*1+$J$21*D27+$J$22*E27+$J$23*F27+$J$24*G27</v>
      </c>
    </row>
    <row r="57" spans="1:16" x14ac:dyDescent="0.25">
      <c r="A57"/>
      <c r="B57"/>
      <c r="C57"/>
      <c r="D57"/>
      <c r="L57">
        <v>27</v>
      </c>
      <c r="M57">
        <v>1463846.755887707</v>
      </c>
      <c r="N57">
        <v>-12759.755887706997</v>
      </c>
      <c r="O57">
        <f>$J$20*1+$J$21*D28+$J$22*E28+$J$23*F28+$J$24*G28</f>
        <v>1463846.755887707</v>
      </c>
      <c r="P57" s="30" t="str">
        <f t="shared" ca="1" si="3"/>
        <v>=$J$20*1+$J$21*D28+$J$22*E28+$J$23*F28+$J$24*G28</v>
      </c>
    </row>
    <row r="58" spans="1:16" x14ac:dyDescent="0.25">
      <c r="A58"/>
      <c r="B58"/>
      <c r="C58"/>
      <c r="D58"/>
      <c r="L58">
        <v>28</v>
      </c>
      <c r="M58">
        <v>1531485.432636413</v>
      </c>
      <c r="N58">
        <v>4764.5673635869753</v>
      </c>
      <c r="O58">
        <f>$J$20*1+$J$21*D29+$J$22*E29+$J$23*F29+$J$24*G29</f>
        <v>1531485.432636413</v>
      </c>
      <c r="P58" s="30" t="str">
        <f t="shared" ca="1" si="3"/>
        <v>=$J$20*1+$J$21*D29+$J$22*E29+$J$23*F29+$J$24*G29</v>
      </c>
    </row>
    <row r="59" spans="1:16" x14ac:dyDescent="0.25">
      <c r="A59"/>
      <c r="B59"/>
      <c r="C59"/>
      <c r="D59"/>
      <c r="L59">
        <v>29</v>
      </c>
      <c r="M59">
        <v>1397132.2023274708</v>
      </c>
      <c r="N59">
        <v>-7088.2023274707608</v>
      </c>
      <c r="O59">
        <f>$J$20*1+$J$21*D30+$J$22*E30+$J$23*F30+$J$24*G30</f>
        <v>1397132.202327471</v>
      </c>
      <c r="P59" s="30" t="str">
        <f t="shared" ca="1" si="3"/>
        <v>=$J$20*1+$J$21*D30+$J$22*E30+$J$23*F30+$J$24*G30</v>
      </c>
    </row>
    <row r="60" spans="1:16" x14ac:dyDescent="0.25">
      <c r="A60"/>
      <c r="B60"/>
      <c r="C60"/>
      <c r="D60"/>
      <c r="L60">
        <v>30</v>
      </c>
      <c r="M60">
        <v>1524490.128158126</v>
      </c>
      <c r="N60">
        <v>-5421.1281581260264</v>
      </c>
      <c r="O60">
        <f>$J$20*1+$J$21*D31+$J$22*E31+$J$23*F31+$J$24*G31</f>
        <v>1524490.1281581263</v>
      </c>
      <c r="P60" s="30" t="str">
        <f t="shared" ca="1" si="3"/>
        <v>=$J$20*1+$J$21*D31+$J$22*E31+$J$23*F31+$J$24*G31</v>
      </c>
    </row>
    <row r="61" spans="1:16" x14ac:dyDescent="0.25">
      <c r="A61"/>
      <c r="B61"/>
      <c r="C61"/>
      <c r="D61"/>
      <c r="L61">
        <v>31</v>
      </c>
      <c r="M61">
        <v>1542639.5577269988</v>
      </c>
      <c r="N61">
        <v>-5871.5577269988135</v>
      </c>
      <c r="O61">
        <f>$J$20*1+$J$21*D32+$J$22*E32+$J$23*F32+$J$24*G32</f>
        <v>1542639.557726999</v>
      </c>
      <c r="P61" s="30" t="str">
        <f t="shared" ca="1" si="3"/>
        <v>=$J$20*1+$J$21*D32+$J$22*E32+$J$23*F32+$J$24*G32</v>
      </c>
    </row>
    <row r="62" spans="1:16" x14ac:dyDescent="0.25">
      <c r="A62"/>
      <c r="B62"/>
      <c r="C62"/>
      <c r="D62"/>
      <c r="L62">
        <v>32</v>
      </c>
      <c r="M62">
        <v>1599528.399293385</v>
      </c>
      <c r="N62">
        <v>-14089.39929338498</v>
      </c>
      <c r="O62">
        <f>$J$20*1+$J$21*D33+$J$22*E33+$J$23*F33+$J$24*G33</f>
        <v>1599528.3992933852</v>
      </c>
      <c r="P62" s="30" t="str">
        <f t="shared" ca="1" si="3"/>
        <v>=$J$20*1+$J$21*D33+$J$22*E33+$J$23*F33+$J$24*G33</v>
      </c>
    </row>
    <row r="63" spans="1:16" x14ac:dyDescent="0.25">
      <c r="A63"/>
      <c r="B63"/>
      <c r="C63"/>
      <c r="D63"/>
      <c r="L63">
        <v>33</v>
      </c>
      <c r="M63">
        <v>1458258.3646816493</v>
      </c>
      <c r="N63">
        <v>-40767.364681649255</v>
      </c>
      <c r="O63">
        <f>$J$20*1+$J$21*D34+$J$22*E34+$J$23*F34+$J$24*G34</f>
        <v>1458258.3646816493</v>
      </c>
      <c r="P63" s="30" t="str">
        <f t="shared" ca="1" si="3"/>
        <v>=$J$20*1+$J$21*D34+$J$22*E34+$J$23*F34+$J$24*G34</v>
      </c>
    </row>
    <row r="64" spans="1:16" x14ac:dyDescent="0.25">
      <c r="A64"/>
      <c r="B64"/>
      <c r="C64"/>
      <c r="D64"/>
      <c r="L64">
        <v>34</v>
      </c>
      <c r="M64">
        <v>1578904.3383228553</v>
      </c>
      <c r="N64">
        <v>-4088.3383228552993</v>
      </c>
      <c r="O64">
        <f>$J$20*1+$J$21*D35+$J$22*E35+$J$23*F35+$J$24*G35</f>
        <v>1578904.3383228553</v>
      </c>
      <c r="P64" s="30" t="str">
        <f t="shared" ca="1" si="3"/>
        <v>=$J$20*1+$J$21*D35+$J$22*E35+$J$23*F35+$J$24*G35</v>
      </c>
    </row>
    <row r="65" spans="1:16" x14ac:dyDescent="0.25">
      <c r="A65"/>
      <c r="B65"/>
      <c r="C65"/>
      <c r="D65"/>
      <c r="L65">
        <v>35</v>
      </c>
      <c r="M65">
        <v>1598480.4515437211</v>
      </c>
      <c r="N65">
        <v>-2857.4515437211376</v>
      </c>
      <c r="O65">
        <f>$J$20*1+$J$21*D36+$J$22*E36+$J$23*F36+$J$24*G36</f>
        <v>1598480.4515437211</v>
      </c>
      <c r="P65" s="30" t="str">
        <f t="shared" ca="1" si="3"/>
        <v>=$J$20*1+$J$21*D36+$J$22*E36+$J$23*F36+$J$24*G36</v>
      </c>
    </row>
    <row r="66" spans="1:16" x14ac:dyDescent="0.25">
      <c r="A66"/>
      <c r="B66"/>
      <c r="C66"/>
      <c r="D66"/>
      <c r="L66">
        <v>36</v>
      </c>
      <c r="M66">
        <v>1658165.4614473809</v>
      </c>
      <c r="N66">
        <v>-5894.4614473809488</v>
      </c>
      <c r="O66">
        <f>$J$20*1+$J$21*D37+$J$22*E37+$J$23*F37+$J$24*G37</f>
        <v>1658165.4614473809</v>
      </c>
      <c r="P66" s="30" t="str">
        <f t="shared" ca="1" si="3"/>
        <v>=$J$20*1+$J$21*D37+$J$22*E37+$J$23*F37+$J$24*G37</v>
      </c>
    </row>
    <row r="67" spans="1:16" x14ac:dyDescent="0.25">
      <c r="A67"/>
      <c r="B67"/>
      <c r="C67"/>
      <c r="D67"/>
      <c r="L67">
        <v>37</v>
      </c>
      <c r="M67">
        <v>1489471.3577412318</v>
      </c>
      <c r="N67">
        <v>-46228.357741231797</v>
      </c>
      <c r="O67">
        <f>$J$20*1+$J$21*D38+$J$22*E38+$J$23*F38+$J$24*G38</f>
        <v>1489471.3577412318</v>
      </c>
      <c r="P67" s="30" t="str">
        <f t="shared" ca="1" si="3"/>
        <v>=$J$20*1+$J$21*D38+$J$22*E38+$J$23*F38+$J$24*G38</v>
      </c>
    </row>
    <row r="68" spans="1:16" x14ac:dyDescent="0.25">
      <c r="A68"/>
      <c r="B68"/>
      <c r="C68"/>
      <c r="D68"/>
      <c r="L68">
        <v>38</v>
      </c>
      <c r="M68">
        <v>1452201.0658681314</v>
      </c>
      <c r="N68">
        <v>3386.9341318686493</v>
      </c>
      <c r="O68">
        <f>$J$20*1+$J$21*D39+$J$22*E39+$J$23*F39+$J$24*G39</f>
        <v>1452201.0658681314</v>
      </c>
      <c r="P68" s="30" t="str">
        <f t="shared" ca="1" si="3"/>
        <v>=$J$20*1+$J$21*D39+$J$22*E39+$J$23*F39+$J$24*G39</v>
      </c>
    </row>
    <row r="69" spans="1:16" x14ac:dyDescent="0.25">
      <c r="A69"/>
      <c r="B69"/>
      <c r="C69"/>
      <c r="D69"/>
      <c r="L69">
        <v>39</v>
      </c>
      <c r="M69">
        <v>1572571.2799300142</v>
      </c>
      <c r="N69">
        <v>66837.720069985837</v>
      </c>
      <c r="O69">
        <f>$J$20*1+$J$21*D40+$J$22*E40+$J$23*F40+$J$24*G40</f>
        <v>1572571.2799300142</v>
      </c>
      <c r="P69" s="30" t="str">
        <f t="shared" ca="1" si="3"/>
        <v>=$J$20*1+$J$21*D40+$J$22*E40+$J$23*F40+$J$24*G40</v>
      </c>
    </row>
    <row r="70" spans="1:16" ht="14.4" thickBot="1" x14ac:dyDescent="0.3">
      <c r="A70"/>
      <c r="B70"/>
      <c r="C70"/>
      <c r="D70"/>
      <c r="L70" s="8">
        <v>40</v>
      </c>
      <c r="M70" s="8">
        <v>1639997.7534129831</v>
      </c>
      <c r="N70" s="8">
        <v>78795.246587016853</v>
      </c>
      <c r="O70">
        <f>$J$20*1+$J$21*D41+$J$22*E41+$J$23*F41+$J$24*G41</f>
        <v>1639997.7534129831</v>
      </c>
      <c r="P70" s="30" t="str">
        <f t="shared" ca="1" si="3"/>
        <v>=$J$20*1+$J$21*D41+$J$22*E41+$J$23*F41+$J$24*G41</v>
      </c>
    </row>
    <row r="71" spans="1:16" x14ac:dyDescent="0.25">
      <c r="A71"/>
      <c r="B71"/>
      <c r="C71"/>
      <c r="D71"/>
    </row>
    <row r="72" spans="1:16" x14ac:dyDescent="0.25">
      <c r="A72" t="s">
        <v>168</v>
      </c>
      <c r="B72"/>
      <c r="C72"/>
      <c r="D72"/>
    </row>
    <row r="73" spans="1:16" x14ac:dyDescent="0.25">
      <c r="A73"/>
      <c r="B73"/>
      <c r="C73"/>
      <c r="D73"/>
    </row>
    <row r="74" spans="1:16" x14ac:dyDescent="0.25">
      <c r="A74"/>
      <c r="B74"/>
      <c r="C74"/>
      <c r="D74"/>
    </row>
    <row r="75" spans="1:16" x14ac:dyDescent="0.25">
      <c r="A75"/>
      <c r="B75"/>
      <c r="C75"/>
      <c r="D75"/>
    </row>
    <row r="76" spans="1:16" x14ac:dyDescent="0.25">
      <c r="A76"/>
      <c r="B76"/>
      <c r="C76"/>
      <c r="D76"/>
    </row>
    <row r="77" spans="1:16" x14ac:dyDescent="0.25">
      <c r="A77"/>
      <c r="B77"/>
      <c r="C77"/>
      <c r="D77"/>
    </row>
    <row r="78" spans="1:16" x14ac:dyDescent="0.25">
      <c r="A78"/>
      <c r="B78"/>
      <c r="C78"/>
      <c r="D78"/>
    </row>
    <row r="79" spans="1:16" x14ac:dyDescent="0.25">
      <c r="A79"/>
      <c r="B79"/>
      <c r="C79"/>
      <c r="D79"/>
    </row>
    <row r="80" spans="1:16" x14ac:dyDescent="0.25">
      <c r="A80"/>
      <c r="B80"/>
      <c r="C80"/>
      <c r="D80"/>
    </row>
    <row r="81" spans="1:8" x14ac:dyDescent="0.25">
      <c r="A81"/>
      <c r="B81"/>
      <c r="C81"/>
      <c r="D81"/>
    </row>
    <row r="82" spans="1:8" x14ac:dyDescent="0.25">
      <c r="A82"/>
      <c r="B82"/>
      <c r="C82"/>
      <c r="D82"/>
    </row>
    <row r="83" spans="1:8" x14ac:dyDescent="0.25">
      <c r="A83"/>
      <c r="B83"/>
      <c r="C83"/>
      <c r="D83"/>
    </row>
    <row r="84" spans="1:8" x14ac:dyDescent="0.25">
      <c r="A84"/>
      <c r="B84"/>
      <c r="C84"/>
      <c r="D84"/>
    </row>
    <row r="85" spans="1:8" x14ac:dyDescent="0.25">
      <c r="A85"/>
      <c r="B85"/>
      <c r="C85"/>
      <c r="D85"/>
    </row>
    <row r="86" spans="1:8" x14ac:dyDescent="0.25">
      <c r="A86"/>
      <c r="B86"/>
      <c r="C86"/>
      <c r="D86"/>
    </row>
    <row r="87" spans="1:8" x14ac:dyDescent="0.25">
      <c r="A87"/>
      <c r="B87"/>
      <c r="C87"/>
      <c r="D87"/>
    </row>
    <row r="88" spans="1:8" x14ac:dyDescent="0.25">
      <c r="A88"/>
      <c r="B88"/>
      <c r="C88"/>
      <c r="D88"/>
    </row>
    <row r="89" spans="1:8" x14ac:dyDescent="0.25">
      <c r="A89"/>
      <c r="B89"/>
      <c r="C89"/>
      <c r="D89"/>
    </row>
    <row r="90" spans="1:8" x14ac:dyDescent="0.25">
      <c r="A90"/>
      <c r="B90"/>
      <c r="C90"/>
      <c r="D90"/>
    </row>
    <row r="91" spans="1:8" x14ac:dyDescent="0.25">
      <c r="A91" t="s">
        <v>170</v>
      </c>
      <c r="B91"/>
      <c r="C91"/>
      <c r="D91"/>
    </row>
    <row r="92" spans="1:8" x14ac:dyDescent="0.25">
      <c r="A92" s="16" t="s">
        <v>171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6"/>
      <c r="B93" s="16"/>
      <c r="C93" s="16"/>
      <c r="D93" s="16"/>
      <c r="E93" s="16"/>
      <c r="F93" s="16"/>
      <c r="G93" s="16"/>
      <c r="H93" s="16"/>
    </row>
    <row r="94" spans="1:8" x14ac:dyDescent="0.25">
      <c r="A94" s="16"/>
      <c r="B94" s="16"/>
      <c r="C94" s="16"/>
      <c r="D94" s="16"/>
      <c r="E94" s="16"/>
      <c r="F94" s="16"/>
      <c r="G94" s="16"/>
      <c r="H94" s="16"/>
    </row>
    <row r="95" spans="1:8" x14ac:dyDescent="0.25">
      <c r="A95" s="16"/>
      <c r="B95" s="16"/>
      <c r="C95" s="16"/>
      <c r="D95" s="16"/>
      <c r="E95" s="16"/>
      <c r="F95" s="16"/>
      <c r="G95" s="16"/>
      <c r="H95" s="16"/>
    </row>
    <row r="96" spans="1:8" x14ac:dyDescent="0.25">
      <c r="A96" s="16"/>
      <c r="B96" s="16"/>
      <c r="C96" s="16"/>
      <c r="D96" s="16"/>
      <c r="E96" s="16"/>
      <c r="F96" s="16"/>
      <c r="G96" s="16"/>
      <c r="H96" s="16"/>
    </row>
    <row r="97" spans="1:8" x14ac:dyDescent="0.25">
      <c r="A97" s="16"/>
      <c r="B97" s="16"/>
      <c r="C97" s="16"/>
      <c r="D97" s="16"/>
      <c r="E97" s="16"/>
      <c r="F97" s="16"/>
      <c r="G97" s="16"/>
      <c r="H97" s="16"/>
    </row>
    <row r="98" spans="1:8" x14ac:dyDescent="0.25">
      <c r="A98" s="16"/>
      <c r="B98" s="16"/>
      <c r="C98" s="16"/>
      <c r="D98" s="16"/>
      <c r="E98" s="16"/>
      <c r="F98" s="16"/>
      <c r="G98" s="16"/>
      <c r="H98" s="16"/>
    </row>
    <row r="99" spans="1:8" x14ac:dyDescent="0.25">
      <c r="A99" s="16"/>
      <c r="B99" s="16"/>
      <c r="C99" s="16"/>
      <c r="D99" s="16"/>
      <c r="E99" s="16"/>
      <c r="F99" s="16"/>
      <c r="G99" s="16"/>
      <c r="H99" s="16"/>
    </row>
    <row r="100" spans="1:8" x14ac:dyDescent="0.25">
      <c r="A100" s="16"/>
      <c r="B100" s="16"/>
      <c r="C100" s="16"/>
      <c r="D100" s="16"/>
      <c r="E100" s="16"/>
      <c r="F100" s="16"/>
      <c r="G100" s="16"/>
      <c r="H100" s="16"/>
    </row>
    <row r="101" spans="1:8" x14ac:dyDescent="0.25">
      <c r="A101" s="16"/>
      <c r="B101" s="16"/>
      <c r="C101" s="16"/>
      <c r="D101" s="16"/>
      <c r="E101" s="16"/>
      <c r="F101" s="16"/>
      <c r="G101" s="16"/>
      <c r="H101" s="16"/>
    </row>
    <row r="102" spans="1:8" x14ac:dyDescent="0.25">
      <c r="A102"/>
      <c r="B102"/>
      <c r="C102"/>
      <c r="D102"/>
    </row>
    <row r="103" spans="1:8" x14ac:dyDescent="0.25">
      <c r="A103"/>
      <c r="B103"/>
      <c r="C103"/>
      <c r="D103"/>
    </row>
    <row r="104" spans="1:8" x14ac:dyDescent="0.25">
      <c r="A104"/>
      <c r="B104"/>
      <c r="C104"/>
      <c r="D104"/>
    </row>
    <row r="105" spans="1:8" x14ac:dyDescent="0.25">
      <c r="A105"/>
      <c r="B105"/>
      <c r="C105"/>
      <c r="D105"/>
    </row>
    <row r="106" spans="1:8" x14ac:dyDescent="0.25">
      <c r="A106"/>
      <c r="B106"/>
      <c r="C106"/>
      <c r="D106"/>
    </row>
    <row r="107" spans="1:8" x14ac:dyDescent="0.25">
      <c r="E107" s="5"/>
      <c r="F107" s="3"/>
    </row>
    <row r="108" spans="1:8" x14ac:dyDescent="0.25">
      <c r="E108" s="5"/>
      <c r="F108" s="3"/>
    </row>
    <row r="109" spans="1:8" x14ac:dyDescent="0.25">
      <c r="E109" s="5"/>
      <c r="F109" s="3"/>
    </row>
    <row r="110" spans="1:8" x14ac:dyDescent="0.25">
      <c r="E110" s="5"/>
      <c r="F110" s="3"/>
    </row>
    <row r="111" spans="1:8" x14ac:dyDescent="0.25">
      <c r="E111" s="5"/>
      <c r="F111" s="3"/>
    </row>
    <row r="112" spans="1:8" x14ac:dyDescent="0.25">
      <c r="E112" s="5"/>
      <c r="F112" s="3"/>
    </row>
    <row r="113" spans="5:6" x14ac:dyDescent="0.25">
      <c r="E113" s="5"/>
      <c r="F113" s="3"/>
    </row>
    <row r="114" spans="5:6" x14ac:dyDescent="0.25">
      <c r="E114" s="5"/>
      <c r="F114" s="3"/>
    </row>
    <row r="115" spans="5:6" x14ac:dyDescent="0.25">
      <c r="E115" s="5"/>
      <c r="F115" s="3"/>
    </row>
    <row r="116" spans="5:6" x14ac:dyDescent="0.25">
      <c r="E116" s="5"/>
      <c r="F116" s="3"/>
    </row>
    <row r="117" spans="5:6" x14ac:dyDescent="0.25">
      <c r="E117" s="5"/>
      <c r="F117" s="3"/>
    </row>
    <row r="118" spans="5:6" x14ac:dyDescent="0.25">
      <c r="E118" s="5"/>
      <c r="F118" s="3"/>
    </row>
    <row r="119" spans="5:6" x14ac:dyDescent="0.25">
      <c r="E119" s="5"/>
      <c r="F119" s="3"/>
    </row>
    <row r="120" spans="5:6" x14ac:dyDescent="0.25">
      <c r="E120" s="5"/>
      <c r="F120" s="3"/>
    </row>
    <row r="121" spans="5:6" x14ac:dyDescent="0.25">
      <c r="E121" s="5"/>
      <c r="F121" s="3"/>
    </row>
    <row r="122" spans="5:6" ht="13.95" customHeight="1" x14ac:dyDescent="0.25">
      <c r="F122" s="3"/>
    </row>
    <row r="123" spans="5:6" x14ac:dyDescent="0.25">
      <c r="F123" s="3"/>
    </row>
    <row r="124" spans="5:6" x14ac:dyDescent="0.25">
      <c r="F124" s="3"/>
    </row>
    <row r="125" spans="5:6" x14ac:dyDescent="0.25">
      <c r="F125" s="3"/>
    </row>
    <row r="126" spans="5:6" x14ac:dyDescent="0.25">
      <c r="F126" s="3"/>
    </row>
    <row r="127" spans="5:6" x14ac:dyDescent="0.25">
      <c r="F127" s="3"/>
    </row>
    <row r="128" spans="5:6" x14ac:dyDescent="0.25">
      <c r="F128" s="3"/>
    </row>
    <row r="129" spans="6:6" x14ac:dyDescent="0.25">
      <c r="F129" s="3"/>
    </row>
    <row r="130" spans="6:6" x14ac:dyDescent="0.25">
      <c r="F130" s="3"/>
    </row>
    <row r="131" spans="6:6" x14ac:dyDescent="0.25">
      <c r="F131" s="3"/>
    </row>
    <row r="132" spans="6:6" x14ac:dyDescent="0.25">
      <c r="F132" s="3"/>
    </row>
    <row r="133" spans="6:6" x14ac:dyDescent="0.25">
      <c r="F133" s="3"/>
    </row>
    <row r="134" spans="6:6" x14ac:dyDescent="0.25">
      <c r="F134" s="3"/>
    </row>
    <row r="135" spans="6:6" x14ac:dyDescent="0.25">
      <c r="F135" s="3"/>
    </row>
    <row r="136" spans="6:6" x14ac:dyDescent="0.25">
      <c r="F136" s="3"/>
    </row>
    <row r="137" spans="6:6" x14ac:dyDescent="0.25">
      <c r="F137" s="3"/>
    </row>
    <row r="138" spans="6:6" x14ac:dyDescent="0.25">
      <c r="F138" s="3"/>
    </row>
    <row r="139" spans="6:6" x14ac:dyDescent="0.25">
      <c r="F139" s="3"/>
    </row>
    <row r="140" spans="6:6" x14ac:dyDescent="0.25">
      <c r="F140" s="3"/>
    </row>
    <row r="141" spans="6:6" x14ac:dyDescent="0.25">
      <c r="F141" s="3"/>
    </row>
    <row r="142" spans="6:6" x14ac:dyDescent="0.25">
      <c r="F142" s="3"/>
    </row>
    <row r="143" spans="6:6" x14ac:dyDescent="0.25">
      <c r="F143" s="3"/>
    </row>
    <row r="144" spans="6:6" x14ac:dyDescent="0.25">
      <c r="F144" s="3"/>
    </row>
    <row r="145" spans="6:6" x14ac:dyDescent="0.25">
      <c r="F145" s="3"/>
    </row>
    <row r="146" spans="6:6" x14ac:dyDescent="0.25">
      <c r="F146" s="3"/>
    </row>
    <row r="147" spans="6:6" x14ac:dyDescent="0.25">
      <c r="F147" s="3"/>
    </row>
    <row r="148" spans="6:6" x14ac:dyDescent="0.25">
      <c r="F148" s="3"/>
    </row>
    <row r="149" spans="6:6" x14ac:dyDescent="0.25">
      <c r="F149" s="3"/>
    </row>
    <row r="150" spans="6:6" x14ac:dyDescent="0.25">
      <c r="F150" s="3"/>
    </row>
    <row r="151" spans="6:6" x14ac:dyDescent="0.25">
      <c r="F151" s="3"/>
    </row>
    <row r="152" spans="6:6" x14ac:dyDescent="0.25">
      <c r="F152" s="3"/>
    </row>
    <row r="153" spans="6:6" x14ac:dyDescent="0.25">
      <c r="F153" s="3"/>
    </row>
    <row r="154" spans="6:6" x14ac:dyDescent="0.25">
      <c r="F154" s="3"/>
    </row>
    <row r="155" spans="6:6" x14ac:dyDescent="0.25">
      <c r="F155" s="3"/>
    </row>
    <row r="156" spans="6:6" x14ac:dyDescent="0.25">
      <c r="F156" s="3"/>
    </row>
    <row r="157" spans="6:6" x14ac:dyDescent="0.25">
      <c r="F157" s="3"/>
    </row>
    <row r="158" spans="6:6" x14ac:dyDescent="0.25">
      <c r="F158" s="3"/>
    </row>
    <row r="159" spans="6:6" x14ac:dyDescent="0.25">
      <c r="F159" s="3"/>
    </row>
    <row r="160" spans="6:6" x14ac:dyDescent="0.25">
      <c r="F160" s="3"/>
    </row>
    <row r="161" spans="6:6" x14ac:dyDescent="0.25">
      <c r="F161" s="3"/>
    </row>
    <row r="162" spans="6:6" x14ac:dyDescent="0.25">
      <c r="F162" s="3"/>
    </row>
    <row r="163" spans="6:6" x14ac:dyDescent="0.25">
      <c r="F163" s="3"/>
    </row>
    <row r="164" spans="6:6" x14ac:dyDescent="0.25">
      <c r="F164" s="3"/>
    </row>
    <row r="165" spans="6:6" x14ac:dyDescent="0.25">
      <c r="F165" s="3"/>
    </row>
    <row r="166" spans="6:6" x14ac:dyDescent="0.25">
      <c r="F166" s="3"/>
    </row>
    <row r="167" spans="6:6" x14ac:dyDescent="0.25">
      <c r="F167" s="3"/>
    </row>
    <row r="168" spans="6:6" x14ac:dyDescent="0.25">
      <c r="F168" s="3"/>
    </row>
    <row r="169" spans="6:6" x14ac:dyDescent="0.25">
      <c r="F169" s="3"/>
    </row>
    <row r="170" spans="6:6" x14ac:dyDescent="0.25">
      <c r="F170" s="3"/>
    </row>
    <row r="171" spans="6:6" x14ac:dyDescent="0.25">
      <c r="F171" s="3"/>
    </row>
    <row r="172" spans="6:6" x14ac:dyDescent="0.25">
      <c r="F172" s="3"/>
    </row>
    <row r="173" spans="6:6" x14ac:dyDescent="0.25">
      <c r="F173" s="3"/>
    </row>
    <row r="174" spans="6:6" x14ac:dyDescent="0.25">
      <c r="F174" s="3"/>
    </row>
    <row r="175" spans="6:6" x14ac:dyDescent="0.25">
      <c r="F175" s="3"/>
    </row>
    <row r="176" spans="6:6" x14ac:dyDescent="0.25">
      <c r="F176" s="3"/>
    </row>
    <row r="177" spans="6:6" x14ac:dyDescent="0.25">
      <c r="F177" s="3"/>
    </row>
    <row r="178" spans="6:6" x14ac:dyDescent="0.25">
      <c r="F178" s="3"/>
    </row>
    <row r="179" spans="6:6" x14ac:dyDescent="0.25">
      <c r="F179" s="3"/>
    </row>
    <row r="180" spans="6:6" x14ac:dyDescent="0.25">
      <c r="F180" s="3"/>
    </row>
    <row r="181" spans="6:6" x14ac:dyDescent="0.25">
      <c r="F181" s="3"/>
    </row>
    <row r="182" spans="6:6" x14ac:dyDescent="0.25">
      <c r="F182" s="3"/>
    </row>
    <row r="183" spans="6:6" x14ac:dyDescent="0.25">
      <c r="F183" s="3"/>
    </row>
    <row r="184" spans="6:6" x14ac:dyDescent="0.25">
      <c r="F184" s="3"/>
    </row>
    <row r="185" spans="6:6" x14ac:dyDescent="0.25">
      <c r="F185" s="3"/>
    </row>
    <row r="186" spans="6:6" x14ac:dyDescent="0.25">
      <c r="F186" s="3"/>
    </row>
    <row r="187" spans="6:6" x14ac:dyDescent="0.25">
      <c r="F187" s="3"/>
    </row>
    <row r="188" spans="6:6" x14ac:dyDescent="0.25">
      <c r="F188" s="3"/>
    </row>
    <row r="189" spans="6:6" x14ac:dyDescent="0.25">
      <c r="F189" s="3"/>
    </row>
    <row r="190" spans="6:6" x14ac:dyDescent="0.25">
      <c r="F190" s="3"/>
    </row>
    <row r="191" spans="6:6" x14ac:dyDescent="0.25">
      <c r="F191" s="3"/>
    </row>
    <row r="192" spans="6:6" x14ac:dyDescent="0.25">
      <c r="F192" s="3"/>
    </row>
    <row r="193" spans="6:6" x14ac:dyDescent="0.25">
      <c r="F193" s="3"/>
    </row>
    <row r="194" spans="6:6" x14ac:dyDescent="0.25">
      <c r="F194" s="3"/>
    </row>
    <row r="195" spans="6:6" x14ac:dyDescent="0.25">
      <c r="F195" s="3"/>
    </row>
    <row r="196" spans="6:6" x14ac:dyDescent="0.25">
      <c r="F196" s="3"/>
    </row>
    <row r="197" spans="6:6" x14ac:dyDescent="0.25">
      <c r="F197" s="3"/>
    </row>
    <row r="198" spans="6:6" x14ac:dyDescent="0.25">
      <c r="F198" s="3"/>
    </row>
    <row r="199" spans="6:6" x14ac:dyDescent="0.25">
      <c r="F199" s="3"/>
    </row>
    <row r="200" spans="6:6" x14ac:dyDescent="0.25">
      <c r="F200" s="3"/>
    </row>
    <row r="201" spans="6:6" x14ac:dyDescent="0.25">
      <c r="F201" s="3"/>
    </row>
    <row r="202" spans="6:6" x14ac:dyDescent="0.25">
      <c r="F202" s="3"/>
    </row>
    <row r="203" spans="6:6" x14ac:dyDescent="0.25">
      <c r="F203" s="3"/>
    </row>
    <row r="204" spans="6:6" x14ac:dyDescent="0.25">
      <c r="F204" s="3"/>
    </row>
    <row r="205" spans="6:6" x14ac:dyDescent="0.25">
      <c r="F205" s="3"/>
    </row>
    <row r="206" spans="6:6" x14ac:dyDescent="0.25">
      <c r="F206" s="3"/>
    </row>
    <row r="207" spans="6:6" x14ac:dyDescent="0.25">
      <c r="F207" s="3"/>
    </row>
    <row r="208" spans="6:6" x14ac:dyDescent="0.25">
      <c r="F208" s="3"/>
    </row>
    <row r="209" spans="6:6" x14ac:dyDescent="0.25">
      <c r="F209" s="3"/>
    </row>
    <row r="210" spans="6:6" x14ac:dyDescent="0.25">
      <c r="F210" s="3"/>
    </row>
    <row r="211" spans="6:6" x14ac:dyDescent="0.25">
      <c r="F211" s="3"/>
    </row>
    <row r="212" spans="6:6" x14ac:dyDescent="0.25">
      <c r="F212" s="3"/>
    </row>
    <row r="213" spans="6:6" x14ac:dyDescent="0.25">
      <c r="F213" s="3"/>
    </row>
    <row r="214" spans="6:6" x14ac:dyDescent="0.25">
      <c r="F214" s="3"/>
    </row>
    <row r="215" spans="6:6" x14ac:dyDescent="0.25">
      <c r="F215" s="3"/>
    </row>
    <row r="216" spans="6:6" x14ac:dyDescent="0.25">
      <c r="F216" s="3"/>
    </row>
    <row r="217" spans="6:6" x14ac:dyDescent="0.25">
      <c r="F217" s="3"/>
    </row>
    <row r="218" spans="6:6" x14ac:dyDescent="0.25">
      <c r="F218" s="3"/>
    </row>
    <row r="219" spans="6:6" x14ac:dyDescent="0.25">
      <c r="F219" s="3"/>
    </row>
    <row r="220" spans="6:6" x14ac:dyDescent="0.25">
      <c r="F220" s="3"/>
    </row>
    <row r="221" spans="6:6" x14ac:dyDescent="0.25">
      <c r="F221" s="3"/>
    </row>
    <row r="222" spans="6:6" x14ac:dyDescent="0.25">
      <c r="F222" s="3"/>
    </row>
    <row r="223" spans="6:6" x14ac:dyDescent="0.25">
      <c r="F223" s="3"/>
    </row>
    <row r="224" spans="6:6" x14ac:dyDescent="0.25">
      <c r="F224" s="3"/>
    </row>
    <row r="225" spans="6:6" x14ac:dyDescent="0.25">
      <c r="F225" s="3"/>
    </row>
    <row r="226" spans="6:6" x14ac:dyDescent="0.25">
      <c r="F226" s="3"/>
    </row>
    <row r="227" spans="6:6" x14ac:dyDescent="0.25">
      <c r="F227" s="3"/>
    </row>
    <row r="228" spans="6:6" x14ac:dyDescent="0.25">
      <c r="F228" s="3"/>
    </row>
    <row r="229" spans="6:6" x14ac:dyDescent="0.25">
      <c r="F229" s="3"/>
    </row>
    <row r="230" spans="6:6" x14ac:dyDescent="0.25">
      <c r="F230" s="3"/>
    </row>
    <row r="231" spans="6:6" x14ac:dyDescent="0.25">
      <c r="F231" s="3"/>
    </row>
    <row r="232" spans="6:6" x14ac:dyDescent="0.25">
      <c r="F232" s="3"/>
    </row>
    <row r="233" spans="6:6" x14ac:dyDescent="0.25">
      <c r="F233" s="3"/>
    </row>
    <row r="234" spans="6:6" x14ac:dyDescent="0.25">
      <c r="F234" s="3"/>
    </row>
    <row r="235" spans="6:6" x14ac:dyDescent="0.25">
      <c r="F235" s="3"/>
    </row>
    <row r="236" spans="6:6" x14ac:dyDescent="0.25">
      <c r="F236" s="3"/>
    </row>
    <row r="237" spans="6:6" x14ac:dyDescent="0.25">
      <c r="F237" s="3"/>
    </row>
    <row r="238" spans="6:6" x14ac:dyDescent="0.25">
      <c r="F238" s="3"/>
    </row>
    <row r="239" spans="6:6" x14ac:dyDescent="0.25">
      <c r="F239" s="3"/>
    </row>
    <row r="240" spans="6:6" x14ac:dyDescent="0.25">
      <c r="F240" s="3"/>
    </row>
    <row r="241" spans="6:6" x14ac:dyDescent="0.25">
      <c r="F241" s="3"/>
    </row>
    <row r="242" spans="6:6" x14ac:dyDescent="0.25">
      <c r="F242" s="3"/>
    </row>
    <row r="243" spans="6:6" x14ac:dyDescent="0.25">
      <c r="F243" s="3"/>
    </row>
    <row r="244" spans="6:6" x14ac:dyDescent="0.25">
      <c r="F244" s="3"/>
    </row>
  </sheetData>
  <mergeCells count="1">
    <mergeCell ref="A92:H101"/>
  </mergeCells>
  <phoneticPr fontId="7" type="noConversion"/>
  <pageMargins left="0.70866141732283472" right="0.70866141732283472" top="0.74803149606299213" bottom="0.74803149606299213" header="0.31496062992125984" footer="0.31496062992125984"/>
  <pageSetup scale="24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76A6-CA1A-42EF-9959-6CB081692E44}">
  <sheetPr>
    <pageSetUpPr fitToPage="1"/>
  </sheetPr>
  <dimension ref="A1:W245"/>
  <sheetViews>
    <sheetView tabSelected="1" zoomScaleNormal="100" workbookViewId="0">
      <selection activeCell="I32" sqref="I32"/>
    </sheetView>
  </sheetViews>
  <sheetFormatPr defaultColWidth="8.796875" defaultRowHeight="13.8" x14ac:dyDescent="0.25"/>
  <cols>
    <col min="1" max="1" width="9.296875" style="3" customWidth="1"/>
    <col min="2" max="2" width="17.296875" style="3" customWidth="1"/>
    <col min="3" max="3" width="11.19921875" style="3" customWidth="1"/>
    <col min="4" max="4" width="14.69921875" style="3" customWidth="1"/>
    <col min="5" max="5" width="18.69921875" customWidth="1"/>
    <col min="6" max="7" width="19.8984375" bestFit="1" customWidth="1"/>
    <col min="9" max="9" width="16.69921875" bestFit="1" customWidth="1"/>
    <col min="10" max="10" width="16.19921875" bestFit="1" customWidth="1"/>
    <col min="11" max="11" width="12.296875" customWidth="1"/>
    <col min="12" max="12" width="12.796875" customWidth="1"/>
    <col min="13" max="13" width="12.19921875" bestFit="1" customWidth="1"/>
    <col min="14" max="17" width="14.19921875" bestFit="1" customWidth="1"/>
  </cols>
  <sheetData>
    <row r="1" spans="1:17" x14ac:dyDescent="0.25">
      <c r="A1" s="26" t="s">
        <v>122</v>
      </c>
      <c r="B1" s="23" t="s">
        <v>125</v>
      </c>
      <c r="C1" s="36" t="s">
        <v>124</v>
      </c>
      <c r="D1" s="23" t="s">
        <v>123</v>
      </c>
      <c r="E1" s="47" t="str">
        <f ca="1">"d1 "&amp;_xlfn.FORMULATEXT(E2)</f>
        <v>d1 =IF($B2=1,1,0)</v>
      </c>
      <c r="F1" s="47" t="str">
        <f ca="1">"d2 "&amp;_xlfn.FORMULATEXT(F2)</f>
        <v>d2 =IF($B2=2,1,0)</v>
      </c>
      <c r="G1" s="47" t="str">
        <f ca="1">"d3 "&amp;_xlfn.FORMULATEXT(G2)</f>
        <v>d3 =IF($B2=3,1,0)</v>
      </c>
    </row>
    <row r="2" spans="1:17" x14ac:dyDescent="0.25">
      <c r="A2" s="26">
        <v>2011</v>
      </c>
      <c r="B2" s="26">
        <v>1</v>
      </c>
      <c r="C2" s="37">
        <v>1059989</v>
      </c>
      <c r="D2" s="38">
        <v>15285.828</v>
      </c>
      <c r="E2" s="25">
        <f>IF($B2=1,1,0)</f>
        <v>1</v>
      </c>
      <c r="F2" s="25">
        <f>IF($B2=2,1,0)</f>
        <v>0</v>
      </c>
      <c r="G2" s="25">
        <f>IF($B2=3,1,0)</f>
        <v>0</v>
      </c>
      <c r="H2" s="7"/>
      <c r="I2" s="45" t="s">
        <v>157</v>
      </c>
      <c r="J2" s="45"/>
      <c r="K2" s="45"/>
      <c r="L2" s="45"/>
      <c r="M2" s="45"/>
      <c r="N2" s="45"/>
      <c r="O2" s="45"/>
      <c r="P2" s="45"/>
      <c r="Q2" s="45"/>
    </row>
    <row r="3" spans="1:17" x14ac:dyDescent="0.25">
      <c r="A3" s="26">
        <v>2011</v>
      </c>
      <c r="B3" s="26">
        <v>2</v>
      </c>
      <c r="C3" s="37">
        <v>1161474</v>
      </c>
      <c r="D3" s="38">
        <v>15496.189</v>
      </c>
      <c r="E3" s="25">
        <f t="shared" ref="E3:E41" si="0">IF($B3=1,1,0)</f>
        <v>0</v>
      </c>
      <c r="F3" s="25">
        <f t="shared" ref="F3:F41" si="1">IF($B3=2,1,0)</f>
        <v>1</v>
      </c>
      <c r="G3" s="25">
        <f t="shared" ref="G3:G41" si="2">IF($B3=3,1,0)</f>
        <v>0</v>
      </c>
      <c r="I3" s="45"/>
      <c r="J3" s="45"/>
      <c r="K3" s="45"/>
      <c r="L3" s="45"/>
      <c r="M3" s="45"/>
      <c r="N3" s="45"/>
      <c r="O3" s="45"/>
      <c r="P3" s="45"/>
      <c r="Q3" s="45"/>
    </row>
    <row r="4" spans="1:17" x14ac:dyDescent="0.25">
      <c r="A4" s="26">
        <v>2011</v>
      </c>
      <c r="B4" s="26">
        <v>3</v>
      </c>
      <c r="C4" s="37">
        <v>1167991</v>
      </c>
      <c r="D4" s="38">
        <v>15591.85</v>
      </c>
      <c r="E4" s="25">
        <f t="shared" si="0"/>
        <v>0</v>
      </c>
      <c r="F4" s="25">
        <f t="shared" si="1"/>
        <v>0</v>
      </c>
      <c r="G4" s="25">
        <f t="shared" si="2"/>
        <v>1</v>
      </c>
      <c r="I4" t="s">
        <v>126</v>
      </c>
    </row>
    <row r="5" spans="1:17" x14ac:dyDescent="0.25">
      <c r="A5" s="26">
        <v>2011</v>
      </c>
      <c r="B5" s="26">
        <v>4</v>
      </c>
      <c r="C5" s="37">
        <v>1222523</v>
      </c>
      <c r="D5" s="38">
        <v>15796.46</v>
      </c>
      <c r="E5" s="25">
        <f t="shared" si="0"/>
        <v>0</v>
      </c>
      <c r="F5" s="25">
        <f t="shared" si="1"/>
        <v>0</v>
      </c>
      <c r="G5" s="25">
        <f t="shared" si="2"/>
        <v>0</v>
      </c>
    </row>
    <row r="6" spans="1:17" x14ac:dyDescent="0.25">
      <c r="A6" s="26">
        <v>2012</v>
      </c>
      <c r="B6" s="26">
        <v>1</v>
      </c>
      <c r="C6" s="37">
        <v>1141734</v>
      </c>
      <c r="D6" s="38">
        <v>16019.758</v>
      </c>
      <c r="E6" s="25">
        <f t="shared" si="0"/>
        <v>1</v>
      </c>
      <c r="F6" s="25">
        <f t="shared" si="1"/>
        <v>0</v>
      </c>
      <c r="G6" s="25">
        <f t="shared" si="2"/>
        <v>0</v>
      </c>
      <c r="I6" s="27" t="s">
        <v>127</v>
      </c>
      <c r="J6" s="27"/>
    </row>
    <row r="7" spans="1:17" x14ac:dyDescent="0.25">
      <c r="A7" s="26">
        <v>2012</v>
      </c>
      <c r="B7" s="26">
        <v>2</v>
      </c>
      <c r="C7" s="37">
        <v>1212532</v>
      </c>
      <c r="D7" s="38">
        <v>16152.257</v>
      </c>
      <c r="E7" s="25">
        <f t="shared" si="0"/>
        <v>0</v>
      </c>
      <c r="F7" s="25">
        <f t="shared" si="1"/>
        <v>1</v>
      </c>
      <c r="G7" s="25">
        <f t="shared" si="2"/>
        <v>0</v>
      </c>
      <c r="I7" s="25" t="s">
        <v>128</v>
      </c>
      <c r="J7" s="25">
        <v>0.98957359428003744</v>
      </c>
    </row>
    <row r="8" spans="1:17" x14ac:dyDescent="0.25">
      <c r="A8" s="26">
        <v>2012</v>
      </c>
      <c r="B8" s="26">
        <v>3</v>
      </c>
      <c r="C8" s="37">
        <v>1214923</v>
      </c>
      <c r="D8" s="38">
        <v>16257.151</v>
      </c>
      <c r="E8" s="25">
        <f t="shared" si="0"/>
        <v>0</v>
      </c>
      <c r="F8" s="25">
        <f t="shared" si="1"/>
        <v>0</v>
      </c>
      <c r="G8" s="25">
        <f t="shared" si="2"/>
        <v>1</v>
      </c>
      <c r="I8" s="25" t="s">
        <v>129</v>
      </c>
      <c r="J8" s="25">
        <v>0.97925589849631212</v>
      </c>
      <c r="K8" s="1" t="s">
        <v>201</v>
      </c>
    </row>
    <row r="9" spans="1:17" x14ac:dyDescent="0.25">
      <c r="A9" s="26">
        <v>2012</v>
      </c>
      <c r="B9" s="26">
        <v>4</v>
      </c>
      <c r="C9" s="37">
        <v>1272567</v>
      </c>
      <c r="D9" s="38">
        <v>16358.862999999999</v>
      </c>
      <c r="E9" s="25">
        <f t="shared" si="0"/>
        <v>0</v>
      </c>
      <c r="F9" s="25">
        <f t="shared" si="1"/>
        <v>0</v>
      </c>
      <c r="G9" s="25">
        <f t="shared" si="2"/>
        <v>0</v>
      </c>
      <c r="I9" s="25" t="s">
        <v>130</v>
      </c>
      <c r="J9" s="25">
        <v>0.97688514403874771</v>
      </c>
    </row>
    <row r="10" spans="1:17" x14ac:dyDescent="0.25">
      <c r="A10" s="26">
        <v>2013</v>
      </c>
      <c r="B10" s="26">
        <v>1</v>
      </c>
      <c r="C10" s="37">
        <v>1171293</v>
      </c>
      <c r="D10" s="38">
        <v>16569.591</v>
      </c>
      <c r="E10" s="25">
        <f t="shared" si="0"/>
        <v>1</v>
      </c>
      <c r="F10" s="25">
        <f t="shared" si="1"/>
        <v>0</v>
      </c>
      <c r="G10" s="25">
        <f t="shared" si="2"/>
        <v>0</v>
      </c>
      <c r="I10" s="25" t="s">
        <v>131</v>
      </c>
      <c r="J10" s="25">
        <v>23982.155995056219</v>
      </c>
    </row>
    <row r="11" spans="1:17" x14ac:dyDescent="0.25">
      <c r="A11" s="26">
        <v>2013</v>
      </c>
      <c r="B11" s="26">
        <v>2</v>
      </c>
      <c r="C11" s="37">
        <v>1260446</v>
      </c>
      <c r="D11" s="38">
        <v>16637.925999999999</v>
      </c>
      <c r="E11" s="25">
        <f t="shared" si="0"/>
        <v>0</v>
      </c>
      <c r="F11" s="25">
        <f t="shared" si="1"/>
        <v>1</v>
      </c>
      <c r="G11" s="25">
        <f t="shared" si="2"/>
        <v>0</v>
      </c>
      <c r="I11" s="25" t="s">
        <v>132</v>
      </c>
      <c r="J11" s="25">
        <v>40</v>
      </c>
    </row>
    <row r="12" spans="1:17" x14ac:dyDescent="0.25">
      <c r="A12" s="26">
        <v>2013</v>
      </c>
      <c r="B12" s="26">
        <v>3</v>
      </c>
      <c r="C12" s="37">
        <v>1272129</v>
      </c>
      <c r="D12" s="38">
        <v>16848.748</v>
      </c>
      <c r="E12" s="25">
        <f t="shared" si="0"/>
        <v>0</v>
      </c>
      <c r="F12" s="25">
        <f t="shared" si="1"/>
        <v>0</v>
      </c>
      <c r="G12" s="25">
        <f t="shared" si="2"/>
        <v>1</v>
      </c>
    </row>
    <row r="13" spans="1:17" x14ac:dyDescent="0.25">
      <c r="A13" s="26">
        <v>2013</v>
      </c>
      <c r="B13" s="26">
        <v>4</v>
      </c>
      <c r="C13" s="37">
        <v>1316396</v>
      </c>
      <c r="D13" s="38">
        <v>17083.136999999999</v>
      </c>
      <c r="E13" s="25">
        <f t="shared" si="0"/>
        <v>0</v>
      </c>
      <c r="F13" s="25">
        <f t="shared" si="1"/>
        <v>0</v>
      </c>
      <c r="G13" s="25">
        <f t="shared" si="2"/>
        <v>0</v>
      </c>
      <c r="I13" s="25" t="s">
        <v>133</v>
      </c>
      <c r="J13" s="48" t="s">
        <v>182</v>
      </c>
      <c r="K13" s="25"/>
      <c r="L13" s="49" t="s">
        <v>183</v>
      </c>
      <c r="M13" s="49" t="s">
        <v>184</v>
      </c>
      <c r="N13" s="25"/>
    </row>
    <row r="14" spans="1:17" x14ac:dyDescent="0.25">
      <c r="A14" s="26">
        <v>2014</v>
      </c>
      <c r="B14" s="26">
        <v>1</v>
      </c>
      <c r="C14" s="37">
        <v>1195724</v>
      </c>
      <c r="D14" s="38">
        <v>17104.555</v>
      </c>
      <c r="E14" s="25">
        <f t="shared" si="0"/>
        <v>1</v>
      </c>
      <c r="F14" s="25">
        <f t="shared" si="1"/>
        <v>0</v>
      </c>
      <c r="G14" s="25">
        <f t="shared" si="2"/>
        <v>0</v>
      </c>
      <c r="H14" s="3"/>
      <c r="I14" s="28"/>
      <c r="J14" s="28" t="s">
        <v>138</v>
      </c>
      <c r="K14" s="28" t="s">
        <v>139</v>
      </c>
      <c r="L14" s="28" t="s">
        <v>140</v>
      </c>
      <c r="M14" s="28" t="s">
        <v>141</v>
      </c>
      <c r="N14" s="28" t="s">
        <v>142</v>
      </c>
    </row>
    <row r="15" spans="1:17" x14ac:dyDescent="0.25">
      <c r="A15" s="26">
        <v>2014</v>
      </c>
      <c r="B15" s="26">
        <v>2</v>
      </c>
      <c r="C15" s="37">
        <v>1323909</v>
      </c>
      <c r="D15" s="38">
        <v>17432.909</v>
      </c>
      <c r="E15" s="25">
        <f t="shared" si="0"/>
        <v>0</v>
      </c>
      <c r="F15" s="25">
        <f t="shared" si="1"/>
        <v>1</v>
      </c>
      <c r="G15" s="25">
        <f t="shared" si="2"/>
        <v>0</v>
      </c>
      <c r="H15" s="3" t="s">
        <v>189</v>
      </c>
      <c r="I15" s="25" t="s">
        <v>134</v>
      </c>
      <c r="J15" s="25">
        <v>4</v>
      </c>
      <c r="K15" s="25">
        <v>950267899536.78259</v>
      </c>
      <c r="L15" s="25">
        <v>237566974884.19565</v>
      </c>
      <c r="M15" s="25">
        <v>413.05665180627159</v>
      </c>
      <c r="N15" s="25">
        <v>6.3711955652455254E-29</v>
      </c>
    </row>
    <row r="16" spans="1:17" x14ac:dyDescent="0.25">
      <c r="A16" s="26">
        <v>2014</v>
      </c>
      <c r="B16" s="26">
        <v>3</v>
      </c>
      <c r="C16" s="37">
        <v>1327929</v>
      </c>
      <c r="D16" s="38">
        <v>17721.656999999999</v>
      </c>
      <c r="E16" s="25">
        <f t="shared" si="0"/>
        <v>0</v>
      </c>
      <c r="F16" s="25">
        <f t="shared" si="1"/>
        <v>0</v>
      </c>
      <c r="G16" s="25">
        <f t="shared" si="2"/>
        <v>1</v>
      </c>
      <c r="H16" s="3" t="s">
        <v>190</v>
      </c>
      <c r="I16" s="25" t="s">
        <v>135</v>
      </c>
      <c r="J16" s="25">
        <v>35</v>
      </c>
      <c r="K16" s="25">
        <v>20130033215.992386</v>
      </c>
      <c r="L16" s="25">
        <v>575143806.171211</v>
      </c>
      <c r="M16" s="25"/>
      <c r="N16" s="25"/>
    </row>
    <row r="17" spans="1:17" x14ac:dyDescent="0.25">
      <c r="A17" s="26">
        <v>2014</v>
      </c>
      <c r="B17" s="26">
        <v>4</v>
      </c>
      <c r="C17" s="37">
        <v>1379952</v>
      </c>
      <c r="D17" s="38">
        <v>17849.912</v>
      </c>
      <c r="E17" s="25">
        <f t="shared" si="0"/>
        <v>0</v>
      </c>
      <c r="F17" s="25">
        <f t="shared" si="1"/>
        <v>0</v>
      </c>
      <c r="G17" s="25">
        <f t="shared" si="2"/>
        <v>0</v>
      </c>
      <c r="H17" s="3" t="s">
        <v>191</v>
      </c>
      <c r="I17" s="25" t="s">
        <v>136</v>
      </c>
      <c r="J17" s="25">
        <v>39</v>
      </c>
      <c r="K17" s="25">
        <v>970397932752.77502</v>
      </c>
      <c r="L17" s="25"/>
      <c r="M17" s="25"/>
      <c r="N17" s="25"/>
    </row>
    <row r="18" spans="1:17" x14ac:dyDescent="0.25">
      <c r="A18" s="26">
        <v>2015</v>
      </c>
      <c r="B18" s="26">
        <v>1</v>
      </c>
      <c r="C18" s="37">
        <v>1232060</v>
      </c>
      <c r="D18" s="38">
        <v>18003.399000000001</v>
      </c>
      <c r="E18" s="25">
        <f t="shared" si="0"/>
        <v>1</v>
      </c>
      <c r="F18" s="25">
        <f t="shared" si="1"/>
        <v>0</v>
      </c>
      <c r="G18" s="25">
        <f t="shared" si="2"/>
        <v>0</v>
      </c>
      <c r="H18" s="3"/>
    </row>
    <row r="19" spans="1:17" x14ac:dyDescent="0.25">
      <c r="A19" s="26">
        <v>2015</v>
      </c>
      <c r="B19" s="26">
        <v>2</v>
      </c>
      <c r="C19" s="37">
        <v>1354216</v>
      </c>
      <c r="D19" s="38">
        <v>18223.577000000001</v>
      </c>
      <c r="E19" s="25">
        <f t="shared" si="0"/>
        <v>0</v>
      </c>
      <c r="F19" s="25">
        <f t="shared" si="1"/>
        <v>1</v>
      </c>
      <c r="G19" s="25">
        <f t="shared" si="2"/>
        <v>0</v>
      </c>
      <c r="H19" s="3"/>
      <c r="I19" s="28"/>
      <c r="J19" s="28" t="s">
        <v>143</v>
      </c>
      <c r="K19" s="28" t="s">
        <v>131</v>
      </c>
      <c r="L19" s="28" t="s">
        <v>144</v>
      </c>
      <c r="M19" s="28" t="s">
        <v>145</v>
      </c>
      <c r="N19" s="28" t="s">
        <v>146</v>
      </c>
      <c r="O19" s="28" t="s">
        <v>147</v>
      </c>
      <c r="P19" s="28" t="s">
        <v>148</v>
      </c>
      <c r="Q19" s="28" t="s">
        <v>149</v>
      </c>
    </row>
    <row r="20" spans="1:17" x14ac:dyDescent="0.25">
      <c r="A20" s="26">
        <v>2015</v>
      </c>
      <c r="B20" s="26">
        <v>3</v>
      </c>
      <c r="C20" s="37">
        <v>1367232</v>
      </c>
      <c r="D20" s="38">
        <v>18347.424999999999</v>
      </c>
      <c r="E20" s="25">
        <f t="shared" si="0"/>
        <v>0</v>
      </c>
      <c r="F20" s="25">
        <f t="shared" si="1"/>
        <v>0</v>
      </c>
      <c r="G20" s="25">
        <f t="shared" si="2"/>
        <v>1</v>
      </c>
      <c r="H20" s="3" t="s">
        <v>192</v>
      </c>
      <c r="I20" s="25" t="s">
        <v>137</v>
      </c>
      <c r="J20" s="25">
        <v>135609.20012353375</v>
      </c>
      <c r="K20" s="25">
        <v>37106.938334853512</v>
      </c>
      <c r="L20" s="25">
        <v>3.6545510410962634</v>
      </c>
      <c r="M20" s="25">
        <v>8.370658513162844E-4</v>
      </c>
      <c r="N20" s="25">
        <v>60278.110416851028</v>
      </c>
      <c r="O20" s="25">
        <v>210940.28983021647</v>
      </c>
      <c r="P20" s="25">
        <v>60278.110416851028</v>
      </c>
      <c r="Q20" s="25">
        <v>210940.28983021647</v>
      </c>
    </row>
    <row r="21" spans="1:17" x14ac:dyDescent="0.25">
      <c r="A21" s="26">
        <v>2015</v>
      </c>
      <c r="B21" s="26">
        <v>4</v>
      </c>
      <c r="C21" s="37">
        <v>1412991</v>
      </c>
      <c r="D21" s="38">
        <v>18378.803</v>
      </c>
      <c r="E21" s="25">
        <f t="shared" si="0"/>
        <v>0</v>
      </c>
      <c r="F21" s="25">
        <f t="shared" si="1"/>
        <v>0</v>
      </c>
      <c r="G21" s="25">
        <f t="shared" si="2"/>
        <v>0</v>
      </c>
      <c r="H21" s="3" t="s">
        <v>193</v>
      </c>
      <c r="I21" s="25" t="s">
        <v>123</v>
      </c>
      <c r="J21" s="25">
        <v>70.010975168971839</v>
      </c>
      <c r="K21" s="25">
        <v>1.9261395395796341</v>
      </c>
      <c r="L21" s="25">
        <v>36.347820980950956</v>
      </c>
      <c r="M21" s="25">
        <v>2.1771995369086969E-29</v>
      </c>
      <c r="N21" s="25">
        <v>66.100704018754755</v>
      </c>
      <c r="O21" s="25">
        <v>73.921246319188924</v>
      </c>
      <c r="P21" s="25">
        <v>66.100704018754755</v>
      </c>
      <c r="Q21" s="25">
        <v>73.921246319188924</v>
      </c>
    </row>
    <row r="22" spans="1:17" x14ac:dyDescent="0.25">
      <c r="A22" s="26">
        <v>2016</v>
      </c>
      <c r="B22" s="26">
        <v>1</v>
      </c>
      <c r="C22" s="37">
        <v>1278391</v>
      </c>
      <c r="D22" s="38">
        <v>18470.155999999999</v>
      </c>
      <c r="E22" s="25">
        <f t="shared" si="0"/>
        <v>1</v>
      </c>
      <c r="F22" s="25">
        <f t="shared" si="1"/>
        <v>0</v>
      </c>
      <c r="G22" s="25">
        <f t="shared" si="2"/>
        <v>0</v>
      </c>
      <c r="H22" s="3" t="s">
        <v>185</v>
      </c>
      <c r="I22" s="25" t="s">
        <v>158</v>
      </c>
      <c r="J22" s="25">
        <v>-155654.20952605217</v>
      </c>
      <c r="K22" s="25">
        <v>10767.843343800641</v>
      </c>
      <c r="L22" s="25">
        <v>-14.455467502289286</v>
      </c>
      <c r="M22" s="25">
        <v>2.5210674868002376E-16</v>
      </c>
      <c r="N22" s="25">
        <v>-177514.09366845954</v>
      </c>
      <c r="O22" s="25">
        <v>-133794.32538364481</v>
      </c>
      <c r="P22" s="25">
        <v>-177514.09366845954</v>
      </c>
      <c r="Q22" s="25">
        <v>-133794.32538364481</v>
      </c>
    </row>
    <row r="23" spans="1:17" x14ac:dyDescent="0.25">
      <c r="A23" s="26">
        <v>2016</v>
      </c>
      <c r="B23" s="26">
        <v>2</v>
      </c>
      <c r="C23" s="37">
        <v>1386918</v>
      </c>
      <c r="D23" s="38">
        <v>18656.206999999999</v>
      </c>
      <c r="E23" s="25">
        <f t="shared" si="0"/>
        <v>0</v>
      </c>
      <c r="F23" s="25">
        <f t="shared" si="1"/>
        <v>1</v>
      </c>
      <c r="G23" s="25">
        <f t="shared" si="2"/>
        <v>0</v>
      </c>
      <c r="H23" s="3" t="s">
        <v>186</v>
      </c>
      <c r="I23" s="25" t="s">
        <v>159</v>
      </c>
      <c r="J23" s="25">
        <v>-50030.350804902184</v>
      </c>
      <c r="K23" s="25">
        <v>10771.847095272053</v>
      </c>
      <c r="L23" s="25">
        <v>-4.6445470644362707</v>
      </c>
      <c r="M23" s="25">
        <v>4.6715729111604671E-5</v>
      </c>
      <c r="N23" s="25">
        <v>-71898.362994914409</v>
      </c>
      <c r="O23" s="25">
        <v>-28162.338614889952</v>
      </c>
      <c r="P23" s="25">
        <v>-71898.362994914409</v>
      </c>
      <c r="Q23" s="25">
        <v>-28162.338614889952</v>
      </c>
    </row>
    <row r="24" spans="1:17" x14ac:dyDescent="0.25">
      <c r="A24" s="26">
        <v>2016</v>
      </c>
      <c r="B24" s="26">
        <v>3</v>
      </c>
      <c r="C24" s="37">
        <v>1399285</v>
      </c>
      <c r="D24" s="38">
        <v>18821.359</v>
      </c>
      <c r="E24" s="25">
        <f t="shared" si="0"/>
        <v>0</v>
      </c>
      <c r="F24" s="25">
        <f t="shared" si="1"/>
        <v>0</v>
      </c>
      <c r="G24" s="25">
        <f t="shared" si="2"/>
        <v>1</v>
      </c>
      <c r="H24" s="3" t="s">
        <v>187</v>
      </c>
      <c r="I24" s="25" t="s">
        <v>160</v>
      </c>
      <c r="J24" s="25">
        <v>-45187.907286395952</v>
      </c>
      <c r="K24" s="25">
        <v>10731.547394201223</v>
      </c>
      <c r="L24" s="25">
        <v>-4.2107541090312077</v>
      </c>
      <c r="M24" s="25">
        <v>1.6896591277841921E-4</v>
      </c>
      <c r="N24" s="25">
        <v>-66974.106733758177</v>
      </c>
      <c r="O24" s="25">
        <v>-23401.70783903373</v>
      </c>
      <c r="P24" s="25">
        <v>-66974.106733758177</v>
      </c>
      <c r="Q24" s="25">
        <v>-23401.70783903373</v>
      </c>
    </row>
    <row r="25" spans="1:17" x14ac:dyDescent="0.25">
      <c r="A25" s="26">
        <v>2016</v>
      </c>
      <c r="B25" s="26">
        <v>4</v>
      </c>
      <c r="C25" s="37">
        <v>1461780</v>
      </c>
      <c r="D25" s="38">
        <v>19032.580000000002</v>
      </c>
      <c r="E25" s="25">
        <f t="shared" si="0"/>
        <v>0</v>
      </c>
      <c r="F25" s="25">
        <f t="shared" si="1"/>
        <v>0</v>
      </c>
      <c r="G25" s="25">
        <f t="shared" si="2"/>
        <v>0</v>
      </c>
      <c r="H25" s="35"/>
    </row>
    <row r="26" spans="1:17" x14ac:dyDescent="0.25">
      <c r="A26" s="26">
        <v>2017</v>
      </c>
      <c r="B26" s="26">
        <v>1</v>
      </c>
      <c r="C26" s="37">
        <v>1324253</v>
      </c>
      <c r="D26" s="38">
        <v>19237.435000000001</v>
      </c>
      <c r="E26" s="25">
        <f t="shared" si="0"/>
        <v>1</v>
      </c>
      <c r="F26" s="25">
        <f t="shared" si="1"/>
        <v>0</v>
      </c>
      <c r="G26" s="25">
        <f t="shared" si="2"/>
        <v>0</v>
      </c>
      <c r="H26" s="35"/>
    </row>
    <row r="27" spans="1:17" x14ac:dyDescent="0.25">
      <c r="A27" s="26">
        <v>2017</v>
      </c>
      <c r="B27" s="26">
        <v>2</v>
      </c>
      <c r="C27" s="37">
        <v>1445499</v>
      </c>
      <c r="D27" s="38">
        <v>19379.232</v>
      </c>
      <c r="E27" s="25">
        <f t="shared" si="0"/>
        <v>0</v>
      </c>
      <c r="F27" s="25">
        <f t="shared" si="1"/>
        <v>1</v>
      </c>
      <c r="G27" s="25">
        <f t="shared" si="2"/>
        <v>0</v>
      </c>
    </row>
    <row r="28" spans="1:17" x14ac:dyDescent="0.25">
      <c r="A28" s="26">
        <v>2017</v>
      </c>
      <c r="B28" s="26">
        <v>3</v>
      </c>
      <c r="C28" s="37">
        <v>1451087</v>
      </c>
      <c r="D28" s="38">
        <v>19617.288</v>
      </c>
      <c r="E28" s="25">
        <f t="shared" si="0"/>
        <v>0</v>
      </c>
      <c r="F28" s="25">
        <f t="shared" si="1"/>
        <v>0</v>
      </c>
      <c r="G28" s="25">
        <f t="shared" si="2"/>
        <v>1</v>
      </c>
      <c r="I28" t="s">
        <v>150</v>
      </c>
      <c r="K28" s="46" t="s">
        <v>151</v>
      </c>
      <c r="L28" s="46" t="s">
        <v>156</v>
      </c>
      <c r="M28" s="46" t="s">
        <v>153</v>
      </c>
      <c r="N28" s="25"/>
      <c r="O28" s="50" t="s">
        <v>188</v>
      </c>
    </row>
    <row r="29" spans="1:17" x14ac:dyDescent="0.25">
      <c r="A29" s="26">
        <v>2017</v>
      </c>
      <c r="B29" s="26">
        <v>4</v>
      </c>
      <c r="C29" s="37">
        <v>1536250</v>
      </c>
      <c r="D29" s="38">
        <v>19937.963</v>
      </c>
      <c r="E29" s="25">
        <f t="shared" si="0"/>
        <v>0</v>
      </c>
      <c r="F29" s="25">
        <f t="shared" si="1"/>
        <v>0</v>
      </c>
      <c r="G29" s="25">
        <f t="shared" si="2"/>
        <v>0</v>
      </c>
      <c r="K29" s="25">
        <v>1</v>
      </c>
      <c r="L29" s="25">
        <v>1050130.7151426559</v>
      </c>
      <c r="M29" s="25">
        <v>9858.2848573441152</v>
      </c>
      <c r="N29" s="25">
        <f>$J$20*1+$J$21*D2+$J$22*E2+$J$23*F2+$J$24*G2</f>
        <v>1050130.7151426561</v>
      </c>
      <c r="O29" s="39" t="str">
        <f ca="1">_xlfn.FORMULATEXT(N29)</f>
        <v>=$J$20*1+$J$21*D2+$J$22*E2+$J$23*F2+$J$24*G2</v>
      </c>
    </row>
    <row r="30" spans="1:17" x14ac:dyDescent="0.25">
      <c r="A30" s="26">
        <v>2018</v>
      </c>
      <c r="B30" s="26">
        <v>1</v>
      </c>
      <c r="C30" s="37">
        <v>1390044</v>
      </c>
      <c r="D30" s="38">
        <v>20242.215</v>
      </c>
      <c r="E30" s="25">
        <f t="shared" si="0"/>
        <v>1</v>
      </c>
      <c r="F30" s="25">
        <f t="shared" si="1"/>
        <v>0</v>
      </c>
      <c r="G30" s="25">
        <f t="shared" si="2"/>
        <v>0</v>
      </c>
      <c r="K30" s="25">
        <v>2</v>
      </c>
      <c r="L30" s="25">
        <v>1170482.1526113262</v>
      </c>
      <c r="M30" s="25">
        <v>-9008.1526113261934</v>
      </c>
      <c r="N30" s="25">
        <f>$J$20*1+$J$21*D3+$J$22*E3+$J$23*F3+$J$24*G3</f>
        <v>1170482.1526113262</v>
      </c>
      <c r="O30" s="39" t="str">
        <f t="shared" ref="O30:O68" ca="1" si="3">_xlfn.FORMULATEXT(N30)</f>
        <v>=$J$20*1+$J$21*D3+$J$22*E3+$J$23*F3+$J$24*G3</v>
      </c>
    </row>
    <row r="31" spans="1:17" x14ac:dyDescent="0.25">
      <c r="A31" s="26">
        <v>2018</v>
      </c>
      <c r="B31" s="26">
        <v>2</v>
      </c>
      <c r="C31" s="37">
        <v>1519069</v>
      </c>
      <c r="D31" s="38">
        <v>20552.652999999998</v>
      </c>
      <c r="E31" s="25">
        <f t="shared" si="0"/>
        <v>0</v>
      </c>
      <c r="F31" s="25">
        <f t="shared" si="1"/>
        <v>1</v>
      </c>
      <c r="G31" s="25">
        <f t="shared" si="2"/>
        <v>0</v>
      </c>
      <c r="K31" s="25">
        <v>3</v>
      </c>
      <c r="L31" s="25">
        <v>1182021.9160254714</v>
      </c>
      <c r="M31" s="25">
        <v>-14030.916025471408</v>
      </c>
      <c r="N31" s="25">
        <f>$J$20*1+$J$21*D4+$J$22*E4+$J$23*F4+$J$24*G4</f>
        <v>1182021.9160254714</v>
      </c>
      <c r="O31" s="39" t="str">
        <f t="shared" ca="1" si="3"/>
        <v>=$J$20*1+$J$21*D4+$J$22*E4+$J$23*F4+$J$24*G4</v>
      </c>
    </row>
    <row r="32" spans="1:17" x14ac:dyDescent="0.25">
      <c r="A32" s="26">
        <v>2018</v>
      </c>
      <c r="B32" s="26">
        <v>3</v>
      </c>
      <c r="C32" s="37">
        <v>1536768</v>
      </c>
      <c r="D32" s="38">
        <v>20742.723000000002</v>
      </c>
      <c r="E32" s="25">
        <f t="shared" si="0"/>
        <v>0</v>
      </c>
      <c r="F32" s="25">
        <f t="shared" si="1"/>
        <v>0</v>
      </c>
      <c r="G32" s="25">
        <f t="shared" si="2"/>
        <v>1</v>
      </c>
      <c r="K32" s="25">
        <v>4</v>
      </c>
      <c r="L32" s="25">
        <v>1241534.7689411906</v>
      </c>
      <c r="M32" s="25">
        <v>-19011.768941190559</v>
      </c>
      <c r="N32" s="25">
        <f>$J$20*1+$J$21*D5+$J$22*E5+$J$23*F5+$J$24*G5</f>
        <v>1241534.7689411908</v>
      </c>
      <c r="O32" s="39" t="str">
        <f t="shared" ca="1" si="3"/>
        <v>=$J$20*1+$J$21*D5+$J$22*E5+$J$23*F5+$J$24*G5</v>
      </c>
    </row>
    <row r="33" spans="1:23" x14ac:dyDescent="0.25">
      <c r="A33" s="26">
        <v>2018</v>
      </c>
      <c r="B33" s="26">
        <v>4</v>
      </c>
      <c r="C33" s="37">
        <v>1585439</v>
      </c>
      <c r="D33" s="38">
        <v>20909.852999999999</v>
      </c>
      <c r="E33" s="25">
        <f t="shared" si="0"/>
        <v>0</v>
      </c>
      <c r="F33" s="25">
        <f t="shared" si="1"/>
        <v>0</v>
      </c>
      <c r="G33" s="25">
        <f t="shared" si="2"/>
        <v>0</v>
      </c>
      <c r="K33" s="25">
        <v>5</v>
      </c>
      <c r="L33" s="25">
        <v>1101513.8701484194</v>
      </c>
      <c r="M33" s="25">
        <v>40220.129851580597</v>
      </c>
      <c r="N33" s="25">
        <f>$J$20*1+$J$21*D6+$J$22*E6+$J$23*F6+$J$24*G6</f>
        <v>1101513.8701484196</v>
      </c>
      <c r="O33" s="39" t="str">
        <f t="shared" ca="1" si="3"/>
        <v>=$J$20*1+$J$21*D6+$J$22*E6+$J$23*F6+$J$24*G6</v>
      </c>
    </row>
    <row r="34" spans="1:23" x14ac:dyDescent="0.25">
      <c r="A34" s="26">
        <v>2019</v>
      </c>
      <c r="B34" s="26">
        <v>1</v>
      </c>
      <c r="C34" s="37">
        <v>1417491</v>
      </c>
      <c r="D34" s="38">
        <v>21115.309000000001</v>
      </c>
      <c r="E34" s="25">
        <f t="shared" si="0"/>
        <v>1</v>
      </c>
      <c r="F34" s="25">
        <f t="shared" si="1"/>
        <v>0</v>
      </c>
      <c r="G34" s="25">
        <f t="shared" si="2"/>
        <v>0</v>
      </c>
      <c r="K34" s="25">
        <v>6</v>
      </c>
      <c r="L34" s="25">
        <v>1216414.1130684831</v>
      </c>
      <c r="M34" s="25">
        <v>-3882.1130684830714</v>
      </c>
      <c r="N34" s="25">
        <f>$J$20*1+$J$21*D7+$J$22*E7+$J$23*F7+$J$24*G7</f>
        <v>1216414.1130684833</v>
      </c>
      <c r="O34" s="39" t="str">
        <f t="shared" ca="1" si="3"/>
        <v>=$J$20*1+$J$21*D7+$J$22*E7+$J$23*F7+$J$24*G7</v>
      </c>
    </row>
    <row r="35" spans="1:23" x14ac:dyDescent="0.25">
      <c r="A35" s="26">
        <v>2019</v>
      </c>
      <c r="B35" s="26">
        <v>2</v>
      </c>
      <c r="C35" s="37">
        <v>1574816</v>
      </c>
      <c r="D35" s="38">
        <v>21329.877</v>
      </c>
      <c r="E35" s="25">
        <f t="shared" si="0"/>
        <v>0</v>
      </c>
      <c r="F35" s="25">
        <f t="shared" si="1"/>
        <v>1</v>
      </c>
      <c r="G35" s="25">
        <f t="shared" si="2"/>
        <v>0</v>
      </c>
      <c r="K35" s="25">
        <v>7</v>
      </c>
      <c r="L35" s="25">
        <v>1228600.2878163634</v>
      </c>
      <c r="M35" s="25">
        <v>-13677.287816363387</v>
      </c>
      <c r="N35" s="25">
        <f>$J$20*1+$J$21*D8+$J$22*E8+$J$23*F8+$J$24*G8</f>
        <v>1228600.2878163636</v>
      </c>
      <c r="O35" s="39" t="str">
        <f t="shared" ca="1" si="3"/>
        <v>=$J$20*1+$J$21*D8+$J$22*E8+$J$23*F8+$J$24*G8</v>
      </c>
    </row>
    <row r="36" spans="1:23" x14ac:dyDescent="0.25">
      <c r="A36" s="26">
        <v>2019</v>
      </c>
      <c r="B36" s="26">
        <v>3</v>
      </c>
      <c r="C36" s="37">
        <v>1595623</v>
      </c>
      <c r="D36" s="38">
        <v>21540.325000000001</v>
      </c>
      <c r="E36" s="25">
        <f t="shared" si="0"/>
        <v>0</v>
      </c>
      <c r="F36" s="25">
        <f t="shared" si="1"/>
        <v>0</v>
      </c>
      <c r="G36" s="25">
        <f t="shared" si="2"/>
        <v>1</v>
      </c>
      <c r="K36" s="25">
        <v>8</v>
      </c>
      <c r="L36" s="25">
        <v>1280909.1514091459</v>
      </c>
      <c r="M36" s="25">
        <v>-8342.1514091459103</v>
      </c>
      <c r="N36" s="25">
        <f>$J$20*1+$J$21*D9+$J$22*E9+$J$23*F9+$J$24*G9</f>
        <v>1280909.1514091459</v>
      </c>
      <c r="O36" s="39" t="str">
        <f t="shared" ca="1" si="3"/>
        <v>=$J$20*1+$J$21*D9+$J$22*E9+$J$23*F9+$J$24*G9</v>
      </c>
    </row>
    <row r="37" spans="1:23" x14ac:dyDescent="0.25">
      <c r="A37" s="26">
        <v>2019</v>
      </c>
      <c r="B37" s="26">
        <v>4</v>
      </c>
      <c r="C37" s="37">
        <v>1652271</v>
      </c>
      <c r="D37" s="38">
        <v>21747.394</v>
      </c>
      <c r="E37" s="25">
        <f t="shared" si="0"/>
        <v>0</v>
      </c>
      <c r="F37" s="25">
        <f t="shared" si="1"/>
        <v>0</v>
      </c>
      <c r="G37" s="25">
        <f t="shared" si="2"/>
        <v>0</v>
      </c>
      <c r="K37" s="25">
        <v>9</v>
      </c>
      <c r="L37" s="25">
        <v>1140008.2146585009</v>
      </c>
      <c r="M37" s="25">
        <v>31284.78534149914</v>
      </c>
      <c r="N37" s="25">
        <f>$J$20*1+$J$21*D10+$J$22*E10+$J$23*F10+$J$24*G10</f>
        <v>1140008.2146585009</v>
      </c>
      <c r="O37" s="39" t="str">
        <f t="shared" ca="1" si="3"/>
        <v>=$J$20*1+$J$21*D10+$J$22*E10+$J$23*F10+$J$24*G10</v>
      </c>
    </row>
    <row r="38" spans="1:23" ht="15" x14ac:dyDescent="0.25">
      <c r="A38" s="26">
        <v>2020</v>
      </c>
      <c r="B38" s="26">
        <v>1</v>
      </c>
      <c r="C38" s="37">
        <v>1443243</v>
      </c>
      <c r="D38" s="38">
        <v>21561.138999999999</v>
      </c>
      <c r="E38" s="25">
        <f t="shared" si="0"/>
        <v>1</v>
      </c>
      <c r="F38" s="25">
        <f t="shared" si="1"/>
        <v>0</v>
      </c>
      <c r="G38" s="25">
        <f t="shared" si="2"/>
        <v>0</v>
      </c>
      <c r="K38" s="25">
        <v>10</v>
      </c>
      <c r="L38" s="25">
        <v>1250416.2733678226</v>
      </c>
      <c r="M38" s="25">
        <v>10029.726632177364</v>
      </c>
      <c r="N38" s="25">
        <f>$J$20*1+$J$21*D11+$J$22*E11+$J$23*F11+$J$24*G11</f>
        <v>1250416.2733678226</v>
      </c>
      <c r="O38" s="39" t="str">
        <f t="shared" ca="1" si="3"/>
        <v>=$J$20*1+$J$21*D11+$J$22*E11+$J$23*F11+$J$24*G11</v>
      </c>
      <c r="W38" s="29"/>
    </row>
    <row r="39" spans="1:23" x14ac:dyDescent="0.25">
      <c r="A39" s="26">
        <v>2020</v>
      </c>
      <c r="B39" s="26">
        <v>2</v>
      </c>
      <c r="C39" s="37">
        <v>1455588</v>
      </c>
      <c r="D39" s="38">
        <v>19520.114000000001</v>
      </c>
      <c r="E39" s="25">
        <f t="shared" si="0"/>
        <v>0</v>
      </c>
      <c r="F39" s="25">
        <f t="shared" si="1"/>
        <v>1</v>
      </c>
      <c r="G39" s="25">
        <f t="shared" si="2"/>
        <v>0</v>
      </c>
      <c r="K39" s="25">
        <v>11</v>
      </c>
      <c r="L39" s="25">
        <v>1270018.5706934016</v>
      </c>
      <c r="M39" s="25">
        <v>2110.4293065983802</v>
      </c>
      <c r="N39" s="25">
        <f>$J$20*1+$J$21*D12+$J$22*E12+$J$23*F12+$J$24*G12</f>
        <v>1270018.5706934016</v>
      </c>
      <c r="O39" s="39" t="str">
        <f t="shared" ca="1" si="3"/>
        <v>=$J$20*1+$J$21*D12+$J$22*E12+$J$23*F12+$J$24*G12</v>
      </c>
    </row>
    <row r="40" spans="1:23" x14ac:dyDescent="0.25">
      <c r="A40" s="26">
        <v>2020</v>
      </c>
      <c r="B40" s="26">
        <v>3</v>
      </c>
      <c r="C40" s="37">
        <v>1639409</v>
      </c>
      <c r="D40" s="38">
        <v>21170.252</v>
      </c>
      <c r="E40" s="25">
        <f t="shared" si="0"/>
        <v>0</v>
      </c>
      <c r="F40" s="25">
        <f t="shared" si="1"/>
        <v>0</v>
      </c>
      <c r="G40" s="25">
        <f t="shared" si="2"/>
        <v>1</v>
      </c>
      <c r="K40" s="25">
        <v>12</v>
      </c>
      <c r="L40" s="25">
        <v>1331616.2804386776</v>
      </c>
      <c r="M40" s="25">
        <v>-15220.280438677641</v>
      </c>
      <c r="N40" s="25">
        <f>$J$20*1+$J$21*D13+$J$22*E13+$J$23*F13+$J$24*G13</f>
        <v>1331616.2804386779</v>
      </c>
      <c r="O40" s="39" t="str">
        <f t="shared" ca="1" si="3"/>
        <v>=$J$20*1+$J$21*D13+$J$22*E13+$J$23*F13+$J$24*G13</v>
      </c>
    </row>
    <row r="41" spans="1:23" x14ac:dyDescent="0.25">
      <c r="A41" s="26">
        <v>2020</v>
      </c>
      <c r="B41" s="26">
        <v>4</v>
      </c>
      <c r="C41" s="37">
        <v>1718793</v>
      </c>
      <c r="D41" s="38">
        <v>21487.896000000001</v>
      </c>
      <c r="E41" s="25">
        <f t="shared" si="0"/>
        <v>0</v>
      </c>
      <c r="F41" s="25">
        <f t="shared" si="1"/>
        <v>0</v>
      </c>
      <c r="G41" s="25">
        <f t="shared" si="2"/>
        <v>0</v>
      </c>
      <c r="K41" s="25">
        <v>13</v>
      </c>
      <c r="L41" s="25">
        <v>1177461.5659787946</v>
      </c>
      <c r="M41" s="25">
        <v>18262.434021205408</v>
      </c>
      <c r="N41" s="25">
        <f>$J$20*1+$J$21*D14+$J$22*E14+$J$23*F14+$J$24*G14</f>
        <v>1177461.5659787948</v>
      </c>
      <c r="O41" s="39" t="str">
        <f t="shared" ca="1" si="3"/>
        <v>=$J$20*1+$J$21*D14+$J$22*E14+$J$23*F14+$J$24*G14</v>
      </c>
    </row>
    <row r="42" spans="1:23" x14ac:dyDescent="0.25">
      <c r="K42" s="25">
        <v>14</v>
      </c>
      <c r="L42" s="25">
        <v>1306073.8084405772</v>
      </c>
      <c r="M42" s="25">
        <v>17835.191559422761</v>
      </c>
      <c r="N42" s="25">
        <f>$J$20*1+$J$21*D15+$J$22*E15+$J$23*F15+$J$24*G15</f>
        <v>1306073.8084405775</v>
      </c>
      <c r="O42" s="39" t="str">
        <f t="shared" ca="1" si="3"/>
        <v>=$J$20*1+$J$21*D15+$J$22*E15+$J$23*F15+$J$24*G15</v>
      </c>
    </row>
    <row r="43" spans="1:23" x14ac:dyDescent="0.25">
      <c r="A43"/>
      <c r="B43"/>
      <c r="C43"/>
      <c r="D43"/>
      <c r="K43" s="25">
        <v>15</v>
      </c>
      <c r="L43" s="25">
        <v>1331131.7810171735</v>
      </c>
      <c r="M43" s="25">
        <v>-3202.7810171735473</v>
      </c>
      <c r="N43" s="25">
        <f>$J$20*1+$J$21*D16+$J$22*E16+$J$23*F16+$J$24*G16</f>
        <v>1331131.7810171738</v>
      </c>
      <c r="O43" s="39" t="str">
        <f t="shared" ca="1" si="3"/>
        <v>=$J$20*1+$J$21*D16+$J$22*E16+$J$23*F16+$J$24*G16</v>
      </c>
    </row>
    <row r="44" spans="1:23" ht="20.399999999999999" x14ac:dyDescent="0.25">
      <c r="A44" s="44" t="s">
        <v>208</v>
      </c>
      <c r="B44"/>
      <c r="C44"/>
      <c r="D44"/>
      <c r="K44" s="25">
        <v>16</v>
      </c>
      <c r="L44" s="25">
        <v>1385298.9459238662</v>
      </c>
      <c r="M44" s="25">
        <v>-5346.9459238662384</v>
      </c>
      <c r="N44" s="25">
        <f>$J$20*1+$J$21*D17+$J$22*E17+$J$23*F17+$J$24*G17</f>
        <v>1385298.9459238662</v>
      </c>
      <c r="O44" s="39" t="str">
        <f t="shared" ca="1" si="3"/>
        <v>=$J$20*1+$J$21*D17+$J$22*E17+$J$23*F17+$J$24*G17</v>
      </c>
    </row>
    <row r="45" spans="1:23" x14ac:dyDescent="0.25">
      <c r="A45" s="31" t="s">
        <v>162</v>
      </c>
      <c r="B45"/>
      <c r="C45"/>
      <c r="D45"/>
      <c r="K45" s="25">
        <v>17</v>
      </c>
      <c r="L45" s="25">
        <v>1240390.5109435741</v>
      </c>
      <c r="M45" s="25">
        <v>-8330.5109435741324</v>
      </c>
      <c r="N45" s="25">
        <f>$J$20*1+$J$21*D18+$J$22*E18+$J$23*F18+$J$24*G18</f>
        <v>1240390.5109435741</v>
      </c>
      <c r="O45" s="39" t="str">
        <f t="shared" ca="1" si="3"/>
        <v>=$J$20*1+$J$21*D18+$J$22*E18+$J$23*F18+$J$24*G18</v>
      </c>
    </row>
    <row r="46" spans="1:23" x14ac:dyDescent="0.25">
      <c r="A46"/>
      <c r="B46"/>
      <c r="C46"/>
      <c r="D46"/>
      <c r="K46" s="25">
        <v>18</v>
      </c>
      <c r="L46" s="25">
        <v>1361429.2461554781</v>
      </c>
      <c r="M46" s="25">
        <v>-7213.2461554780602</v>
      </c>
      <c r="N46" s="25">
        <f>$J$20*1+$J$21*D19+$J$22*E19+$J$23*F19+$J$24*G19</f>
        <v>1361429.2461554781</v>
      </c>
      <c r="O46" s="39" t="str">
        <f t="shared" ca="1" si="3"/>
        <v>=$J$20*1+$J$21*D19+$J$22*E19+$J$23*F19+$J$24*G19</v>
      </c>
    </row>
    <row r="47" spans="1:23" x14ac:dyDescent="0.25">
      <c r="A47" s="39" t="s">
        <v>163</v>
      </c>
      <c r="B47" s="25"/>
      <c r="C47" s="25"/>
      <c r="D47" s="25"/>
      <c r="E47" s="25"/>
      <c r="F47" s="25"/>
      <c r="K47" s="25">
        <v>19</v>
      </c>
      <c r="L47" s="25">
        <v>1374942.4089267107</v>
      </c>
      <c r="M47" s="25">
        <v>-7710.4089267107192</v>
      </c>
      <c r="N47" s="25">
        <f>$J$20*1+$J$21*D20+$J$22*E20+$J$23*F20+$J$24*G20</f>
        <v>1374942.408926711</v>
      </c>
      <c r="O47" s="39" t="str">
        <f t="shared" ca="1" si="3"/>
        <v>=$J$20*1+$J$21*D20+$J$22*E20+$J$23*F20+$J$24*G20</v>
      </c>
    </row>
    <row r="48" spans="1:23" ht="15" x14ac:dyDescent="0.25">
      <c r="A48" s="51" t="s">
        <v>164</v>
      </c>
      <c r="B48" s="52">
        <f>($J$20*1)+(J21*21000)+(J23*1)</f>
        <v>1555809.3278670404</v>
      </c>
      <c r="C48" s="51" t="s">
        <v>166</v>
      </c>
      <c r="D48" s="53" t="str">
        <f ca="1">_xlfn.FORMULATEXT(B48)</f>
        <v>=($J$20*1)+(J21*21000)+(J23*1)</v>
      </c>
      <c r="E48" s="54"/>
      <c r="F48" s="51" t="s">
        <v>179</v>
      </c>
      <c r="K48" s="25">
        <v>20</v>
      </c>
      <c r="L48" s="25">
        <v>1422327.120591959</v>
      </c>
      <c r="M48" s="25">
        <v>-9336.1205919589847</v>
      </c>
      <c r="N48" s="25">
        <f>$J$20*1+$J$21*D21+$J$22*E21+$J$23*F21+$J$24*G21</f>
        <v>1422327.120591959</v>
      </c>
      <c r="O48" s="39" t="str">
        <f t="shared" ca="1" si="3"/>
        <v>=$J$20*1+$J$21*D21+$J$22*E21+$J$23*F21+$J$24*G21</v>
      </c>
    </row>
    <row r="49" spans="1:15" ht="15" x14ac:dyDescent="0.25">
      <c r="A49" s="51" t="s">
        <v>165</v>
      </c>
      <c r="B49" s="52">
        <f>($J$20*1)+(J21*21000)</f>
        <v>1605839.6786719426</v>
      </c>
      <c r="C49" s="51" t="s">
        <v>166</v>
      </c>
      <c r="D49" s="53" t="str">
        <f ca="1">_xlfn.FORMULATEXT(B49)</f>
        <v>=($J$20*1)+(J21*21000)</v>
      </c>
      <c r="E49" s="54"/>
      <c r="F49" s="51" t="s">
        <v>180</v>
      </c>
      <c r="K49" s="25">
        <v>21</v>
      </c>
      <c r="L49" s="25">
        <v>1273068.6236805178</v>
      </c>
      <c r="M49" s="25">
        <v>5322.3763194822241</v>
      </c>
      <c r="N49" s="25">
        <f>$J$20*1+$J$21*D22+$J$22*E22+$J$23*F22+$J$24*G22</f>
        <v>1273068.6236805178</v>
      </c>
      <c r="O49" s="39" t="str">
        <f t="shared" ca="1" si="3"/>
        <v>=$J$20*1+$J$21*D22+$J$22*E22+$J$23*F22+$J$24*G22</v>
      </c>
    </row>
    <row r="50" spans="1:15" x14ac:dyDescent="0.25">
      <c r="A50"/>
      <c r="B50"/>
      <c r="C50"/>
      <c r="D50"/>
      <c r="K50" s="25">
        <v>22</v>
      </c>
      <c r="L50" s="25">
        <v>1391718.0943428301</v>
      </c>
      <c r="M50" s="25">
        <v>-4800.0943428301252</v>
      </c>
      <c r="N50" s="25">
        <f>$J$20*1+$J$21*D23+$J$22*E23+$J$23*F23+$J$24*G23</f>
        <v>1391718.0943428301</v>
      </c>
      <c r="O50" s="39" t="str">
        <f t="shared" ca="1" si="3"/>
        <v>=$J$20*1+$J$21*D23+$J$22*E23+$J$23*F23+$J$24*G23</v>
      </c>
    </row>
    <row r="51" spans="1:15" x14ac:dyDescent="0.25">
      <c r="A51" s="32" t="s">
        <v>167</v>
      </c>
      <c r="B51"/>
      <c r="C51"/>
      <c r="D51"/>
      <c r="K51" s="25">
        <v>23</v>
      </c>
      <c r="L51" s="25">
        <v>1408122.9904324424</v>
      </c>
      <c r="M51" s="25">
        <v>-8837.9904324423987</v>
      </c>
      <c r="N51" s="25">
        <f>$J$20*1+$J$21*D24+$J$22*E24+$J$23*F24+$J$24*G24</f>
        <v>1408122.9904324424</v>
      </c>
      <c r="O51" s="39" t="str">
        <f t="shared" ca="1" si="3"/>
        <v>=$J$20*1+$J$21*D24+$J$22*E24+$J$23*F24+$J$24*G24</v>
      </c>
    </row>
    <row r="52" spans="1:15" x14ac:dyDescent="0.25">
      <c r="A52"/>
      <c r="B52"/>
      <c r="C52"/>
      <c r="D52"/>
      <c r="K52" s="25">
        <v>24</v>
      </c>
      <c r="L52" s="25">
        <v>1468098.6859050039</v>
      </c>
      <c r="M52" s="25">
        <v>-6318.6859050039202</v>
      </c>
      <c r="N52" s="25">
        <f>$J$20*1+$J$21*D25+$J$22*E25+$J$23*F25+$J$24*G25</f>
        <v>1468098.6859050039</v>
      </c>
      <c r="O52" s="39" t="str">
        <f t="shared" ca="1" si="3"/>
        <v>=$J$20*1+$J$21*D25+$J$22*E25+$J$23*F25+$J$24*G25</v>
      </c>
    </row>
    <row r="53" spans="1:15" ht="15" x14ac:dyDescent="0.25">
      <c r="A53" s="42" t="s">
        <v>169</v>
      </c>
      <c r="B53"/>
      <c r="C53"/>
      <c r="D53"/>
      <c r="K53" s="25">
        <v>25</v>
      </c>
      <c r="L53" s="25">
        <v>1326786.5746971914</v>
      </c>
      <c r="M53" s="25">
        <v>-2533.5746971913613</v>
      </c>
      <c r="N53" s="25">
        <f>$J$20*1+$J$21*D26+$J$22*E26+$J$23*F26+$J$24*G26</f>
        <v>1326786.5746971914</v>
      </c>
      <c r="O53" s="39" t="str">
        <f t="shared" ca="1" si="3"/>
        <v>=$J$20*1+$J$21*D26+$J$22*E26+$J$23*F26+$J$24*G26</v>
      </c>
    </row>
    <row r="54" spans="1:15" x14ac:dyDescent="0.25">
      <c r="A54"/>
      <c r="B54"/>
      <c r="C54"/>
      <c r="D54"/>
      <c r="K54" s="25">
        <v>26</v>
      </c>
      <c r="L54" s="25">
        <v>1442337.7796643761</v>
      </c>
      <c r="M54" s="25">
        <v>3161.2203356239479</v>
      </c>
      <c r="N54" s="25">
        <f>$J$20*1+$J$21*D27+$J$22*E27+$J$23*F27+$J$24*G27</f>
        <v>1442337.7796643761</v>
      </c>
      <c r="O54" s="39" t="str">
        <f t="shared" ca="1" si="3"/>
        <v>=$J$20*1+$J$21*D27+$J$22*E27+$J$23*F27+$J$24*G27</v>
      </c>
    </row>
    <row r="55" spans="1:15" x14ac:dyDescent="0.25">
      <c r="A55"/>
      <c r="B55"/>
      <c r="C55"/>
      <c r="D55"/>
      <c r="K55" s="25">
        <v>27</v>
      </c>
      <c r="L55" s="25">
        <v>1463846.755887707</v>
      </c>
      <c r="M55" s="25">
        <v>-12759.755887706997</v>
      </c>
      <c r="N55" s="25">
        <f>$J$20*1+$J$21*D28+$J$22*E28+$J$23*F28+$J$24*G28</f>
        <v>1463846.755887707</v>
      </c>
      <c r="O55" s="39" t="str">
        <f t="shared" ca="1" si="3"/>
        <v>=$J$20*1+$J$21*D28+$J$22*E28+$J$23*F28+$J$24*G28</v>
      </c>
    </row>
    <row r="56" spans="1:15" x14ac:dyDescent="0.25">
      <c r="A56"/>
      <c r="B56"/>
      <c r="C56"/>
      <c r="D56"/>
      <c r="K56" s="25">
        <v>28</v>
      </c>
      <c r="L56" s="25">
        <v>1531485.432636413</v>
      </c>
      <c r="M56" s="25">
        <v>4764.5673635869753</v>
      </c>
      <c r="N56" s="25">
        <f>$J$20*1+$J$21*D29+$J$22*E29+$J$23*F29+$J$24*G29</f>
        <v>1531485.432636413</v>
      </c>
      <c r="O56" s="39" t="str">
        <f t="shared" ca="1" si="3"/>
        <v>=$J$20*1+$J$21*D29+$J$22*E29+$J$23*F29+$J$24*G29</v>
      </c>
    </row>
    <row r="57" spans="1:15" x14ac:dyDescent="0.25">
      <c r="A57"/>
      <c r="B57"/>
      <c r="C57"/>
      <c r="D57"/>
      <c r="K57" s="25">
        <v>29</v>
      </c>
      <c r="L57" s="25">
        <v>1397132.2023274708</v>
      </c>
      <c r="M57" s="25">
        <v>-7088.2023274707608</v>
      </c>
      <c r="N57" s="25">
        <f>$J$20*1+$J$21*D30+$J$22*E30+$J$23*F30+$J$24*G30</f>
        <v>1397132.202327471</v>
      </c>
      <c r="O57" s="39" t="str">
        <f t="shared" ca="1" si="3"/>
        <v>=$J$20*1+$J$21*D30+$J$22*E30+$J$23*F30+$J$24*G30</v>
      </c>
    </row>
    <row r="58" spans="1:15" x14ac:dyDescent="0.25">
      <c r="A58"/>
      <c r="B58"/>
      <c r="C58"/>
      <c r="D58"/>
      <c r="K58" s="25">
        <v>30</v>
      </c>
      <c r="L58" s="25">
        <v>1524490.128158126</v>
      </c>
      <c r="M58" s="25">
        <v>-5421.1281581260264</v>
      </c>
      <c r="N58" s="25">
        <f>$J$20*1+$J$21*D31+$J$22*E31+$J$23*F31+$J$24*G31</f>
        <v>1524490.1281581263</v>
      </c>
      <c r="O58" s="39" t="str">
        <f t="shared" ca="1" si="3"/>
        <v>=$J$20*1+$J$21*D31+$J$22*E31+$J$23*F31+$J$24*G31</v>
      </c>
    </row>
    <row r="59" spans="1:15" x14ac:dyDescent="0.25">
      <c r="A59"/>
      <c r="B59"/>
      <c r="C59"/>
      <c r="D59"/>
      <c r="K59" s="25">
        <v>31</v>
      </c>
      <c r="L59" s="25">
        <v>1542639.5577269988</v>
      </c>
      <c r="M59" s="25">
        <v>-5871.5577269988135</v>
      </c>
      <c r="N59" s="25">
        <f>$J$20*1+$J$21*D32+$J$22*E32+$J$23*F32+$J$24*G32</f>
        <v>1542639.557726999</v>
      </c>
      <c r="O59" s="39" t="str">
        <f t="shared" ca="1" si="3"/>
        <v>=$J$20*1+$J$21*D32+$J$22*E32+$J$23*F32+$J$24*G32</v>
      </c>
    </row>
    <row r="60" spans="1:15" x14ac:dyDescent="0.25">
      <c r="A60"/>
      <c r="B60"/>
      <c r="C60"/>
      <c r="D60"/>
      <c r="K60" s="25">
        <v>32</v>
      </c>
      <c r="L60" s="25">
        <v>1599528.399293385</v>
      </c>
      <c r="M60" s="25">
        <v>-14089.39929338498</v>
      </c>
      <c r="N60" s="25">
        <f>$J$20*1+$J$21*D33+$J$22*E33+$J$23*F33+$J$24*G33</f>
        <v>1599528.3992933852</v>
      </c>
      <c r="O60" s="39" t="str">
        <f t="shared" ca="1" si="3"/>
        <v>=$J$20*1+$J$21*D33+$J$22*E33+$J$23*F33+$J$24*G33</v>
      </c>
    </row>
    <row r="61" spans="1:15" x14ac:dyDescent="0.25">
      <c r="A61"/>
      <c r="B61"/>
      <c r="C61"/>
      <c r="D61"/>
      <c r="K61" s="25">
        <v>33</v>
      </c>
      <c r="L61" s="25">
        <v>1458258.3646816493</v>
      </c>
      <c r="M61" s="25">
        <v>-40767.364681649255</v>
      </c>
      <c r="N61" s="25">
        <f>$J$20*1+$J$21*D34+$J$22*E34+$J$23*F34+$J$24*G34</f>
        <v>1458258.3646816493</v>
      </c>
      <c r="O61" s="39" t="str">
        <f t="shared" ca="1" si="3"/>
        <v>=$J$20*1+$J$21*D34+$J$22*E34+$J$23*F34+$J$24*G34</v>
      </c>
    </row>
    <row r="62" spans="1:15" x14ac:dyDescent="0.25">
      <c r="A62"/>
      <c r="B62"/>
      <c r="C62"/>
      <c r="D62"/>
      <c r="K62" s="25">
        <v>34</v>
      </c>
      <c r="L62" s="25">
        <v>1578904.3383228553</v>
      </c>
      <c r="M62" s="25">
        <v>-4088.3383228552993</v>
      </c>
      <c r="N62" s="25">
        <f>$J$20*1+$J$21*D35+$J$22*E35+$J$23*F35+$J$24*G35</f>
        <v>1578904.3383228553</v>
      </c>
      <c r="O62" s="39" t="str">
        <f t="shared" ca="1" si="3"/>
        <v>=$J$20*1+$J$21*D35+$J$22*E35+$J$23*F35+$J$24*G35</v>
      </c>
    </row>
    <row r="63" spans="1:15" x14ac:dyDescent="0.25">
      <c r="A63"/>
      <c r="B63"/>
      <c r="C63"/>
      <c r="D63"/>
      <c r="K63" s="25">
        <v>35</v>
      </c>
      <c r="L63" s="25">
        <v>1598480.4515437211</v>
      </c>
      <c r="M63" s="25">
        <v>-2857.4515437211376</v>
      </c>
      <c r="N63" s="25">
        <f>$J$20*1+$J$21*D36+$J$22*E36+$J$23*F36+$J$24*G36</f>
        <v>1598480.4515437211</v>
      </c>
      <c r="O63" s="39" t="str">
        <f t="shared" ca="1" si="3"/>
        <v>=$J$20*1+$J$21*D36+$J$22*E36+$J$23*F36+$J$24*G36</v>
      </c>
    </row>
    <row r="64" spans="1:15" x14ac:dyDescent="0.25">
      <c r="A64"/>
      <c r="B64"/>
      <c r="C64"/>
      <c r="D64"/>
      <c r="K64" s="25">
        <v>36</v>
      </c>
      <c r="L64" s="25">
        <v>1658165.4614473809</v>
      </c>
      <c r="M64" s="25">
        <v>-5894.4614473809488</v>
      </c>
      <c r="N64" s="25">
        <f>$J$20*1+$J$21*D37+$J$22*E37+$J$23*F37+$J$24*G37</f>
        <v>1658165.4614473809</v>
      </c>
      <c r="O64" s="39" t="str">
        <f t="shared" ca="1" si="3"/>
        <v>=$J$20*1+$J$21*D37+$J$22*E37+$J$23*F37+$J$24*G37</v>
      </c>
    </row>
    <row r="65" spans="1:15" x14ac:dyDescent="0.25">
      <c r="A65"/>
      <c r="B65"/>
      <c r="C65"/>
      <c r="D65"/>
      <c r="K65" s="25">
        <v>37</v>
      </c>
      <c r="L65" s="25">
        <v>1489471.3577412318</v>
      </c>
      <c r="M65" s="25">
        <v>-46228.357741231797</v>
      </c>
      <c r="N65" s="25">
        <f>$J$20*1+$J$21*D38+$J$22*E38+$J$23*F38+$J$24*G38</f>
        <v>1489471.3577412318</v>
      </c>
      <c r="O65" s="39" t="str">
        <f t="shared" ca="1" si="3"/>
        <v>=$J$20*1+$J$21*D38+$J$22*E38+$J$23*F38+$J$24*G38</v>
      </c>
    </row>
    <row r="66" spans="1:15" x14ac:dyDescent="0.25">
      <c r="A66"/>
      <c r="B66"/>
      <c r="C66"/>
      <c r="D66"/>
      <c r="K66" s="25">
        <v>38</v>
      </c>
      <c r="L66" s="25">
        <v>1452201.0658681314</v>
      </c>
      <c r="M66" s="25">
        <v>3386.9341318686493</v>
      </c>
      <c r="N66" s="25">
        <f>$J$20*1+$J$21*D39+$J$22*E39+$J$23*F39+$J$24*G39</f>
        <v>1452201.0658681314</v>
      </c>
      <c r="O66" s="39" t="str">
        <f t="shared" ca="1" si="3"/>
        <v>=$J$20*1+$J$21*D39+$J$22*E39+$J$23*F39+$J$24*G39</v>
      </c>
    </row>
    <row r="67" spans="1:15" x14ac:dyDescent="0.25">
      <c r="A67"/>
      <c r="B67"/>
      <c r="C67"/>
      <c r="D67"/>
      <c r="K67" s="25">
        <v>39</v>
      </c>
      <c r="L67" s="25">
        <v>1572571.2799300142</v>
      </c>
      <c r="M67" s="25">
        <v>66837.720069985837</v>
      </c>
      <c r="N67" s="25">
        <f>$J$20*1+$J$21*D40+$J$22*E40+$J$23*F40+$J$24*G40</f>
        <v>1572571.2799300142</v>
      </c>
      <c r="O67" s="39" t="str">
        <f t="shared" ca="1" si="3"/>
        <v>=$J$20*1+$J$21*D40+$J$22*E40+$J$23*F40+$J$24*G40</v>
      </c>
    </row>
    <row r="68" spans="1:15" x14ac:dyDescent="0.25">
      <c r="A68"/>
      <c r="B68"/>
      <c r="C68"/>
      <c r="D68"/>
      <c r="K68" s="25">
        <v>40</v>
      </c>
      <c r="L68" s="25">
        <v>1639997.7534129831</v>
      </c>
      <c r="M68" s="25">
        <v>78795.246587016853</v>
      </c>
      <c r="N68" s="25">
        <f>$J$20*1+$J$21*D41+$J$22*E41+$J$23*F41+$J$24*G41</f>
        <v>1639997.7534129831</v>
      </c>
      <c r="O68" s="39" t="str">
        <f t="shared" ca="1" si="3"/>
        <v>=$J$20*1+$J$21*D41+$J$22*E41+$J$23*F41+$J$24*G41</v>
      </c>
    </row>
    <row r="69" spans="1:15" x14ac:dyDescent="0.25">
      <c r="A69"/>
      <c r="B69"/>
      <c r="C69"/>
      <c r="D69"/>
    </row>
    <row r="70" spans="1:15" x14ac:dyDescent="0.25">
      <c r="A70"/>
      <c r="B70"/>
      <c r="C70"/>
      <c r="D70"/>
    </row>
    <row r="71" spans="1:15" x14ac:dyDescent="0.25">
      <c r="A71"/>
      <c r="B71"/>
      <c r="C71"/>
      <c r="D71"/>
      <c r="I71" t="s">
        <v>181</v>
      </c>
    </row>
    <row r="72" spans="1:15" ht="15" x14ac:dyDescent="0.25">
      <c r="A72" s="42" t="s">
        <v>168</v>
      </c>
      <c r="B72"/>
      <c r="C72"/>
      <c r="D72"/>
    </row>
    <row r="73" spans="1:15" x14ac:dyDescent="0.25">
      <c r="A73"/>
      <c r="B73"/>
      <c r="C73"/>
      <c r="D73"/>
    </row>
    <row r="74" spans="1:15" x14ac:dyDescent="0.25">
      <c r="A74"/>
      <c r="B74"/>
      <c r="C74"/>
      <c r="D74"/>
    </row>
    <row r="75" spans="1:15" x14ac:dyDescent="0.25">
      <c r="A75"/>
      <c r="B75"/>
      <c r="C75"/>
      <c r="D75"/>
    </row>
    <row r="76" spans="1:15" x14ac:dyDescent="0.25">
      <c r="A76"/>
      <c r="B76"/>
      <c r="C76"/>
      <c r="D76"/>
    </row>
    <row r="77" spans="1:15" x14ac:dyDescent="0.25">
      <c r="A77"/>
      <c r="B77"/>
      <c r="C77"/>
      <c r="D77"/>
    </row>
    <row r="78" spans="1:15" x14ac:dyDescent="0.25">
      <c r="A78"/>
      <c r="B78"/>
      <c r="C78"/>
      <c r="D78"/>
    </row>
    <row r="79" spans="1:15" x14ac:dyDescent="0.25">
      <c r="A79"/>
      <c r="B79"/>
      <c r="C79"/>
      <c r="D79"/>
    </row>
    <row r="80" spans="1:15" x14ac:dyDescent="0.25">
      <c r="A80"/>
      <c r="B80"/>
      <c r="C80"/>
      <c r="D80"/>
    </row>
    <row r="81" spans="1:8" x14ac:dyDescent="0.25">
      <c r="A81"/>
      <c r="B81"/>
      <c r="C81"/>
      <c r="D81"/>
    </row>
    <row r="82" spans="1:8" x14ac:dyDescent="0.25">
      <c r="A82"/>
      <c r="B82"/>
      <c r="C82"/>
      <c r="D82"/>
    </row>
    <row r="83" spans="1:8" x14ac:dyDescent="0.25">
      <c r="A83"/>
      <c r="B83"/>
      <c r="C83"/>
      <c r="D83"/>
    </row>
    <row r="84" spans="1:8" x14ac:dyDescent="0.25">
      <c r="A84"/>
      <c r="B84"/>
      <c r="C84"/>
      <c r="D84"/>
    </row>
    <row r="85" spans="1:8" x14ac:dyDescent="0.25">
      <c r="A85"/>
      <c r="B85"/>
      <c r="C85"/>
      <c r="D85"/>
    </row>
    <row r="86" spans="1:8" x14ac:dyDescent="0.25">
      <c r="A86"/>
      <c r="B86"/>
      <c r="C86"/>
      <c r="D86"/>
    </row>
    <row r="87" spans="1:8" x14ac:dyDescent="0.25">
      <c r="A87"/>
      <c r="B87"/>
      <c r="C87"/>
      <c r="D87"/>
    </row>
    <row r="88" spans="1:8" x14ac:dyDescent="0.25">
      <c r="A88"/>
      <c r="B88"/>
      <c r="C88"/>
      <c r="D88"/>
    </row>
    <row r="89" spans="1:8" x14ac:dyDescent="0.25">
      <c r="A89"/>
      <c r="B89"/>
      <c r="C89"/>
      <c r="D89"/>
    </row>
    <row r="90" spans="1:8" x14ac:dyDescent="0.25">
      <c r="A90"/>
      <c r="B90"/>
      <c r="C90"/>
      <c r="D90"/>
    </row>
    <row r="91" spans="1:8" ht="15" x14ac:dyDescent="0.25">
      <c r="A91" s="42" t="s">
        <v>170</v>
      </c>
      <c r="B91"/>
      <c r="C91"/>
      <c r="D91"/>
    </row>
    <row r="92" spans="1:8" x14ac:dyDescent="0.25">
      <c r="A92" s="16" t="s">
        <v>171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6"/>
      <c r="B93" s="16"/>
      <c r="C93" s="16"/>
      <c r="D93" s="16"/>
      <c r="E93" s="16"/>
      <c r="F93" s="16"/>
      <c r="G93" s="16"/>
      <c r="H93" s="16"/>
    </row>
    <row r="94" spans="1:8" x14ac:dyDescent="0.25">
      <c r="A94" s="16"/>
      <c r="B94" s="16"/>
      <c r="C94" s="16"/>
      <c r="D94" s="16"/>
      <c r="E94" s="16"/>
      <c r="F94" s="16"/>
      <c r="G94" s="16"/>
      <c r="H94" s="16"/>
    </row>
    <row r="95" spans="1:8" x14ac:dyDescent="0.25">
      <c r="A95" s="16"/>
      <c r="B95" s="16"/>
      <c r="C95" s="16"/>
      <c r="D95" s="16"/>
      <c r="E95" s="16"/>
      <c r="F95" s="16"/>
      <c r="G95" s="16"/>
      <c r="H95" s="16"/>
    </row>
    <row r="96" spans="1:8" x14ac:dyDescent="0.25">
      <c r="A96" s="16"/>
      <c r="B96" s="16"/>
      <c r="C96" s="16"/>
      <c r="D96" s="16"/>
      <c r="E96" s="16"/>
      <c r="F96" s="16"/>
      <c r="G96" s="16"/>
      <c r="H96" s="16"/>
    </row>
    <row r="97" spans="1:8" x14ac:dyDescent="0.25">
      <c r="A97" s="16"/>
      <c r="B97" s="16"/>
      <c r="C97" s="16"/>
      <c r="D97" s="16"/>
      <c r="E97" s="16"/>
      <c r="F97" s="16"/>
      <c r="G97" s="16"/>
      <c r="H97" s="16"/>
    </row>
    <row r="98" spans="1:8" x14ac:dyDescent="0.25">
      <c r="A98" s="16"/>
      <c r="B98" s="16"/>
      <c r="C98" s="16"/>
      <c r="D98" s="16"/>
      <c r="E98" s="16"/>
      <c r="F98" s="16"/>
      <c r="G98" s="16"/>
      <c r="H98" s="16"/>
    </row>
    <row r="99" spans="1:8" x14ac:dyDescent="0.25">
      <c r="A99" s="16"/>
      <c r="B99" s="16"/>
      <c r="C99" s="16"/>
      <c r="D99" s="16"/>
      <c r="E99" s="16"/>
      <c r="F99" s="16"/>
      <c r="G99" s="16"/>
      <c r="H99" s="16"/>
    </row>
    <row r="100" spans="1:8" x14ac:dyDescent="0.25">
      <c r="A100" s="16"/>
      <c r="B100" s="16"/>
      <c r="C100" s="16"/>
      <c r="D100" s="16"/>
      <c r="E100" s="16"/>
      <c r="F100" s="16"/>
      <c r="G100" s="16"/>
      <c r="H100" s="16"/>
    </row>
    <row r="101" spans="1:8" x14ac:dyDescent="0.25">
      <c r="A101" s="16"/>
      <c r="B101" s="16"/>
      <c r="C101" s="16"/>
      <c r="D101" s="16"/>
      <c r="E101" s="16"/>
      <c r="F101" s="16"/>
      <c r="G101" s="16"/>
      <c r="H101" s="16"/>
    </row>
    <row r="102" spans="1:8" x14ac:dyDescent="0.25">
      <c r="A102" s="15"/>
      <c r="B102" s="15"/>
      <c r="C102" s="15"/>
      <c r="D102" s="15"/>
      <c r="E102" s="15"/>
      <c r="F102" s="15"/>
      <c r="G102" s="15"/>
      <c r="H102" s="15"/>
    </row>
    <row r="103" spans="1:8" x14ac:dyDescent="0.25">
      <c r="A103"/>
      <c r="B103"/>
      <c r="C103"/>
      <c r="D103"/>
    </row>
    <row r="104" spans="1:8" x14ac:dyDescent="0.25">
      <c r="A104"/>
      <c r="B104"/>
      <c r="C104"/>
      <c r="D104"/>
    </row>
    <row r="105" spans="1:8" x14ac:dyDescent="0.25">
      <c r="A105"/>
      <c r="B105"/>
      <c r="C105"/>
      <c r="D105"/>
    </row>
    <row r="106" spans="1:8" x14ac:dyDescent="0.25">
      <c r="A106"/>
      <c r="B106"/>
      <c r="C106"/>
      <c r="D106"/>
    </row>
    <row r="107" spans="1:8" x14ac:dyDescent="0.25">
      <c r="A107"/>
      <c r="B107"/>
      <c r="C107"/>
      <c r="D107"/>
    </row>
    <row r="108" spans="1:8" x14ac:dyDescent="0.25">
      <c r="E108" s="5"/>
      <c r="F108" s="3"/>
    </row>
    <row r="109" spans="1:8" x14ac:dyDescent="0.25">
      <c r="E109" s="5"/>
      <c r="F109" s="3"/>
    </row>
    <row r="110" spans="1:8" x14ac:dyDescent="0.25">
      <c r="E110" s="5"/>
      <c r="F110" s="3"/>
    </row>
    <row r="111" spans="1:8" x14ac:dyDescent="0.25">
      <c r="E111" s="5"/>
      <c r="F111" s="3"/>
    </row>
    <row r="112" spans="1:8" x14ac:dyDescent="0.25">
      <c r="E112" s="5"/>
      <c r="F112" s="3"/>
    </row>
    <row r="113" spans="5:6" x14ac:dyDescent="0.25">
      <c r="E113" s="5"/>
      <c r="F113" s="3"/>
    </row>
    <row r="114" spans="5:6" x14ac:dyDescent="0.25">
      <c r="E114" s="5"/>
      <c r="F114" s="3"/>
    </row>
    <row r="115" spans="5:6" x14ac:dyDescent="0.25">
      <c r="E115" s="5"/>
      <c r="F115" s="3"/>
    </row>
    <row r="116" spans="5:6" x14ac:dyDescent="0.25">
      <c r="E116" s="5"/>
      <c r="F116" s="3"/>
    </row>
    <row r="117" spans="5:6" x14ac:dyDescent="0.25">
      <c r="E117" s="5"/>
      <c r="F117" s="3"/>
    </row>
    <row r="118" spans="5:6" x14ac:dyDescent="0.25">
      <c r="E118" s="5"/>
      <c r="F118" s="3"/>
    </row>
    <row r="119" spans="5:6" x14ac:dyDescent="0.25">
      <c r="E119" s="5"/>
      <c r="F119" s="3"/>
    </row>
    <row r="120" spans="5:6" x14ac:dyDescent="0.25">
      <c r="E120" s="5"/>
      <c r="F120" s="3"/>
    </row>
    <row r="121" spans="5:6" x14ac:dyDescent="0.25">
      <c r="E121" s="5"/>
      <c r="F121" s="3"/>
    </row>
    <row r="122" spans="5:6" x14ac:dyDescent="0.25">
      <c r="E122" s="5"/>
      <c r="F122" s="3"/>
    </row>
    <row r="123" spans="5:6" ht="13.95" customHeight="1" x14ac:dyDescent="0.25">
      <c r="F123" s="3"/>
    </row>
    <row r="124" spans="5:6" x14ac:dyDescent="0.25">
      <c r="F124" s="3"/>
    </row>
    <row r="125" spans="5:6" x14ac:dyDescent="0.25">
      <c r="F125" s="3"/>
    </row>
    <row r="126" spans="5:6" x14ac:dyDescent="0.25">
      <c r="F126" s="3"/>
    </row>
    <row r="127" spans="5:6" x14ac:dyDescent="0.25">
      <c r="F127" s="3"/>
    </row>
    <row r="128" spans="5:6" x14ac:dyDescent="0.25">
      <c r="F128" s="3"/>
    </row>
    <row r="129" spans="6:6" x14ac:dyDescent="0.25">
      <c r="F129" s="3"/>
    </row>
    <row r="130" spans="6:6" x14ac:dyDescent="0.25">
      <c r="F130" s="3"/>
    </row>
    <row r="131" spans="6:6" x14ac:dyDescent="0.25">
      <c r="F131" s="3"/>
    </row>
    <row r="132" spans="6:6" x14ac:dyDescent="0.25">
      <c r="F132" s="3"/>
    </row>
    <row r="133" spans="6:6" x14ac:dyDescent="0.25">
      <c r="F133" s="3"/>
    </row>
    <row r="134" spans="6:6" x14ac:dyDescent="0.25">
      <c r="F134" s="3"/>
    </row>
    <row r="135" spans="6:6" x14ac:dyDescent="0.25">
      <c r="F135" s="3"/>
    </row>
    <row r="136" spans="6:6" x14ac:dyDescent="0.25">
      <c r="F136" s="3"/>
    </row>
    <row r="137" spans="6:6" x14ac:dyDescent="0.25">
      <c r="F137" s="3"/>
    </row>
    <row r="138" spans="6:6" x14ac:dyDescent="0.25">
      <c r="F138" s="3"/>
    </row>
    <row r="139" spans="6:6" x14ac:dyDescent="0.25">
      <c r="F139" s="3"/>
    </row>
    <row r="140" spans="6:6" x14ac:dyDescent="0.25">
      <c r="F140" s="3"/>
    </row>
    <row r="141" spans="6:6" x14ac:dyDescent="0.25">
      <c r="F141" s="3"/>
    </row>
    <row r="142" spans="6:6" x14ac:dyDescent="0.25">
      <c r="F142" s="3"/>
    </row>
    <row r="143" spans="6:6" x14ac:dyDescent="0.25">
      <c r="F143" s="3"/>
    </row>
    <row r="144" spans="6:6" x14ac:dyDescent="0.25">
      <c r="F144" s="3"/>
    </row>
    <row r="145" spans="6:6" x14ac:dyDescent="0.25">
      <c r="F145" s="3"/>
    </row>
    <row r="146" spans="6:6" x14ac:dyDescent="0.25">
      <c r="F146" s="3"/>
    </row>
    <row r="147" spans="6:6" x14ac:dyDescent="0.25">
      <c r="F147" s="3"/>
    </row>
    <row r="148" spans="6:6" x14ac:dyDescent="0.25">
      <c r="F148" s="3"/>
    </row>
    <row r="149" spans="6:6" x14ac:dyDescent="0.25">
      <c r="F149" s="3"/>
    </row>
    <row r="150" spans="6:6" x14ac:dyDescent="0.25">
      <c r="F150" s="3"/>
    </row>
    <row r="151" spans="6:6" x14ac:dyDescent="0.25">
      <c r="F151" s="3"/>
    </row>
    <row r="152" spans="6:6" x14ac:dyDescent="0.25">
      <c r="F152" s="3"/>
    </row>
    <row r="153" spans="6:6" x14ac:dyDescent="0.25">
      <c r="F153" s="3"/>
    </row>
    <row r="154" spans="6:6" x14ac:dyDescent="0.25">
      <c r="F154" s="3"/>
    </row>
    <row r="155" spans="6:6" x14ac:dyDescent="0.25">
      <c r="F155" s="3"/>
    </row>
    <row r="156" spans="6:6" x14ac:dyDescent="0.25">
      <c r="F156" s="3"/>
    </row>
    <row r="157" spans="6:6" x14ac:dyDescent="0.25">
      <c r="F157" s="3"/>
    </row>
    <row r="158" spans="6:6" x14ac:dyDescent="0.25">
      <c r="F158" s="3"/>
    </row>
    <row r="159" spans="6:6" x14ac:dyDescent="0.25">
      <c r="F159" s="3"/>
    </row>
    <row r="160" spans="6:6" x14ac:dyDescent="0.25">
      <c r="F160" s="3"/>
    </row>
    <row r="161" spans="6:6" x14ac:dyDescent="0.25">
      <c r="F161" s="3"/>
    </row>
    <row r="162" spans="6:6" x14ac:dyDescent="0.25">
      <c r="F162" s="3"/>
    </row>
    <row r="163" spans="6:6" x14ac:dyDescent="0.25">
      <c r="F163" s="3"/>
    </row>
    <row r="164" spans="6:6" x14ac:dyDescent="0.25">
      <c r="F164" s="3"/>
    </row>
    <row r="165" spans="6:6" x14ac:dyDescent="0.25">
      <c r="F165" s="3"/>
    </row>
    <row r="166" spans="6:6" x14ac:dyDescent="0.25">
      <c r="F166" s="3"/>
    </row>
    <row r="167" spans="6:6" x14ac:dyDescent="0.25">
      <c r="F167" s="3"/>
    </row>
    <row r="168" spans="6:6" x14ac:dyDescent="0.25">
      <c r="F168" s="3"/>
    </row>
    <row r="169" spans="6:6" x14ac:dyDescent="0.25">
      <c r="F169" s="3"/>
    </row>
    <row r="170" spans="6:6" x14ac:dyDescent="0.25">
      <c r="F170" s="3"/>
    </row>
    <row r="171" spans="6:6" x14ac:dyDescent="0.25">
      <c r="F171" s="3"/>
    </row>
    <row r="172" spans="6:6" x14ac:dyDescent="0.25">
      <c r="F172" s="3"/>
    </row>
    <row r="173" spans="6:6" x14ac:dyDescent="0.25">
      <c r="F173" s="3"/>
    </row>
    <row r="174" spans="6:6" x14ac:dyDescent="0.25">
      <c r="F174" s="3"/>
    </row>
    <row r="175" spans="6:6" x14ac:dyDescent="0.25">
      <c r="F175" s="3"/>
    </row>
    <row r="176" spans="6:6" x14ac:dyDescent="0.25">
      <c r="F176" s="3"/>
    </row>
    <row r="177" spans="6:6" x14ac:dyDescent="0.25">
      <c r="F177" s="3"/>
    </row>
    <row r="178" spans="6:6" x14ac:dyDescent="0.25">
      <c r="F178" s="3"/>
    </row>
    <row r="179" spans="6:6" x14ac:dyDescent="0.25">
      <c r="F179" s="3"/>
    </row>
    <row r="180" spans="6:6" x14ac:dyDescent="0.25">
      <c r="F180" s="3"/>
    </row>
    <row r="181" spans="6:6" x14ac:dyDescent="0.25">
      <c r="F181" s="3"/>
    </row>
    <row r="182" spans="6:6" x14ac:dyDescent="0.25">
      <c r="F182" s="3"/>
    </row>
    <row r="183" spans="6:6" x14ac:dyDescent="0.25">
      <c r="F183" s="3"/>
    </row>
    <row r="184" spans="6:6" x14ac:dyDescent="0.25">
      <c r="F184" s="3"/>
    </row>
    <row r="185" spans="6:6" x14ac:dyDescent="0.25">
      <c r="F185" s="3"/>
    </row>
    <row r="186" spans="6:6" x14ac:dyDescent="0.25">
      <c r="F186" s="3"/>
    </row>
    <row r="187" spans="6:6" x14ac:dyDescent="0.25">
      <c r="F187" s="3"/>
    </row>
    <row r="188" spans="6:6" x14ac:dyDescent="0.25">
      <c r="F188" s="3"/>
    </row>
    <row r="189" spans="6:6" x14ac:dyDescent="0.25">
      <c r="F189" s="3"/>
    </row>
    <row r="190" spans="6:6" x14ac:dyDescent="0.25">
      <c r="F190" s="3"/>
    </row>
    <row r="191" spans="6:6" x14ac:dyDescent="0.25">
      <c r="F191" s="3"/>
    </row>
    <row r="192" spans="6:6" x14ac:dyDescent="0.25">
      <c r="F192" s="3"/>
    </row>
    <row r="193" spans="6:6" x14ac:dyDescent="0.25">
      <c r="F193" s="3"/>
    </row>
    <row r="194" spans="6:6" x14ac:dyDescent="0.25">
      <c r="F194" s="3"/>
    </row>
    <row r="195" spans="6:6" x14ac:dyDescent="0.25">
      <c r="F195" s="3"/>
    </row>
    <row r="196" spans="6:6" x14ac:dyDescent="0.25">
      <c r="F196" s="3"/>
    </row>
    <row r="197" spans="6:6" x14ac:dyDescent="0.25">
      <c r="F197" s="3"/>
    </row>
    <row r="198" spans="6:6" x14ac:dyDescent="0.25">
      <c r="F198" s="3"/>
    </row>
    <row r="199" spans="6:6" x14ac:dyDescent="0.25">
      <c r="F199" s="3"/>
    </row>
    <row r="200" spans="6:6" x14ac:dyDescent="0.25">
      <c r="F200" s="3"/>
    </row>
    <row r="201" spans="6:6" x14ac:dyDescent="0.25">
      <c r="F201" s="3"/>
    </row>
    <row r="202" spans="6:6" x14ac:dyDescent="0.25">
      <c r="F202" s="3"/>
    </row>
    <row r="203" spans="6:6" x14ac:dyDescent="0.25">
      <c r="F203" s="3"/>
    </row>
    <row r="204" spans="6:6" x14ac:dyDescent="0.25">
      <c r="F204" s="3"/>
    </row>
    <row r="205" spans="6:6" x14ac:dyDescent="0.25">
      <c r="F205" s="3"/>
    </row>
    <row r="206" spans="6:6" x14ac:dyDescent="0.25">
      <c r="F206" s="3"/>
    </row>
    <row r="207" spans="6:6" x14ac:dyDescent="0.25">
      <c r="F207" s="3"/>
    </row>
    <row r="208" spans="6:6" x14ac:dyDescent="0.25">
      <c r="F208" s="3"/>
    </row>
    <row r="209" spans="6:6" x14ac:dyDescent="0.25">
      <c r="F209" s="3"/>
    </row>
    <row r="210" spans="6:6" x14ac:dyDescent="0.25">
      <c r="F210" s="3"/>
    </row>
    <row r="211" spans="6:6" x14ac:dyDescent="0.25">
      <c r="F211" s="3"/>
    </row>
    <row r="212" spans="6:6" x14ac:dyDescent="0.25">
      <c r="F212" s="3"/>
    </row>
    <row r="213" spans="6:6" x14ac:dyDescent="0.25">
      <c r="F213" s="3"/>
    </row>
    <row r="214" spans="6:6" x14ac:dyDescent="0.25">
      <c r="F214" s="3"/>
    </row>
    <row r="215" spans="6:6" x14ac:dyDescent="0.25">
      <c r="F215" s="3"/>
    </row>
    <row r="216" spans="6:6" x14ac:dyDescent="0.25">
      <c r="F216" s="3"/>
    </row>
    <row r="217" spans="6:6" x14ac:dyDescent="0.25">
      <c r="F217" s="3"/>
    </row>
    <row r="218" spans="6:6" x14ac:dyDescent="0.25">
      <c r="F218" s="3"/>
    </row>
    <row r="219" spans="6:6" x14ac:dyDescent="0.25">
      <c r="F219" s="3"/>
    </row>
    <row r="220" spans="6:6" x14ac:dyDescent="0.25">
      <c r="F220" s="3"/>
    </row>
    <row r="221" spans="6:6" x14ac:dyDescent="0.25">
      <c r="F221" s="3"/>
    </row>
    <row r="222" spans="6:6" x14ac:dyDescent="0.25">
      <c r="F222" s="3"/>
    </row>
    <row r="223" spans="6:6" x14ac:dyDescent="0.25">
      <c r="F223" s="3"/>
    </row>
    <row r="224" spans="6:6" x14ac:dyDescent="0.25">
      <c r="F224" s="3"/>
    </row>
    <row r="225" spans="6:6" x14ac:dyDescent="0.25">
      <c r="F225" s="3"/>
    </row>
    <row r="226" spans="6:6" x14ac:dyDescent="0.25">
      <c r="F226" s="3"/>
    </row>
    <row r="227" spans="6:6" x14ac:dyDescent="0.25">
      <c r="F227" s="3"/>
    </row>
    <row r="228" spans="6:6" x14ac:dyDescent="0.25">
      <c r="F228" s="3"/>
    </row>
    <row r="229" spans="6:6" x14ac:dyDescent="0.25">
      <c r="F229" s="3"/>
    </row>
    <row r="230" spans="6:6" x14ac:dyDescent="0.25">
      <c r="F230" s="3"/>
    </row>
    <row r="231" spans="6:6" x14ac:dyDescent="0.25">
      <c r="F231" s="3"/>
    </row>
    <row r="232" spans="6:6" x14ac:dyDescent="0.25">
      <c r="F232" s="3"/>
    </row>
    <row r="233" spans="6:6" x14ac:dyDescent="0.25">
      <c r="F233" s="3"/>
    </row>
    <row r="234" spans="6:6" x14ac:dyDescent="0.25">
      <c r="F234" s="3"/>
    </row>
    <row r="235" spans="6:6" x14ac:dyDescent="0.25">
      <c r="F235" s="3"/>
    </row>
    <row r="236" spans="6:6" x14ac:dyDescent="0.25">
      <c r="F236" s="3"/>
    </row>
    <row r="237" spans="6:6" x14ac:dyDescent="0.25">
      <c r="F237" s="3"/>
    </row>
    <row r="238" spans="6:6" x14ac:dyDescent="0.25">
      <c r="F238" s="3"/>
    </row>
    <row r="239" spans="6:6" x14ac:dyDescent="0.25">
      <c r="F239" s="3"/>
    </row>
    <row r="240" spans="6:6" x14ac:dyDescent="0.25">
      <c r="F240" s="3"/>
    </row>
    <row r="241" spans="6:6" x14ac:dyDescent="0.25">
      <c r="F241" s="3"/>
    </row>
    <row r="242" spans="6:6" x14ac:dyDescent="0.25">
      <c r="F242" s="3"/>
    </row>
    <row r="243" spans="6:6" x14ac:dyDescent="0.25">
      <c r="F243" s="3"/>
    </row>
    <row r="244" spans="6:6" x14ac:dyDescent="0.25">
      <c r="F244" s="3"/>
    </row>
    <row r="245" spans="6:6" x14ac:dyDescent="0.25">
      <c r="F245" s="3"/>
    </row>
  </sheetData>
  <mergeCells count="4">
    <mergeCell ref="A92:H101"/>
    <mergeCell ref="I2:Q3"/>
    <mergeCell ref="D48:E48"/>
    <mergeCell ref="D49:E49"/>
  </mergeCells>
  <printOptions horizontalCentered="1" verticalCentered="1" headings="1"/>
  <pageMargins left="0.19685039370078741" right="7.874015748031496E-2" top="7.874015748031496E-2" bottom="7.874015748031496E-2" header="7.874015748031496E-2" footer="7.874015748031496E-2"/>
  <pageSetup paperSize="9" scale="36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2C0F-3E9B-4D37-8B8B-B00A328F8BAA}">
  <sheetPr>
    <pageSetUpPr fitToPage="1"/>
  </sheetPr>
  <dimension ref="A1:Q144"/>
  <sheetViews>
    <sheetView topLeftCell="A15" zoomScale="85" zoomScaleNormal="85" workbookViewId="0">
      <selection activeCell="P6" sqref="P6"/>
    </sheetView>
  </sheetViews>
  <sheetFormatPr defaultColWidth="8.796875" defaultRowHeight="13.8" x14ac:dyDescent="0.25"/>
  <cols>
    <col min="1" max="1" width="47.19921875" customWidth="1"/>
    <col min="2" max="6" width="8.796875" style="3"/>
    <col min="8" max="8" width="17.8984375" bestFit="1" customWidth="1"/>
    <col min="9" max="9" width="20.3984375" bestFit="1" customWidth="1"/>
    <col min="10" max="10" width="13.69921875" bestFit="1" customWidth="1"/>
    <col min="11" max="11" width="12.19921875" bestFit="1" customWidth="1"/>
    <col min="12" max="12" width="11.69921875" customWidth="1"/>
    <col min="13" max="13" width="15" customWidth="1"/>
    <col min="14" max="14" width="12.296875" customWidth="1"/>
    <col min="15" max="15" width="15.296875" customWidth="1"/>
    <col min="16" max="16" width="12.59765625" bestFit="1" customWidth="1"/>
  </cols>
  <sheetData>
    <row r="1" spans="1:15" x14ac:dyDescent="0.25">
      <c r="A1" s="22" t="s">
        <v>0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J1" s="31" t="s">
        <v>203</v>
      </c>
    </row>
    <row r="2" spans="1:15" x14ac:dyDescent="0.25">
      <c r="A2" s="25" t="s">
        <v>6</v>
      </c>
      <c r="B2" s="26">
        <v>44800</v>
      </c>
      <c r="C2" s="26">
        <v>22920</v>
      </c>
      <c r="D2" s="26">
        <v>62</v>
      </c>
      <c r="E2" s="26">
        <v>88</v>
      </c>
      <c r="F2" s="26">
        <v>1</v>
      </c>
      <c r="H2" t="s">
        <v>126</v>
      </c>
      <c r="I2" t="s">
        <v>195</v>
      </c>
      <c r="J2" s="31" t="s">
        <v>206</v>
      </c>
    </row>
    <row r="3" spans="1:15" x14ac:dyDescent="0.25">
      <c r="A3" s="25" t="s">
        <v>7</v>
      </c>
      <c r="B3" s="26">
        <v>45100</v>
      </c>
      <c r="C3" s="26">
        <v>23429</v>
      </c>
      <c r="D3" s="26">
        <v>73</v>
      </c>
      <c r="E3" s="26">
        <v>92</v>
      </c>
      <c r="F3" s="26">
        <v>0</v>
      </c>
    </row>
    <row r="4" spans="1:15" x14ac:dyDescent="0.25">
      <c r="A4" s="25" t="s">
        <v>8</v>
      </c>
      <c r="B4" s="26">
        <v>42300</v>
      </c>
      <c r="C4" s="26">
        <v>19567</v>
      </c>
      <c r="D4" s="26">
        <v>63</v>
      </c>
      <c r="E4" s="26">
        <v>87</v>
      </c>
      <c r="F4" s="26">
        <v>0</v>
      </c>
      <c r="H4" s="27" t="s">
        <v>127</v>
      </c>
      <c r="I4" s="27"/>
    </row>
    <row r="5" spans="1:15" x14ac:dyDescent="0.25">
      <c r="A5" s="25" t="s">
        <v>9</v>
      </c>
      <c r="B5" s="26">
        <v>49200</v>
      </c>
      <c r="C5" s="26">
        <v>25147</v>
      </c>
      <c r="D5" s="26">
        <v>78</v>
      </c>
      <c r="E5" s="26">
        <v>92</v>
      </c>
      <c r="F5" s="26">
        <v>0</v>
      </c>
      <c r="H5" s="25" t="s">
        <v>128</v>
      </c>
      <c r="I5" s="25">
        <v>0.65515087314945819</v>
      </c>
    </row>
    <row r="6" spans="1:15" ht="15" x14ac:dyDescent="0.25">
      <c r="A6" s="25" t="s">
        <v>10</v>
      </c>
      <c r="B6" s="26">
        <v>37900</v>
      </c>
      <c r="C6" s="26">
        <v>21979</v>
      </c>
      <c r="D6" s="26">
        <v>78</v>
      </c>
      <c r="E6" s="26">
        <v>93</v>
      </c>
      <c r="F6" s="26">
        <v>1</v>
      </c>
      <c r="H6" s="25" t="s">
        <v>129</v>
      </c>
      <c r="I6" s="25">
        <v>0.4292226665884975</v>
      </c>
      <c r="J6" s="21" t="s">
        <v>200</v>
      </c>
    </row>
    <row r="7" spans="1:15" ht="15" x14ac:dyDescent="0.25">
      <c r="A7" s="25" t="s">
        <v>11</v>
      </c>
      <c r="B7" s="26">
        <v>74900</v>
      </c>
      <c r="C7" s="26">
        <v>29886</v>
      </c>
      <c r="D7" s="26">
        <v>86</v>
      </c>
      <c r="E7" s="26">
        <v>98</v>
      </c>
      <c r="F7" s="26">
        <v>1</v>
      </c>
      <c r="H7" s="25" t="s">
        <v>130</v>
      </c>
      <c r="I7" s="25">
        <v>0.40865411403312801</v>
      </c>
      <c r="J7" s="42" t="s">
        <v>202</v>
      </c>
    </row>
    <row r="8" spans="1:15" x14ac:dyDescent="0.25">
      <c r="A8" s="25" t="s">
        <v>12</v>
      </c>
      <c r="B8" s="26">
        <v>60600</v>
      </c>
      <c r="C8" s="26">
        <v>34603</v>
      </c>
      <c r="D8" s="26">
        <v>84</v>
      </c>
      <c r="E8" s="26">
        <v>95</v>
      </c>
      <c r="F8" s="26">
        <v>1</v>
      </c>
      <c r="H8" s="25" t="s">
        <v>131</v>
      </c>
      <c r="I8" s="25">
        <v>5645.8306110881313</v>
      </c>
    </row>
    <row r="9" spans="1:15" x14ac:dyDescent="0.25">
      <c r="A9" s="25" t="s">
        <v>13</v>
      </c>
      <c r="B9" s="26">
        <v>52900</v>
      </c>
      <c r="C9" s="26">
        <v>28107</v>
      </c>
      <c r="D9" s="26">
        <v>65</v>
      </c>
      <c r="E9" s="26">
        <v>90</v>
      </c>
      <c r="F9" s="26">
        <v>1</v>
      </c>
      <c r="H9" s="25" t="s">
        <v>132</v>
      </c>
      <c r="I9" s="25">
        <v>116</v>
      </c>
    </row>
    <row r="10" spans="1:15" x14ac:dyDescent="0.25">
      <c r="A10" s="25" t="s">
        <v>14</v>
      </c>
      <c r="B10" s="26">
        <v>44000</v>
      </c>
      <c r="C10" s="26">
        <v>23583</v>
      </c>
      <c r="D10" s="26">
        <v>65</v>
      </c>
      <c r="E10" s="26">
        <v>95</v>
      </c>
      <c r="F10" s="26">
        <v>0</v>
      </c>
    </row>
    <row r="11" spans="1:15" x14ac:dyDescent="0.25">
      <c r="A11" s="25" t="s">
        <v>15</v>
      </c>
      <c r="B11" s="26">
        <v>54500</v>
      </c>
      <c r="C11" s="26">
        <v>34086</v>
      </c>
      <c r="D11" s="26">
        <v>68</v>
      </c>
      <c r="E11" s="26">
        <v>92</v>
      </c>
      <c r="F11" s="26">
        <v>1</v>
      </c>
      <c r="H11" t="s">
        <v>196</v>
      </c>
      <c r="I11" t="s">
        <v>199</v>
      </c>
      <c r="K11" s="35" t="s">
        <v>183</v>
      </c>
      <c r="L11" s="35" t="s">
        <v>184</v>
      </c>
    </row>
    <row r="12" spans="1:15" x14ac:dyDescent="0.25">
      <c r="A12" s="25" t="s">
        <v>16</v>
      </c>
      <c r="B12" s="26">
        <v>45200</v>
      </c>
      <c r="C12" s="26">
        <v>19156</v>
      </c>
      <c r="D12" s="26">
        <v>61</v>
      </c>
      <c r="E12" s="26">
        <v>83</v>
      </c>
      <c r="F12" s="26">
        <v>1</v>
      </c>
      <c r="H12" s="28"/>
      <c r="I12" s="28" t="s">
        <v>138</v>
      </c>
      <c r="J12" s="28" t="s">
        <v>139</v>
      </c>
      <c r="K12" s="28" t="s">
        <v>140</v>
      </c>
      <c r="L12" s="28" t="s">
        <v>194</v>
      </c>
      <c r="M12" s="28" t="s">
        <v>142</v>
      </c>
    </row>
    <row r="13" spans="1:15" x14ac:dyDescent="0.25">
      <c r="A13" s="25" t="s">
        <v>17</v>
      </c>
      <c r="B13" s="26">
        <v>40400</v>
      </c>
      <c r="C13" s="26">
        <v>31564</v>
      </c>
      <c r="D13" s="26">
        <v>62</v>
      </c>
      <c r="E13" s="26">
        <v>89</v>
      </c>
      <c r="F13" s="26">
        <v>1</v>
      </c>
      <c r="G13" s="3" t="s">
        <v>189</v>
      </c>
      <c r="H13" s="25" t="s">
        <v>134</v>
      </c>
      <c r="I13" s="25">
        <v>4</v>
      </c>
      <c r="J13" s="25">
        <v>2660691959.0478535</v>
      </c>
      <c r="K13" s="25">
        <v>665172989.76196337</v>
      </c>
      <c r="L13" s="25">
        <v>20.867908202730977</v>
      </c>
      <c r="M13" s="25">
        <v>7.5637496423603034E-13</v>
      </c>
    </row>
    <row r="14" spans="1:15" x14ac:dyDescent="0.25">
      <c r="A14" s="25" t="s">
        <v>18</v>
      </c>
      <c r="B14" s="26">
        <v>51800</v>
      </c>
      <c r="C14" s="26">
        <v>33821</v>
      </c>
      <c r="D14" s="26">
        <v>74</v>
      </c>
      <c r="E14" s="26">
        <v>87</v>
      </c>
      <c r="F14" s="26">
        <v>1</v>
      </c>
      <c r="G14" s="3" t="s">
        <v>190</v>
      </c>
      <c r="H14" s="25" t="s">
        <v>135</v>
      </c>
      <c r="I14" s="25">
        <v>111</v>
      </c>
      <c r="J14" s="25">
        <v>3538169765.0900764</v>
      </c>
      <c r="K14" s="25">
        <v>31875403.289099786</v>
      </c>
      <c r="L14" s="25"/>
      <c r="M14" s="25"/>
      <c r="O14" s="11"/>
    </row>
    <row r="15" spans="1:15" x14ac:dyDescent="0.25">
      <c r="A15" s="25" t="s">
        <v>19</v>
      </c>
      <c r="B15" s="26">
        <v>44100</v>
      </c>
      <c r="C15" s="26">
        <v>23415</v>
      </c>
      <c r="D15" s="26">
        <v>80</v>
      </c>
      <c r="E15" s="26">
        <v>94</v>
      </c>
      <c r="F15" s="26">
        <v>1</v>
      </c>
      <c r="G15" s="3" t="s">
        <v>191</v>
      </c>
      <c r="H15" s="25" t="s">
        <v>136</v>
      </c>
      <c r="I15" s="25">
        <v>115</v>
      </c>
      <c r="J15" s="25">
        <v>6198861724.1379299</v>
      </c>
      <c r="K15" s="25"/>
      <c r="L15" s="25"/>
      <c r="M15" s="25"/>
      <c r="O15" s="11"/>
    </row>
    <row r="16" spans="1:15" x14ac:dyDescent="0.25">
      <c r="A16" s="25" t="s">
        <v>20</v>
      </c>
      <c r="B16" s="26">
        <v>38600</v>
      </c>
      <c r="C16" s="26">
        <v>22644</v>
      </c>
      <c r="D16" s="26">
        <v>56</v>
      </c>
      <c r="E16" s="26">
        <v>88</v>
      </c>
      <c r="F16" s="26">
        <v>0</v>
      </c>
      <c r="G16" s="3"/>
    </row>
    <row r="17" spans="1:17" x14ac:dyDescent="0.25">
      <c r="A17" s="25" t="s">
        <v>21</v>
      </c>
      <c r="B17" s="26">
        <v>51900</v>
      </c>
      <c r="C17" s="26">
        <v>19647</v>
      </c>
      <c r="D17" s="26">
        <v>54</v>
      </c>
      <c r="E17" s="26">
        <v>85</v>
      </c>
      <c r="F17" s="26">
        <v>1</v>
      </c>
      <c r="G17" s="3"/>
      <c r="H17" s="28"/>
      <c r="I17" s="28" t="s">
        <v>143</v>
      </c>
      <c r="J17" s="28" t="s">
        <v>131</v>
      </c>
      <c r="K17" s="28" t="s">
        <v>144</v>
      </c>
      <c r="L17" s="28" t="s">
        <v>145</v>
      </c>
      <c r="M17" s="28" t="s">
        <v>146</v>
      </c>
      <c r="N17" s="28" t="s">
        <v>147</v>
      </c>
      <c r="O17" s="28" t="s">
        <v>148</v>
      </c>
      <c r="P17" s="28" t="s">
        <v>149</v>
      </c>
    </row>
    <row r="18" spans="1:17" x14ac:dyDescent="0.25">
      <c r="A18" s="25" t="s">
        <v>22</v>
      </c>
      <c r="B18" s="26">
        <v>47600</v>
      </c>
      <c r="C18" s="26">
        <v>23518</v>
      </c>
      <c r="D18" s="26">
        <v>81</v>
      </c>
      <c r="E18" s="26">
        <v>98</v>
      </c>
      <c r="F18" s="26">
        <v>0</v>
      </c>
      <c r="G18" s="3" t="s">
        <v>192</v>
      </c>
      <c r="H18" s="25" t="s">
        <v>137</v>
      </c>
      <c r="I18" s="25">
        <v>10004.966451790013</v>
      </c>
      <c r="J18" s="25">
        <v>7634.3338425670199</v>
      </c>
      <c r="K18" s="25">
        <v>1.31052252339359</v>
      </c>
      <c r="L18" s="25">
        <v>0.19272431857728689</v>
      </c>
      <c r="M18" s="25">
        <v>-5122.9757030526844</v>
      </c>
      <c r="N18" s="25">
        <v>25132.908606632711</v>
      </c>
      <c r="O18" s="25">
        <v>-5122.9757030526844</v>
      </c>
      <c r="P18" s="25">
        <v>25132.908606632711</v>
      </c>
    </row>
    <row r="19" spans="1:17" x14ac:dyDescent="0.25">
      <c r="A19" s="25" t="s">
        <v>23</v>
      </c>
      <c r="B19" s="26">
        <v>35900</v>
      </c>
      <c r="C19" s="26">
        <v>16575</v>
      </c>
      <c r="D19" s="26">
        <v>43</v>
      </c>
      <c r="E19" s="26">
        <v>71</v>
      </c>
      <c r="F19" s="26">
        <v>0</v>
      </c>
      <c r="G19" s="3" t="s">
        <v>193</v>
      </c>
      <c r="H19" s="25" t="s">
        <v>2</v>
      </c>
      <c r="I19" s="25">
        <v>0.43491380983693811</v>
      </c>
      <c r="J19" s="25">
        <v>0.11102648463602002</v>
      </c>
      <c r="K19" s="25">
        <v>3.9172077839150119</v>
      </c>
      <c r="L19" s="25">
        <v>1.5515180189891947E-4</v>
      </c>
      <c r="M19" s="25">
        <v>0.21490741872731361</v>
      </c>
      <c r="N19" s="25">
        <v>0.65492020094656267</v>
      </c>
      <c r="O19" s="25">
        <v>0.21490741872731361</v>
      </c>
      <c r="P19" s="25">
        <v>0.65492020094656267</v>
      </c>
    </row>
    <row r="20" spans="1:17" x14ac:dyDescent="0.25">
      <c r="A20" s="25" t="s">
        <v>24</v>
      </c>
      <c r="B20" s="26">
        <v>48300</v>
      </c>
      <c r="C20" s="26">
        <v>27080</v>
      </c>
      <c r="D20" s="26">
        <v>69</v>
      </c>
      <c r="E20" s="26">
        <v>90</v>
      </c>
      <c r="F20" s="26">
        <v>0</v>
      </c>
      <c r="G20" s="3" t="s">
        <v>185</v>
      </c>
      <c r="H20" s="25" t="s">
        <v>3</v>
      </c>
      <c r="I20" s="25">
        <v>178.0989094105451</v>
      </c>
      <c r="J20" s="25">
        <v>69.193974732963824</v>
      </c>
      <c r="K20" s="25">
        <v>2.5739077730087279</v>
      </c>
      <c r="L20" s="25">
        <v>1.1373239959250091E-2</v>
      </c>
      <c r="M20" s="25">
        <v>40.986429289823349</v>
      </c>
      <c r="N20" s="25">
        <v>315.21138953126689</v>
      </c>
      <c r="O20" s="25">
        <v>40.986429289823349</v>
      </c>
      <c r="P20" s="25">
        <v>315.21138953126689</v>
      </c>
    </row>
    <row r="21" spans="1:17" x14ac:dyDescent="0.25">
      <c r="A21" s="25" t="s">
        <v>25</v>
      </c>
      <c r="B21" s="26">
        <v>52100</v>
      </c>
      <c r="C21" s="26">
        <v>29678</v>
      </c>
      <c r="D21" s="26">
        <v>85</v>
      </c>
      <c r="E21" s="26">
        <v>95</v>
      </c>
      <c r="F21" s="26">
        <v>1</v>
      </c>
      <c r="G21" s="3" t="s">
        <v>186</v>
      </c>
      <c r="H21" s="25" t="s">
        <v>4</v>
      </c>
      <c r="I21" s="25">
        <v>141.47830025474349</v>
      </c>
      <c r="J21" s="25">
        <v>117.21201043146823</v>
      </c>
      <c r="K21" s="25">
        <v>1.2070290385255642</v>
      </c>
      <c r="L21" s="25">
        <v>0.2299868907731642</v>
      </c>
      <c r="M21" s="25">
        <v>-90.785123146170477</v>
      </c>
      <c r="N21" s="25">
        <v>373.74172365565744</v>
      </c>
      <c r="O21" s="25">
        <v>-90.785123146170477</v>
      </c>
      <c r="P21" s="25">
        <v>373.74172365565744</v>
      </c>
    </row>
    <row r="22" spans="1:17" x14ac:dyDescent="0.25">
      <c r="A22" s="25" t="s">
        <v>26</v>
      </c>
      <c r="B22" s="26">
        <v>42300</v>
      </c>
      <c r="C22" s="26">
        <v>21713</v>
      </c>
      <c r="D22" s="26">
        <v>62</v>
      </c>
      <c r="E22" s="26">
        <v>90</v>
      </c>
      <c r="F22" s="26">
        <v>0</v>
      </c>
      <c r="G22" s="3" t="s">
        <v>187</v>
      </c>
      <c r="H22" s="25" t="s">
        <v>5</v>
      </c>
      <c r="I22" s="41">
        <v>2526.788806133914</v>
      </c>
      <c r="J22" s="25">
        <v>1103.4026222770658</v>
      </c>
      <c r="K22" s="25">
        <v>2.2899971008945403</v>
      </c>
      <c r="L22" s="41">
        <v>2.3911513311872346E-2</v>
      </c>
      <c r="M22" s="25">
        <v>340.32285016040692</v>
      </c>
      <c r="N22" s="25">
        <v>4713.2547621074209</v>
      </c>
      <c r="O22" s="25">
        <v>340.32285016040692</v>
      </c>
      <c r="P22" s="25">
        <v>4713.2547621074209</v>
      </c>
    </row>
    <row r="23" spans="1:17" x14ac:dyDescent="0.25">
      <c r="A23" s="25" t="s">
        <v>27</v>
      </c>
      <c r="B23" s="26">
        <v>44400</v>
      </c>
      <c r="C23" s="26">
        <v>13902</v>
      </c>
      <c r="D23" s="26">
        <v>65</v>
      </c>
      <c r="E23" s="26">
        <v>86</v>
      </c>
      <c r="F23" s="26">
        <v>0</v>
      </c>
      <c r="I23" s="40" t="s">
        <v>204</v>
      </c>
      <c r="K23" s="43" t="s">
        <v>207</v>
      </c>
      <c r="L23" s="25" t="s">
        <v>205</v>
      </c>
    </row>
    <row r="24" spans="1:17" x14ac:dyDescent="0.25">
      <c r="A24" s="25" t="s">
        <v>28</v>
      </c>
      <c r="B24" s="26">
        <v>50900</v>
      </c>
      <c r="C24" s="26">
        <v>27652</v>
      </c>
      <c r="D24" s="26">
        <v>69</v>
      </c>
      <c r="E24" s="26">
        <v>93</v>
      </c>
      <c r="F24" s="26">
        <v>0</v>
      </c>
      <c r="I24" s="17" t="s">
        <v>197</v>
      </c>
    </row>
    <row r="25" spans="1:17" x14ac:dyDescent="0.25">
      <c r="A25" s="25" t="s">
        <v>29</v>
      </c>
      <c r="B25" s="26">
        <v>61100</v>
      </c>
      <c r="C25" s="26">
        <v>33742</v>
      </c>
      <c r="D25" s="26">
        <v>67</v>
      </c>
      <c r="E25" s="26">
        <v>90</v>
      </c>
      <c r="F25" s="26">
        <v>1</v>
      </c>
      <c r="M25" s="23" t="s">
        <v>1</v>
      </c>
      <c r="N25" s="24" t="s">
        <v>2</v>
      </c>
      <c r="O25" s="24" t="s">
        <v>3</v>
      </c>
      <c r="P25" s="24" t="s">
        <v>4</v>
      </c>
      <c r="Q25" s="24" t="s">
        <v>5</v>
      </c>
    </row>
    <row r="26" spans="1:17" x14ac:dyDescent="0.25">
      <c r="A26" s="25" t="s">
        <v>30</v>
      </c>
      <c r="B26" s="26">
        <v>32300</v>
      </c>
      <c r="C26" s="26">
        <v>19414</v>
      </c>
      <c r="D26" s="26">
        <v>71</v>
      </c>
      <c r="E26" s="26">
        <v>96</v>
      </c>
      <c r="F26" s="26">
        <v>0</v>
      </c>
      <c r="H26" t="s">
        <v>150</v>
      </c>
      <c r="M26" s="26">
        <v>44800</v>
      </c>
      <c r="N26" s="26">
        <v>22920</v>
      </c>
      <c r="O26" s="26">
        <v>62</v>
      </c>
      <c r="P26" s="26">
        <v>88</v>
      </c>
      <c r="Q26" s="26">
        <v>1</v>
      </c>
    </row>
    <row r="27" spans="1:17" x14ac:dyDescent="0.25">
      <c r="A27" s="25" t="s">
        <v>31</v>
      </c>
      <c r="B27" s="26">
        <v>40800</v>
      </c>
      <c r="C27" s="26">
        <v>29864</v>
      </c>
      <c r="D27" s="26">
        <v>63</v>
      </c>
      <c r="E27" s="26">
        <v>81</v>
      </c>
      <c r="F27" s="26">
        <v>1</v>
      </c>
      <c r="J27" s="18" t="s">
        <v>177</v>
      </c>
      <c r="L27" s="19" t="s">
        <v>198</v>
      </c>
      <c r="M27" t="s">
        <v>155</v>
      </c>
    </row>
    <row r="28" spans="1:17" x14ac:dyDescent="0.25">
      <c r="A28" s="25" t="s">
        <v>32</v>
      </c>
      <c r="B28" s="26">
        <v>48100</v>
      </c>
      <c r="C28" s="26">
        <v>19466</v>
      </c>
      <c r="D28" s="26">
        <v>74</v>
      </c>
      <c r="E28" s="26">
        <v>91</v>
      </c>
      <c r="F28" s="26">
        <v>0</v>
      </c>
      <c r="H28" s="28" t="s">
        <v>151</v>
      </c>
      <c r="I28" s="28" t="s">
        <v>152</v>
      </c>
      <c r="J28" s="28" t="s">
        <v>153</v>
      </c>
      <c r="M28" s="23" t="s">
        <v>172</v>
      </c>
    </row>
    <row r="29" spans="1:17" x14ac:dyDescent="0.25">
      <c r="A29" s="25" t="s">
        <v>33</v>
      </c>
      <c r="B29" s="26">
        <v>43600</v>
      </c>
      <c r="C29" s="26">
        <v>22787</v>
      </c>
      <c r="D29" s="26">
        <v>60</v>
      </c>
      <c r="E29" s="26">
        <v>89</v>
      </c>
      <c r="F29" s="26">
        <v>1</v>
      </c>
      <c r="H29" s="25">
        <v>1</v>
      </c>
      <c r="I29" s="25">
        <v>45992.202585257772</v>
      </c>
      <c r="J29" s="25">
        <v>-1192.2025852577717</v>
      </c>
      <c r="K29" t="s">
        <v>176</v>
      </c>
      <c r="M29" s="25">
        <f>I18*1+I19*N26+I20*O26+I21*P26+I22*Q26</f>
        <v>45992.202585257772</v>
      </c>
      <c r="N29" s="1" t="str">
        <f ca="1">_xlfn.FORMULATEXT(M29)</f>
        <v>=I18*1+I19*N26+I20*O26+I21*P26+I22*Q26</v>
      </c>
    </row>
    <row r="30" spans="1:17" x14ac:dyDescent="0.25">
      <c r="A30" s="25" t="s">
        <v>34</v>
      </c>
      <c r="B30" s="26">
        <v>44500</v>
      </c>
      <c r="C30" s="26">
        <v>31898</v>
      </c>
      <c r="D30" s="26">
        <v>83</v>
      </c>
      <c r="E30" s="26">
        <v>96</v>
      </c>
      <c r="F30" s="26">
        <v>0</v>
      </c>
      <c r="H30" s="25">
        <v>2</v>
      </c>
      <c r="I30" s="25">
        <v>46211.786112865833</v>
      </c>
      <c r="J30" s="25">
        <v>-1111.7861128658333</v>
      </c>
    </row>
    <row r="31" spans="1:17" x14ac:dyDescent="0.25">
      <c r="A31" s="25" t="s">
        <v>35</v>
      </c>
      <c r="B31" s="26">
        <v>42800</v>
      </c>
      <c r="C31" s="26">
        <v>31810</v>
      </c>
      <c r="D31" s="26">
        <v>72</v>
      </c>
      <c r="E31" s="26">
        <v>96</v>
      </c>
      <c r="F31" s="26">
        <v>0</v>
      </c>
      <c r="H31" s="25">
        <v>3</v>
      </c>
      <c r="I31" s="25">
        <v>42043.768383896408</v>
      </c>
      <c r="J31" s="25">
        <v>256.23161610359239</v>
      </c>
    </row>
    <row r="32" spans="1:17" x14ac:dyDescent="0.25">
      <c r="A32" s="25" t="s">
        <v>36</v>
      </c>
      <c r="B32" s="26">
        <v>37600</v>
      </c>
      <c r="C32" s="26">
        <v>21558</v>
      </c>
      <c r="D32" s="26">
        <v>57</v>
      </c>
      <c r="E32" s="26">
        <v>82</v>
      </c>
      <c r="F32" s="26">
        <v>1</v>
      </c>
      <c r="H32" s="25">
        <v>4</v>
      </c>
      <c r="I32" s="25">
        <v>47849.462585218411</v>
      </c>
      <c r="J32" s="25">
        <v>1350.5374147815892</v>
      </c>
    </row>
    <row r="33" spans="1:10" x14ac:dyDescent="0.25">
      <c r="A33" s="25" t="s">
        <v>37</v>
      </c>
      <c r="B33" s="26">
        <v>34000</v>
      </c>
      <c r="C33" s="26">
        <v>14398</v>
      </c>
      <c r="D33" s="26">
        <v>37</v>
      </c>
      <c r="E33" s="26">
        <v>77</v>
      </c>
      <c r="F33" s="26">
        <v>0</v>
      </c>
      <c r="H33" s="25">
        <v>5</v>
      </c>
      <c r="I33" s="25">
        <v>49139.922742043644</v>
      </c>
      <c r="J33" s="25">
        <v>-11239.922742043644</v>
      </c>
    </row>
    <row r="34" spans="1:10" x14ac:dyDescent="0.25">
      <c r="A34" s="25" t="s">
        <v>38</v>
      </c>
      <c r="B34" s="26">
        <v>38000</v>
      </c>
      <c r="C34" s="26">
        <v>24266</v>
      </c>
      <c r="D34" s="26">
        <v>47</v>
      </c>
      <c r="E34" s="26">
        <v>88</v>
      </c>
      <c r="F34" s="26">
        <v>0</v>
      </c>
      <c r="H34" s="25">
        <v>6</v>
      </c>
      <c r="I34" s="25">
        <v>54710.969012982401</v>
      </c>
      <c r="J34" s="25">
        <v>20189.030987017599</v>
      </c>
    </row>
    <row r="35" spans="1:10" x14ac:dyDescent="0.25">
      <c r="A35" s="25" t="s">
        <v>39</v>
      </c>
      <c r="B35" s="26">
        <v>39700</v>
      </c>
      <c r="C35" s="26">
        <v>15403</v>
      </c>
      <c r="D35" s="26">
        <v>57</v>
      </c>
      <c r="E35" s="26">
        <v>81</v>
      </c>
      <c r="F35" s="26">
        <v>1</v>
      </c>
      <c r="H35" s="25">
        <v>7</v>
      </c>
      <c r="I35" s="25">
        <v>55981.824734397916</v>
      </c>
      <c r="J35" s="25">
        <v>4618.1752656020835</v>
      </c>
    </row>
    <row r="36" spans="1:10" x14ac:dyDescent="0.25">
      <c r="A36" s="25" t="s">
        <v>40</v>
      </c>
      <c r="B36" s="26">
        <v>43300</v>
      </c>
      <c r="C36" s="26">
        <v>24402</v>
      </c>
      <c r="D36" s="26">
        <v>63</v>
      </c>
      <c r="E36" s="26">
        <v>92</v>
      </c>
      <c r="F36" s="26">
        <v>0</v>
      </c>
      <c r="H36" s="25">
        <v>8</v>
      </c>
      <c r="I36" s="25">
        <v>49065.353845623089</v>
      </c>
      <c r="J36" s="25">
        <v>3834.646154376911</v>
      </c>
    </row>
    <row r="37" spans="1:10" x14ac:dyDescent="0.25">
      <c r="A37" s="25" t="s">
        <v>41</v>
      </c>
      <c r="B37" s="26">
        <v>52800</v>
      </c>
      <c r="C37" s="26">
        <v>28155</v>
      </c>
      <c r="D37" s="26">
        <v>82</v>
      </c>
      <c r="E37" s="26">
        <v>95</v>
      </c>
      <c r="F37" s="26">
        <v>1</v>
      </c>
      <c r="H37" s="25">
        <v>9</v>
      </c>
      <c r="I37" s="25">
        <v>45278.406465060587</v>
      </c>
      <c r="J37" s="25">
        <v>-1278.4064650605869</v>
      </c>
    </row>
    <row r="38" spans="1:10" x14ac:dyDescent="0.25">
      <c r="A38" s="25" t="s">
        <v>42</v>
      </c>
      <c r="B38" s="26">
        <v>45500</v>
      </c>
      <c r="C38" s="26">
        <v>24246</v>
      </c>
      <c r="D38" s="26">
        <v>67</v>
      </c>
      <c r="E38" s="26">
        <v>91</v>
      </c>
      <c r="F38" s="26">
        <v>1</v>
      </c>
      <c r="H38" s="25">
        <v>10</v>
      </c>
      <c r="I38" s="25">
        <v>52482.956843379267</v>
      </c>
      <c r="J38" s="25">
        <v>2017.0431566207335</v>
      </c>
    </row>
    <row r="39" spans="1:10" x14ac:dyDescent="0.25">
      <c r="A39" s="25" t="s">
        <v>43</v>
      </c>
      <c r="B39" s="26">
        <v>50100</v>
      </c>
      <c r="C39" s="26">
        <v>23162</v>
      </c>
      <c r="D39" s="26">
        <v>83</v>
      </c>
      <c r="E39" s="26">
        <v>95</v>
      </c>
      <c r="F39" s="26">
        <v>0</v>
      </c>
      <c r="H39" s="25">
        <v>11</v>
      </c>
      <c r="I39" s="25">
        <v>43469.696594347268</v>
      </c>
      <c r="J39" s="25">
        <v>1730.3034056527322</v>
      </c>
    </row>
    <row r="40" spans="1:10" x14ac:dyDescent="0.25">
      <c r="A40" s="25" t="s">
        <v>44</v>
      </c>
      <c r="B40" s="26">
        <v>43400</v>
      </c>
      <c r="C40" s="26">
        <v>20967</v>
      </c>
      <c r="D40" s="26">
        <v>40</v>
      </c>
      <c r="E40" s="26">
        <v>87</v>
      </c>
      <c r="F40" s="26">
        <v>1</v>
      </c>
      <c r="H40" s="25">
        <v>12</v>
      </c>
      <c r="I40" s="25">
        <v>49893.075857743002</v>
      </c>
      <c r="J40" s="25">
        <v>-9493.0758577430024</v>
      </c>
    </row>
    <row r="41" spans="1:10" x14ac:dyDescent="0.25">
      <c r="A41" s="25" t="s">
        <v>45</v>
      </c>
      <c r="B41" s="26">
        <v>40500</v>
      </c>
      <c r="C41" s="26">
        <v>22231</v>
      </c>
      <c r="D41" s="26">
        <v>71</v>
      </c>
      <c r="E41" s="26">
        <v>87</v>
      </c>
      <c r="F41" s="26">
        <v>1</v>
      </c>
      <c r="H41" s="25">
        <v>13</v>
      </c>
      <c r="I41" s="25">
        <v>52728.906638962028</v>
      </c>
      <c r="J41" s="25">
        <v>-928.9066389620275</v>
      </c>
    </row>
    <row r="42" spans="1:10" x14ac:dyDescent="0.25">
      <c r="A42" s="25" t="s">
        <v>46</v>
      </c>
      <c r="B42" s="26">
        <v>48600</v>
      </c>
      <c r="C42" s="26">
        <v>30720</v>
      </c>
      <c r="D42" s="26">
        <v>78</v>
      </c>
      <c r="E42" s="26">
        <v>95</v>
      </c>
      <c r="F42" s="26">
        <v>0</v>
      </c>
      <c r="H42" s="25">
        <v>14</v>
      </c>
      <c r="I42" s="25">
        <v>50262.135092045333</v>
      </c>
      <c r="J42" s="25">
        <v>-6162.1350920453333</v>
      </c>
    </row>
    <row r="43" spans="1:10" x14ac:dyDescent="0.25">
      <c r="A43" s="25" t="s">
        <v>47</v>
      </c>
      <c r="B43" s="26">
        <v>37000</v>
      </c>
      <c r="C43" s="26">
        <v>20252</v>
      </c>
      <c r="D43" s="26">
        <v>58</v>
      </c>
      <c r="E43" s="26">
        <v>80</v>
      </c>
      <c r="F43" s="26">
        <v>0</v>
      </c>
      <c r="H43" s="25">
        <v>15</v>
      </c>
      <c r="I43" s="25">
        <v>42276.784111145593</v>
      </c>
      <c r="J43" s="25">
        <v>-3676.7841111455928</v>
      </c>
    </row>
    <row r="44" spans="1:10" x14ac:dyDescent="0.25">
      <c r="A44" s="25" t="s">
        <v>48</v>
      </c>
      <c r="B44" s="26">
        <v>50400</v>
      </c>
      <c r="C44" s="26">
        <v>31958</v>
      </c>
      <c r="D44" s="26">
        <v>76</v>
      </c>
      <c r="E44" s="26">
        <v>96</v>
      </c>
      <c r="F44" s="26">
        <v>0</v>
      </c>
      <c r="H44" s="25">
        <v>16</v>
      </c>
      <c r="I44" s="25">
        <v>42719.503509612878</v>
      </c>
      <c r="J44" s="25">
        <v>9180.4964903871223</v>
      </c>
    </row>
    <row r="45" spans="1:10" x14ac:dyDescent="0.25">
      <c r="A45" s="25" t="s">
        <v>49</v>
      </c>
      <c r="B45" s="26">
        <v>35100</v>
      </c>
      <c r="C45" s="26">
        <v>24423</v>
      </c>
      <c r="D45" s="26">
        <v>54</v>
      </c>
      <c r="E45" s="26">
        <v>80</v>
      </c>
      <c r="F45" s="26">
        <v>1</v>
      </c>
      <c r="H45" s="25">
        <v>17</v>
      </c>
      <c r="I45" s="25">
        <v>48524.154518754134</v>
      </c>
      <c r="J45" s="25">
        <v>-924.15451875413419</v>
      </c>
    </row>
    <row r="46" spans="1:10" x14ac:dyDescent="0.25">
      <c r="A46" s="25" t="s">
        <v>50</v>
      </c>
      <c r="B46" s="26">
        <v>45200</v>
      </c>
      <c r="C46" s="26">
        <v>24614</v>
      </c>
      <c r="D46" s="26">
        <v>75</v>
      </c>
      <c r="E46" s="26">
        <v>96</v>
      </c>
      <c r="F46" s="26">
        <v>0</v>
      </c>
      <c r="H46" s="25">
        <v>18</v>
      </c>
      <c r="I46" s="25">
        <v>34916.87527257749</v>
      </c>
      <c r="J46" s="25">
        <v>983.12472742250975</v>
      </c>
    </row>
    <row r="47" spans="1:10" x14ac:dyDescent="0.25">
      <c r="A47" s="25" t="s">
        <v>51</v>
      </c>
      <c r="B47" s="26">
        <v>49400</v>
      </c>
      <c r="C47" s="26">
        <v>21531</v>
      </c>
      <c r="D47" s="26">
        <v>79</v>
      </c>
      <c r="E47" s="26">
        <v>93</v>
      </c>
      <c r="F47" s="26">
        <v>1</v>
      </c>
      <c r="H47" s="25">
        <v>19</v>
      </c>
      <c r="I47" s="25">
        <v>46804.30419442882</v>
      </c>
      <c r="J47" s="25">
        <v>1495.6958055711802</v>
      </c>
    </row>
    <row r="48" spans="1:10" x14ac:dyDescent="0.25">
      <c r="A48" s="25" t="s">
        <v>52</v>
      </c>
      <c r="B48" s="26">
        <v>48100</v>
      </c>
      <c r="C48" s="26">
        <v>23921</v>
      </c>
      <c r="D48" s="26">
        <v>67</v>
      </c>
      <c r="E48" s="26">
        <v>93</v>
      </c>
      <c r="F48" s="26">
        <v>0</v>
      </c>
      <c r="H48" s="25">
        <v>20</v>
      </c>
      <c r="I48" s="25">
        <v>54017.973130361541</v>
      </c>
      <c r="J48" s="25">
        <v>-1917.9731303615408</v>
      </c>
    </row>
    <row r="49" spans="1:10" x14ac:dyDescent="0.25">
      <c r="A49" s="25" t="s">
        <v>53</v>
      </c>
      <c r="B49" s="26">
        <v>40900</v>
      </c>
      <c r="C49" s="26">
        <v>25316</v>
      </c>
      <c r="D49" s="26">
        <v>49</v>
      </c>
      <c r="E49" s="26">
        <v>88</v>
      </c>
      <c r="F49" s="26">
        <v>1</v>
      </c>
      <c r="H49" s="25">
        <v>21</v>
      </c>
      <c r="I49" s="25">
        <v>43223.429411160163</v>
      </c>
      <c r="J49" s="25">
        <v>-923.429411160163</v>
      </c>
    </row>
    <row r="50" spans="1:10" x14ac:dyDescent="0.25">
      <c r="A50" s="25" t="s">
        <v>54</v>
      </c>
      <c r="B50" s="26">
        <v>36700</v>
      </c>
      <c r="C50" s="26">
        <v>32534</v>
      </c>
      <c r="D50" s="26">
        <v>46</v>
      </c>
      <c r="E50" s="26">
        <v>86</v>
      </c>
      <c r="F50" s="26">
        <v>1</v>
      </c>
      <c r="H50" s="25">
        <v>22</v>
      </c>
      <c r="I50" s="25">
        <v>39794.701169736494</v>
      </c>
      <c r="J50" s="25">
        <v>4605.2988302635058</v>
      </c>
    </row>
    <row r="51" spans="1:10" x14ac:dyDescent="0.25">
      <c r="A51" s="25" t="s">
        <v>55</v>
      </c>
      <c r="B51" s="26">
        <v>43400</v>
      </c>
      <c r="C51" s="26">
        <v>32636</v>
      </c>
      <c r="D51" s="26">
        <v>75</v>
      </c>
      <c r="E51" s="26">
        <v>96</v>
      </c>
      <c r="F51" s="26">
        <v>1</v>
      </c>
      <c r="H51" s="25">
        <v>23</v>
      </c>
      <c r="I51" s="25">
        <v>47477.509794419777</v>
      </c>
      <c r="J51" s="25">
        <v>3422.4902055802231</v>
      </c>
    </row>
    <row r="52" spans="1:10" x14ac:dyDescent="0.25">
      <c r="A52" s="25" t="s">
        <v>56</v>
      </c>
      <c r="B52" s="26">
        <v>51300</v>
      </c>
      <c r="C52" s="26">
        <v>24893</v>
      </c>
      <c r="D52" s="26">
        <v>68</v>
      </c>
      <c r="E52" s="26">
        <v>93</v>
      </c>
      <c r="F52" s="26">
        <v>0</v>
      </c>
      <c r="H52" s="25">
        <v>24</v>
      </c>
      <c r="I52" s="25">
        <v>51872.290982875325</v>
      </c>
      <c r="J52" s="25">
        <v>9227.7090171246746</v>
      </c>
    </row>
    <row r="53" spans="1:10" x14ac:dyDescent="0.25">
      <c r="A53" s="25" t="s">
        <v>57</v>
      </c>
      <c r="B53" s="26">
        <v>46000</v>
      </c>
      <c r="C53" s="26">
        <v>25613</v>
      </c>
      <c r="D53" s="26">
        <v>41</v>
      </c>
      <c r="E53" s="26">
        <v>74</v>
      </c>
      <c r="F53" s="26">
        <v>0</v>
      </c>
      <c r="H53" s="25">
        <v>25</v>
      </c>
      <c r="I53" s="25">
        <v>44675.322548568409</v>
      </c>
      <c r="J53" s="25">
        <v>-12375.322548568409</v>
      </c>
    </row>
    <row r="54" spans="1:10" x14ac:dyDescent="0.25">
      <c r="A54" s="25" t="s">
        <v>58</v>
      </c>
      <c r="B54" s="26">
        <v>41300</v>
      </c>
      <c r="C54" s="26">
        <v>21546</v>
      </c>
      <c r="D54" s="26">
        <v>57</v>
      </c>
      <c r="E54" s="26">
        <v>83</v>
      </c>
      <c r="F54" s="26">
        <v>1</v>
      </c>
      <c r="H54" s="25">
        <v>26</v>
      </c>
      <c r="I54" s="25">
        <v>48199.994888392808</v>
      </c>
      <c r="J54" s="25">
        <v>-7399.9948883928082</v>
      </c>
    </row>
    <row r="55" spans="1:10" x14ac:dyDescent="0.25">
      <c r="A55" s="25" t="s">
        <v>59</v>
      </c>
      <c r="B55" s="26">
        <v>42800</v>
      </c>
      <c r="C55" s="26">
        <v>21127</v>
      </c>
      <c r="D55" s="26">
        <v>64</v>
      </c>
      <c r="E55" s="26">
        <v>90</v>
      </c>
      <c r="F55" s="26">
        <v>1</v>
      </c>
      <c r="H55" s="25">
        <v>27</v>
      </c>
      <c r="I55" s="25">
        <v>44524.843293637845</v>
      </c>
      <c r="J55" s="25">
        <v>3575.1567063621551</v>
      </c>
    </row>
    <row r="56" spans="1:10" x14ac:dyDescent="0.25">
      <c r="A56" s="25" t="s">
        <v>60</v>
      </c>
      <c r="B56" s="26">
        <v>35500</v>
      </c>
      <c r="C56" s="26">
        <v>33074</v>
      </c>
      <c r="D56" s="26">
        <v>41</v>
      </c>
      <c r="E56" s="26">
        <v>76</v>
      </c>
      <c r="F56" s="26">
        <v>1</v>
      </c>
      <c r="H56" s="25">
        <v>28</v>
      </c>
      <c r="I56" s="25">
        <v>45719.639529983106</v>
      </c>
      <c r="J56" s="25">
        <v>-2119.6395299831056</v>
      </c>
    </row>
    <row r="57" spans="1:10" x14ac:dyDescent="0.25">
      <c r="A57" s="25" t="s">
        <v>61</v>
      </c>
      <c r="B57" s="26">
        <v>42600</v>
      </c>
      <c r="C57" s="26">
        <v>22473</v>
      </c>
      <c r="D57" s="26">
        <v>59</v>
      </c>
      <c r="E57" s="26">
        <v>89</v>
      </c>
      <c r="F57" s="26">
        <v>0</v>
      </c>
      <c r="H57" s="25">
        <v>29</v>
      </c>
      <c r="I57" s="25">
        <v>52241.973463499286</v>
      </c>
      <c r="J57" s="25">
        <v>-7741.9734634992856</v>
      </c>
    </row>
    <row r="58" spans="1:10" x14ac:dyDescent="0.25">
      <c r="A58" s="25" t="s">
        <v>62</v>
      </c>
      <c r="B58" s="26">
        <v>44600</v>
      </c>
      <c r="C58" s="26">
        <v>20675</v>
      </c>
      <c r="D58" s="26">
        <v>73</v>
      </c>
      <c r="E58" s="26">
        <v>95</v>
      </c>
      <c r="F58" s="26">
        <v>0</v>
      </c>
      <c r="H58" s="25">
        <v>30</v>
      </c>
      <c r="I58" s="25">
        <v>50244.613044717633</v>
      </c>
      <c r="J58" s="25">
        <v>-7444.6130447176329</v>
      </c>
    </row>
    <row r="59" spans="1:10" x14ac:dyDescent="0.25">
      <c r="A59" s="25" t="s">
        <v>63</v>
      </c>
      <c r="B59" s="26">
        <v>50600</v>
      </c>
      <c r="C59" s="26">
        <v>25918</v>
      </c>
      <c r="D59" s="26">
        <v>38</v>
      </c>
      <c r="E59" s="26">
        <v>78</v>
      </c>
      <c r="F59" s="26">
        <v>0</v>
      </c>
      <c r="H59" s="25">
        <v>31</v>
      </c>
      <c r="I59" s="25">
        <v>43660.485627678674</v>
      </c>
      <c r="J59" s="25">
        <v>-6060.4856276786741</v>
      </c>
    </row>
    <row r="60" spans="1:10" x14ac:dyDescent="0.25">
      <c r="A60" s="25" t="s">
        <v>64</v>
      </c>
      <c r="B60" s="26">
        <v>38400</v>
      </c>
      <c r="C60" s="26">
        <v>22275</v>
      </c>
      <c r="D60" s="26">
        <v>61</v>
      </c>
      <c r="E60" s="26">
        <v>87</v>
      </c>
      <c r="F60" s="26">
        <v>1</v>
      </c>
      <c r="H60" s="25">
        <v>32</v>
      </c>
      <c r="I60" s="25">
        <v>33750.344253627663</v>
      </c>
      <c r="J60" s="25">
        <v>249.65574637233658</v>
      </c>
    </row>
    <row r="61" spans="1:10" x14ac:dyDescent="0.25">
      <c r="A61" s="25" t="s">
        <v>65</v>
      </c>
      <c r="B61" s="26">
        <v>39000</v>
      </c>
      <c r="C61" s="26">
        <v>25539</v>
      </c>
      <c r="D61" s="26">
        <v>62</v>
      </c>
      <c r="E61" s="26">
        <v>81</v>
      </c>
      <c r="F61" s="26">
        <v>1</v>
      </c>
      <c r="H61" s="25">
        <v>33</v>
      </c>
      <c r="I61" s="25">
        <v>41379.324126006199</v>
      </c>
      <c r="J61" s="25">
        <v>-3379.3241260061986</v>
      </c>
    </row>
    <row r="62" spans="1:10" x14ac:dyDescent="0.25">
      <c r="A62" s="25" t="s">
        <v>66</v>
      </c>
      <c r="B62" s="26">
        <v>40700</v>
      </c>
      <c r="C62" s="26">
        <v>15685</v>
      </c>
      <c r="D62" s="26">
        <v>58</v>
      </c>
      <c r="E62" s="26">
        <v>89</v>
      </c>
      <c r="F62" s="26">
        <v>0</v>
      </c>
      <c r="H62" s="25">
        <v>34</v>
      </c>
      <c r="I62" s="25">
        <v>40842.112827877572</v>
      </c>
      <c r="J62" s="25">
        <v>-1142.1128278775723</v>
      </c>
    </row>
    <row r="63" spans="1:10" x14ac:dyDescent="0.25">
      <c r="A63" s="25" t="s">
        <v>67</v>
      </c>
      <c r="B63" s="26">
        <v>50000</v>
      </c>
      <c r="C63" s="26">
        <v>24730</v>
      </c>
      <c r="D63" s="26">
        <v>74</v>
      </c>
      <c r="E63" s="26">
        <v>91</v>
      </c>
      <c r="F63" s="26">
        <v>1</v>
      </c>
      <c r="H63" s="25">
        <v>35</v>
      </c>
      <c r="I63" s="25">
        <v>44853.968155731716</v>
      </c>
      <c r="J63" s="25">
        <v>-1553.9681557317163</v>
      </c>
    </row>
    <row r="64" spans="1:10" x14ac:dyDescent="0.25">
      <c r="A64" s="25" t="s">
        <v>68</v>
      </c>
      <c r="B64" s="26">
        <v>43900</v>
      </c>
      <c r="C64" s="26">
        <v>25936</v>
      </c>
      <c r="D64" s="26">
        <v>70</v>
      </c>
      <c r="E64" s="26">
        <v>93</v>
      </c>
      <c r="F64" s="26">
        <v>0</v>
      </c>
      <c r="H64" s="25">
        <v>36</v>
      </c>
      <c r="I64" s="25">
        <v>52821.302669748249</v>
      </c>
      <c r="J64" s="25">
        <v>-21.302669748249173</v>
      </c>
    </row>
    <row r="65" spans="1:10" x14ac:dyDescent="0.25">
      <c r="A65" s="25" t="s">
        <v>69</v>
      </c>
      <c r="B65" s="26">
        <v>45500</v>
      </c>
      <c r="C65" s="26">
        <v>22204</v>
      </c>
      <c r="D65" s="26">
        <v>67</v>
      </c>
      <c r="E65" s="26">
        <v>93</v>
      </c>
      <c r="F65" s="26">
        <v>1</v>
      </c>
      <c r="H65" s="25">
        <v>37</v>
      </c>
      <c r="I65" s="25">
        <v>47883.827744918504</v>
      </c>
      <c r="J65" s="25">
        <v>-2383.8277449185043</v>
      </c>
    </row>
    <row r="66" spans="1:10" x14ac:dyDescent="0.25">
      <c r="A66" s="25" t="s">
        <v>70</v>
      </c>
      <c r="B66" s="26">
        <v>35600</v>
      </c>
      <c r="C66" s="26">
        <v>28458</v>
      </c>
      <c r="D66" s="26">
        <v>41</v>
      </c>
      <c r="E66" s="26">
        <v>78</v>
      </c>
      <c r="F66" s="26">
        <v>0</v>
      </c>
      <c r="H66" s="25">
        <v>38</v>
      </c>
      <c r="I66" s="25">
        <v>48301.088120509048</v>
      </c>
      <c r="J66" s="25">
        <v>1798.9118794909518</v>
      </c>
    </row>
    <row r="67" spans="1:10" x14ac:dyDescent="0.25">
      <c r="A67" s="25" t="s">
        <v>71</v>
      </c>
      <c r="B67" s="26">
        <v>44000</v>
      </c>
      <c r="C67" s="26">
        <v>17437</v>
      </c>
      <c r="D67" s="26">
        <v>66</v>
      </c>
      <c r="E67" s="26">
        <v>87</v>
      </c>
      <c r="F67" s="26">
        <v>0</v>
      </c>
      <c r="H67" s="25">
        <v>39</v>
      </c>
      <c r="I67" s="25">
        <v>41083.161607359492</v>
      </c>
      <c r="J67" s="25">
        <v>2316.8383926405077</v>
      </c>
    </row>
    <row r="68" spans="1:10" x14ac:dyDescent="0.25">
      <c r="A68" s="25" t="s">
        <v>72</v>
      </c>
      <c r="B68" s="26">
        <v>43900</v>
      </c>
      <c r="C68" s="26">
        <v>19721</v>
      </c>
      <c r="D68" s="26">
        <v>59</v>
      </c>
      <c r="E68" s="26">
        <v>79</v>
      </c>
      <c r="F68" s="26">
        <v>0</v>
      </c>
      <c r="H68" s="25">
        <v>40</v>
      </c>
      <c r="I68" s="25">
        <v>47153.95885472028</v>
      </c>
      <c r="J68" s="25">
        <v>-6653.9588547202802</v>
      </c>
    </row>
    <row r="69" spans="1:10" x14ac:dyDescent="0.25">
      <c r="A69" s="25" t="s">
        <v>73</v>
      </c>
      <c r="B69" s="26">
        <v>41200</v>
      </c>
      <c r="C69" s="26">
        <v>24850</v>
      </c>
      <c r="D69" s="26">
        <v>59</v>
      </c>
      <c r="E69" s="26">
        <v>86</v>
      </c>
      <c r="F69" s="26">
        <v>0</v>
      </c>
      <c r="H69" s="25">
        <v>41</v>
      </c>
      <c r="I69" s="25">
        <v>50697.672148203899</v>
      </c>
      <c r="J69" s="25">
        <v>-2097.6721482038993</v>
      </c>
    </row>
    <row r="70" spans="1:10" x14ac:dyDescent="0.25">
      <c r="A70" s="25" t="s">
        <v>74</v>
      </c>
      <c r="B70" s="26">
        <v>58400</v>
      </c>
      <c r="C70" s="26">
        <v>24961</v>
      </c>
      <c r="D70" s="26">
        <v>53</v>
      </c>
      <c r="E70" s="26">
        <v>86</v>
      </c>
      <c r="F70" s="26">
        <v>1</v>
      </c>
      <c r="H70" s="25">
        <v>42</v>
      </c>
      <c r="I70" s="25">
        <v>40460.841694798779</v>
      </c>
      <c r="J70" s="25">
        <v>-3460.8416947987789</v>
      </c>
    </row>
    <row r="71" spans="1:10" x14ac:dyDescent="0.25">
      <c r="A71" s="25" t="s">
        <v>75</v>
      </c>
      <c r="B71" s="26">
        <v>45900</v>
      </c>
      <c r="C71" s="26">
        <v>23486</v>
      </c>
      <c r="D71" s="26">
        <v>70</v>
      </c>
      <c r="E71" s="26">
        <v>93</v>
      </c>
      <c r="F71" s="26">
        <v>0</v>
      </c>
      <c r="H71" s="25">
        <v>43</v>
      </c>
      <c r="I71" s="25">
        <v>51021.375926215682</v>
      </c>
      <c r="J71" s="25">
        <v>-621.37592621568183</v>
      </c>
    </row>
    <row r="72" spans="1:10" x14ac:dyDescent="0.25">
      <c r="A72" s="25" t="s">
        <v>76</v>
      </c>
      <c r="B72" s="26">
        <v>34700</v>
      </c>
      <c r="C72" s="26">
        <v>13735</v>
      </c>
      <c r="D72" s="26">
        <v>32</v>
      </c>
      <c r="E72" s="26">
        <v>52</v>
      </c>
      <c r="F72" s="26">
        <v>0</v>
      </c>
      <c r="H72" s="25">
        <v>44</v>
      </c>
      <c r="I72" s="25">
        <v>44089.260364120375</v>
      </c>
      <c r="J72" s="25">
        <v>-8989.260364120375</v>
      </c>
    </row>
    <row r="73" spans="1:10" x14ac:dyDescent="0.25">
      <c r="A73" s="25" t="s">
        <v>77</v>
      </c>
      <c r="B73" s="26">
        <v>59600</v>
      </c>
      <c r="C73" s="26">
        <v>34841</v>
      </c>
      <c r="D73" s="26">
        <v>86</v>
      </c>
      <c r="E73" s="26">
        <v>96</v>
      </c>
      <c r="F73" s="26">
        <v>1</v>
      </c>
      <c r="H73" s="25">
        <v>45</v>
      </c>
      <c r="I73" s="25">
        <v>47649.269997362666</v>
      </c>
      <c r="J73" s="25">
        <v>-2449.2699973626659</v>
      </c>
    </row>
    <row r="74" spans="1:10" x14ac:dyDescent="0.25">
      <c r="A74" s="25" t="s">
        <v>78</v>
      </c>
      <c r="B74" s="26">
        <v>56400</v>
      </c>
      <c r="C74" s="26">
        <v>35159</v>
      </c>
      <c r="D74" s="26">
        <v>76</v>
      </c>
      <c r="E74" s="26">
        <v>96</v>
      </c>
      <c r="F74" s="26">
        <v>0</v>
      </c>
      <c r="H74" s="25">
        <v>46</v>
      </c>
      <c r="I74" s="25">
        <v>49123.180264647242</v>
      </c>
      <c r="J74" s="25">
        <v>276.81973535275756</v>
      </c>
    </row>
    <row r="75" spans="1:10" x14ac:dyDescent="0.25">
      <c r="A75" s="25" t="s">
        <v>79</v>
      </c>
      <c r="B75" s="26">
        <v>53100</v>
      </c>
      <c r="C75" s="26">
        <v>21046</v>
      </c>
      <c r="D75" s="26">
        <v>58</v>
      </c>
      <c r="E75" s="26">
        <v>85</v>
      </c>
      <c r="F75" s="26">
        <v>1</v>
      </c>
      <c r="H75" s="25">
        <v>47</v>
      </c>
      <c r="I75" s="25">
        <v>45498.648551097074</v>
      </c>
      <c r="J75" s="25">
        <v>2601.3514489029258</v>
      </c>
    </row>
    <row r="76" spans="1:10" x14ac:dyDescent="0.25">
      <c r="A76" s="25" t="s">
        <v>80</v>
      </c>
      <c r="B76" s="26">
        <v>39600</v>
      </c>
      <c r="C76" s="26">
        <v>9938</v>
      </c>
      <c r="D76" s="26">
        <v>43</v>
      </c>
      <c r="E76" s="26">
        <v>84</v>
      </c>
      <c r="F76" s="26">
        <v>0</v>
      </c>
      <c r="H76" s="25">
        <v>48</v>
      </c>
      <c r="I76" s="25">
        <v>44718.970251289982</v>
      </c>
      <c r="J76" s="25">
        <v>-3818.9702512899821</v>
      </c>
    </row>
    <row r="77" spans="1:10" x14ac:dyDescent="0.25">
      <c r="A77" s="25" t="s">
        <v>81</v>
      </c>
      <c r="B77" s="26">
        <v>48100</v>
      </c>
      <c r="C77" s="26">
        <v>28210</v>
      </c>
      <c r="D77" s="26">
        <v>67</v>
      </c>
      <c r="E77" s="26">
        <v>89</v>
      </c>
      <c r="F77" s="26">
        <v>0</v>
      </c>
      <c r="H77" s="25">
        <v>49</v>
      </c>
      <c r="I77" s="25">
        <v>47040.924801951878</v>
      </c>
      <c r="J77" s="25">
        <v>-10340.924801951878</v>
      </c>
    </row>
    <row r="78" spans="1:10" x14ac:dyDescent="0.25">
      <c r="A78" s="25" t="s">
        <v>82</v>
      </c>
      <c r="B78" s="26">
        <v>42800</v>
      </c>
      <c r="C78" s="26">
        <v>19254</v>
      </c>
      <c r="D78" s="26">
        <v>73</v>
      </c>
      <c r="E78" s="26">
        <v>90</v>
      </c>
      <c r="F78" s="26">
        <v>0</v>
      </c>
      <c r="H78" s="25">
        <v>50</v>
      </c>
      <c r="I78" s="25">
        <v>53664.937386008489</v>
      </c>
      <c r="J78" s="25">
        <v>-10264.937386008489</v>
      </c>
    </row>
    <row r="79" spans="1:10" x14ac:dyDescent="0.25">
      <c r="A79" s="25" t="s">
        <v>83</v>
      </c>
      <c r="B79" s="26">
        <v>42500</v>
      </c>
      <c r="C79" s="26">
        <v>26451</v>
      </c>
      <c r="D79" s="26">
        <v>65</v>
      </c>
      <c r="E79" s="26">
        <v>89</v>
      </c>
      <c r="F79" s="26">
        <v>0</v>
      </c>
      <c r="H79" s="25">
        <v>51</v>
      </c>
      <c r="I79" s="25">
        <v>46099.483683669125</v>
      </c>
      <c r="J79" s="25">
        <v>5200.5163163308753</v>
      </c>
    </row>
    <row r="80" spans="1:10" x14ac:dyDescent="0.25">
      <c r="A80" s="25" t="s">
        <v>84</v>
      </c>
      <c r="B80" s="26">
        <v>47200</v>
      </c>
      <c r="C80" s="26">
        <v>33838</v>
      </c>
      <c r="D80" s="26">
        <v>62</v>
      </c>
      <c r="E80" s="26">
        <v>93</v>
      </c>
      <c r="F80" s="26">
        <v>0</v>
      </c>
      <c r="H80" s="25">
        <v>52</v>
      </c>
      <c r="I80" s="25">
        <v>38915.863367826874</v>
      </c>
      <c r="J80" s="25">
        <v>7084.1366321731257</v>
      </c>
    </row>
    <row r="81" spans="1:10" x14ac:dyDescent="0.25">
      <c r="A81" s="25" t="s">
        <v>85</v>
      </c>
      <c r="B81" s="26">
        <v>42200</v>
      </c>
      <c r="C81" s="26">
        <v>29427</v>
      </c>
      <c r="D81" s="26">
        <v>69</v>
      </c>
      <c r="E81" s="26">
        <v>83</v>
      </c>
      <c r="F81" s="26">
        <v>0</v>
      </c>
      <c r="H81" s="25">
        <v>53</v>
      </c>
      <c r="I81" s="25">
        <v>43796.744962215373</v>
      </c>
      <c r="J81" s="25">
        <v>-2496.7449622153727</v>
      </c>
    </row>
    <row r="82" spans="1:10" x14ac:dyDescent="0.25">
      <c r="A82" s="25" t="s">
        <v>86</v>
      </c>
      <c r="B82" s="26">
        <v>46900</v>
      </c>
      <c r="C82" s="26">
        <v>22593</v>
      </c>
      <c r="D82" s="26">
        <v>68</v>
      </c>
      <c r="E82" s="26">
        <v>90</v>
      </c>
      <c r="F82" s="26">
        <v>0</v>
      </c>
      <c r="H82" s="25">
        <v>54</v>
      </c>
      <c r="I82" s="25">
        <v>45851.556543550716</v>
      </c>
      <c r="J82" s="25">
        <v>-3051.556543550716</v>
      </c>
    </row>
    <row r="83" spans="1:10" x14ac:dyDescent="0.25">
      <c r="A83" s="25" t="s">
        <v>87</v>
      </c>
      <c r="B83" s="26">
        <v>55200</v>
      </c>
      <c r="C83" s="26">
        <v>33557</v>
      </c>
      <c r="D83" s="26">
        <v>77</v>
      </c>
      <c r="E83" s="26">
        <v>92</v>
      </c>
      <c r="F83" s="26">
        <v>1</v>
      </c>
      <c r="H83" s="25">
        <v>55</v>
      </c>
      <c r="I83" s="25">
        <v>44970.500709663669</v>
      </c>
      <c r="J83" s="25">
        <v>-9470.5007096636691</v>
      </c>
    </row>
    <row r="84" spans="1:10" x14ac:dyDescent="0.25">
      <c r="A84" s="25" t="s">
        <v>88</v>
      </c>
      <c r="B84" s="26">
        <v>51400</v>
      </c>
      <c r="C84" s="26">
        <v>29085</v>
      </c>
      <c r="D84" s="26">
        <v>69</v>
      </c>
      <c r="E84" s="26">
        <v>93</v>
      </c>
      <c r="F84" s="26">
        <v>1</v>
      </c>
      <c r="H84" s="25">
        <v>56</v>
      </c>
      <c r="I84" s="25">
        <v>42878.188878149849</v>
      </c>
      <c r="J84" s="25">
        <v>-278.18887814984919</v>
      </c>
    </row>
    <row r="85" spans="1:10" x14ac:dyDescent="0.25">
      <c r="A85" s="25" t="s">
        <v>89</v>
      </c>
      <c r="B85" s="26">
        <v>46400</v>
      </c>
      <c r="C85" s="26">
        <v>31293</v>
      </c>
      <c r="D85" s="26">
        <v>70</v>
      </c>
      <c r="E85" s="26">
        <v>67</v>
      </c>
      <c r="F85" s="26">
        <v>1</v>
      </c>
      <c r="H85" s="25">
        <v>57</v>
      </c>
      <c r="I85" s="25">
        <v>45438.468381339131</v>
      </c>
      <c r="J85" s="25">
        <v>-838.46838133913116</v>
      </c>
    </row>
    <row r="86" spans="1:10" x14ac:dyDescent="0.25">
      <c r="A86" s="25" t="s">
        <v>90</v>
      </c>
      <c r="B86" s="26">
        <v>45100</v>
      </c>
      <c r="C86" s="26">
        <v>27674</v>
      </c>
      <c r="D86" s="26">
        <v>67</v>
      </c>
      <c r="E86" s="26">
        <v>80</v>
      </c>
      <c r="F86" s="26">
        <v>1</v>
      </c>
      <c r="H86" s="25">
        <v>58</v>
      </c>
      <c r="I86" s="25">
        <v>39080.128552614486</v>
      </c>
      <c r="J86" s="25">
        <v>11519.871447385514</v>
      </c>
    </row>
    <row r="87" spans="1:10" x14ac:dyDescent="0.25">
      <c r="A87" s="25" t="s">
        <v>91</v>
      </c>
      <c r="B87" s="26">
        <v>42600</v>
      </c>
      <c r="C87" s="26">
        <v>21815</v>
      </c>
      <c r="D87" s="26">
        <v>64</v>
      </c>
      <c r="E87" s="26">
        <v>86</v>
      </c>
      <c r="F87" s="26">
        <v>0</v>
      </c>
      <c r="H87" s="25">
        <v>59</v>
      </c>
      <c r="I87" s="25">
        <v>45392.105968247655</v>
      </c>
      <c r="J87" s="25">
        <v>-6992.1059682476553</v>
      </c>
    </row>
    <row r="88" spans="1:10" x14ac:dyDescent="0.25">
      <c r="A88" s="25" t="s">
        <v>92</v>
      </c>
      <c r="B88" s="26">
        <v>49900</v>
      </c>
      <c r="C88" s="26">
        <v>27507</v>
      </c>
      <c r="D88" s="26">
        <v>56</v>
      </c>
      <c r="E88" s="26">
        <v>84</v>
      </c>
      <c r="F88" s="26">
        <v>1</v>
      </c>
      <c r="H88" s="25">
        <v>60</v>
      </c>
      <c r="I88" s="25">
        <v>46140.893751437507</v>
      </c>
      <c r="J88" s="25">
        <v>-7140.8937514375066</v>
      </c>
    </row>
    <row r="89" spans="1:10" x14ac:dyDescent="0.25">
      <c r="A89" s="25" t="s">
        <v>93</v>
      </c>
      <c r="B89" s="26">
        <v>50000</v>
      </c>
      <c r="C89" s="26">
        <v>24954</v>
      </c>
      <c r="D89" s="26">
        <v>75</v>
      </c>
      <c r="E89" s="26">
        <v>95</v>
      </c>
      <c r="F89" s="26">
        <v>0</v>
      </c>
      <c r="H89" s="25">
        <v>61</v>
      </c>
      <c r="I89" s="25">
        <v>39747.89502756617</v>
      </c>
      <c r="J89" s="25">
        <v>952.10497243382997</v>
      </c>
    </row>
    <row r="90" spans="1:10" x14ac:dyDescent="0.25">
      <c r="A90" s="25" t="s">
        <v>94</v>
      </c>
      <c r="B90" s="26">
        <v>56600</v>
      </c>
      <c r="C90" s="26">
        <v>28912</v>
      </c>
      <c r="D90" s="26">
        <v>81</v>
      </c>
      <c r="E90" s="26">
        <v>93</v>
      </c>
      <c r="F90" s="26">
        <v>1</v>
      </c>
      <c r="H90" s="25">
        <v>62</v>
      </c>
      <c r="I90" s="25">
        <v>49341.018394753402</v>
      </c>
      <c r="J90" s="25">
        <v>658.98160524659761</v>
      </c>
    </row>
    <row r="91" spans="1:10" x14ac:dyDescent="0.25">
      <c r="A91" s="25" t="s">
        <v>95</v>
      </c>
      <c r="B91" s="26">
        <v>46500</v>
      </c>
      <c r="C91" s="26">
        <v>20845</v>
      </c>
      <c r="D91" s="26">
        <v>66</v>
      </c>
      <c r="E91" s="26">
        <v>86</v>
      </c>
      <c r="F91" s="26">
        <v>1</v>
      </c>
      <c r="H91" s="25">
        <v>63</v>
      </c>
      <c r="I91" s="25">
        <v>46909.296606150143</v>
      </c>
      <c r="J91" s="25">
        <v>-3009.2966061501429</v>
      </c>
    </row>
    <row r="92" spans="1:10" x14ac:dyDescent="0.25">
      <c r="A92" s="25" t="s">
        <v>96</v>
      </c>
      <c r="B92" s="26">
        <v>38900</v>
      </c>
      <c r="C92" s="26">
        <v>16681</v>
      </c>
      <c r="D92" s="26">
        <v>65</v>
      </c>
      <c r="E92" s="26">
        <v>90</v>
      </c>
      <c r="F92" s="26">
        <v>0</v>
      </c>
      <c r="H92" s="25">
        <v>64</v>
      </c>
      <c r="I92" s="25">
        <v>47278.690345740964</v>
      </c>
      <c r="J92" s="25">
        <v>-1778.6903457409644</v>
      </c>
    </row>
    <row r="93" spans="1:10" x14ac:dyDescent="0.25">
      <c r="A93" s="25" t="s">
        <v>97</v>
      </c>
      <c r="B93" s="26">
        <v>44400</v>
      </c>
      <c r="C93" s="26">
        <v>21455</v>
      </c>
      <c r="D93" s="26">
        <v>75</v>
      </c>
      <c r="E93" s="26">
        <v>91</v>
      </c>
      <c r="F93" s="26">
        <v>0</v>
      </c>
      <c r="H93" s="25">
        <v>65</v>
      </c>
      <c r="I93" s="25">
        <v>40719.106357831937</v>
      </c>
      <c r="J93" s="25">
        <v>-5119.1063578319372</v>
      </c>
    </row>
    <row r="94" spans="1:10" x14ac:dyDescent="0.25">
      <c r="A94" s="25" t="s">
        <v>98</v>
      </c>
      <c r="B94" s="26">
        <v>64500</v>
      </c>
      <c r="C94" s="26">
        <v>30206</v>
      </c>
      <c r="D94" s="26">
        <v>80</v>
      </c>
      <c r="E94" s="26">
        <v>95</v>
      </c>
      <c r="F94" s="26">
        <v>1</v>
      </c>
      <c r="H94" s="25">
        <v>66</v>
      </c>
      <c r="I94" s="25">
        <v>41651.698697175365</v>
      </c>
      <c r="J94" s="25">
        <v>2348.3013028246351</v>
      </c>
    </row>
    <row r="95" spans="1:10" x14ac:dyDescent="0.25">
      <c r="A95" s="25" t="s">
        <v>99</v>
      </c>
      <c r="B95" s="26">
        <v>43200</v>
      </c>
      <c r="C95" s="26">
        <v>25702</v>
      </c>
      <c r="D95" s="26">
        <v>67</v>
      </c>
      <c r="E95" s="26">
        <v>87</v>
      </c>
      <c r="F95" s="26">
        <v>1</v>
      </c>
      <c r="H95" s="25">
        <v>67</v>
      </c>
      <c r="I95" s="25">
        <v>40266.523070931165</v>
      </c>
      <c r="J95" s="25">
        <v>3633.4769290688346</v>
      </c>
    </row>
    <row r="96" spans="1:10" x14ac:dyDescent="0.25">
      <c r="A96" s="25" t="s">
        <v>100</v>
      </c>
      <c r="B96" s="26">
        <v>53200</v>
      </c>
      <c r="C96" s="26">
        <v>22389</v>
      </c>
      <c r="D96" s="26">
        <v>81</v>
      </c>
      <c r="E96" s="26">
        <v>96</v>
      </c>
      <c r="F96" s="26">
        <v>1</v>
      </c>
      <c r="H96" s="25">
        <v>68</v>
      </c>
      <c r="I96" s="25">
        <v>43487.544103368025</v>
      </c>
      <c r="J96" s="25">
        <v>-2287.5441033680254</v>
      </c>
    </row>
    <row r="97" spans="1:10" x14ac:dyDescent="0.25">
      <c r="A97" s="25" t="s">
        <v>101</v>
      </c>
      <c r="B97" s="26">
        <v>51400</v>
      </c>
      <c r="C97" s="26">
        <v>29362</v>
      </c>
      <c r="D97" s="26">
        <v>77</v>
      </c>
      <c r="E97" s="26">
        <v>92</v>
      </c>
      <c r="F97" s="26">
        <v>1</v>
      </c>
      <c r="H97" s="25">
        <v>69</v>
      </c>
      <c r="I97" s="25">
        <v>44994.014885930563</v>
      </c>
      <c r="J97" s="25">
        <v>13405.985114069437</v>
      </c>
    </row>
    <row r="98" spans="1:10" x14ac:dyDescent="0.25">
      <c r="A98" s="25" t="s">
        <v>102</v>
      </c>
      <c r="B98" s="26">
        <v>45900</v>
      </c>
      <c r="C98" s="26">
        <v>29140</v>
      </c>
      <c r="D98" s="26">
        <v>55</v>
      </c>
      <c r="E98" s="26">
        <v>86</v>
      </c>
      <c r="F98" s="26">
        <v>1</v>
      </c>
      <c r="H98" s="25">
        <v>70</v>
      </c>
      <c r="I98" s="25">
        <v>45843.757772049641</v>
      </c>
      <c r="J98" s="25">
        <v>56.242227950358938</v>
      </c>
    </row>
    <row r="99" spans="1:10" x14ac:dyDescent="0.25">
      <c r="A99" s="25" t="s">
        <v>103</v>
      </c>
      <c r="B99" s="26">
        <v>52400</v>
      </c>
      <c r="C99" s="26">
        <v>30394</v>
      </c>
      <c r="D99" s="26">
        <v>81</v>
      </c>
      <c r="E99" s="26">
        <v>90</v>
      </c>
      <c r="F99" s="26">
        <v>0</v>
      </c>
      <c r="H99" s="25">
        <v>71</v>
      </c>
      <c r="I99" s="25">
        <v>29034.544344284463</v>
      </c>
      <c r="J99" s="25">
        <v>5665.4556557155374</v>
      </c>
    </row>
    <row r="100" spans="1:10" x14ac:dyDescent="0.25">
      <c r="A100" s="25" t="s">
        <v>104</v>
      </c>
      <c r="B100" s="26">
        <v>51500</v>
      </c>
      <c r="C100" s="26">
        <v>32115</v>
      </c>
      <c r="D100" s="26">
        <v>78</v>
      </c>
      <c r="E100" s="26">
        <v>94</v>
      </c>
      <c r="F100" s="26">
        <v>1</v>
      </c>
      <c r="H100" s="25">
        <v>72</v>
      </c>
      <c r="I100" s="25">
        <v>56583.01034021494</v>
      </c>
      <c r="J100" s="25">
        <v>3016.9896597850602</v>
      </c>
    </row>
    <row r="101" spans="1:10" x14ac:dyDescent="0.25">
      <c r="A101" s="25" t="s">
        <v>105</v>
      </c>
      <c r="B101" s="26">
        <v>53800</v>
      </c>
      <c r="C101" s="26">
        <v>25057</v>
      </c>
      <c r="D101" s="26">
        <v>72</v>
      </c>
      <c r="E101" s="26">
        <v>91</v>
      </c>
      <c r="F101" s="26">
        <v>1</v>
      </c>
      <c r="H101" s="25">
        <v>73</v>
      </c>
      <c r="I101" s="25">
        <v>52413.535031503721</v>
      </c>
      <c r="J101" s="25">
        <v>3986.4649684962787</v>
      </c>
    </row>
    <row r="102" spans="1:10" x14ac:dyDescent="0.25">
      <c r="A102" s="25" t="s">
        <v>106</v>
      </c>
      <c r="B102" s="26">
        <v>55500</v>
      </c>
      <c r="C102" s="26">
        <v>26608</v>
      </c>
      <c r="D102" s="26">
        <v>85</v>
      </c>
      <c r="E102" s="26">
        <v>93</v>
      </c>
      <c r="F102" s="26">
        <v>1</v>
      </c>
      <c r="H102" s="25">
        <v>74</v>
      </c>
      <c r="I102" s="25">
        <v>44040.343567216936</v>
      </c>
      <c r="J102" s="25">
        <v>9059.6564327830638</v>
      </c>
    </row>
    <row r="103" spans="1:10" x14ac:dyDescent="0.25">
      <c r="A103" s="25" t="s">
        <v>107</v>
      </c>
      <c r="B103" s="26">
        <v>56300</v>
      </c>
      <c r="C103" s="26">
        <v>31593</v>
      </c>
      <c r="D103" s="26">
        <v>75</v>
      </c>
      <c r="E103" s="26">
        <v>92</v>
      </c>
      <c r="F103" s="26">
        <v>1</v>
      </c>
      <c r="H103" s="25">
        <v>75</v>
      </c>
      <c r="I103" s="25">
        <v>33869.570220001398</v>
      </c>
      <c r="J103" s="25">
        <v>5730.4297799986016</v>
      </c>
    </row>
    <row r="104" spans="1:10" x14ac:dyDescent="0.25">
      <c r="A104" s="25" t="s">
        <v>108</v>
      </c>
      <c r="B104" s="26">
        <v>61000</v>
      </c>
      <c r="C104" s="26">
        <v>31915</v>
      </c>
      <c r="D104" s="26">
        <v>68</v>
      </c>
      <c r="E104" s="26">
        <v>87</v>
      </c>
      <c r="F104" s="26">
        <v>1</v>
      </c>
      <c r="H104" s="25">
        <v>76</v>
      </c>
      <c r="I104" s="25">
        <v>46798.080680468731</v>
      </c>
      <c r="J104" s="25">
        <v>1301.9193195312691</v>
      </c>
    </row>
    <row r="105" spans="1:10" x14ac:dyDescent="0.25">
      <c r="A105" s="25" t="s">
        <v>109</v>
      </c>
      <c r="B105" s="26">
        <v>44400</v>
      </c>
      <c r="C105" s="26">
        <v>27955</v>
      </c>
      <c r="D105" s="26">
        <v>59</v>
      </c>
      <c r="E105" s="26">
        <v>87</v>
      </c>
      <c r="F105" s="26">
        <v>1</v>
      </c>
      <c r="H105" s="25">
        <v>77</v>
      </c>
      <c r="I105" s="25">
        <v>44113.064356287126</v>
      </c>
      <c r="J105" s="25">
        <v>-1313.0643562871264</v>
      </c>
    </row>
    <row r="106" spans="1:10" x14ac:dyDescent="0.25">
      <c r="A106" s="25" t="s">
        <v>110</v>
      </c>
      <c r="B106" s="26">
        <v>66400</v>
      </c>
      <c r="C106" s="26">
        <v>30318</v>
      </c>
      <c r="D106" s="26">
        <v>57</v>
      </c>
      <c r="E106" s="26">
        <v>89</v>
      </c>
      <c r="F106" s="26">
        <v>1</v>
      </c>
      <c r="H106" s="25">
        <v>78</v>
      </c>
      <c r="I106" s="25">
        <v>45676.869470144462</v>
      </c>
      <c r="J106" s="25">
        <v>-3176.869470144462</v>
      </c>
    </row>
    <row r="107" spans="1:10" x14ac:dyDescent="0.25">
      <c r="A107" s="25" t="s">
        <v>111</v>
      </c>
      <c r="B107" s="26">
        <v>43200</v>
      </c>
      <c r="C107" s="26">
        <v>22124</v>
      </c>
      <c r="D107" s="26">
        <v>64</v>
      </c>
      <c r="E107" s="26">
        <v>90</v>
      </c>
      <c r="F107" s="26">
        <v>0</v>
      </c>
      <c r="H107" s="25">
        <v>79</v>
      </c>
      <c r="I107" s="25">
        <v>48921.194256197261</v>
      </c>
      <c r="J107" s="25">
        <v>-1721.194256197261</v>
      </c>
    </row>
    <row r="108" spans="1:10" x14ac:dyDescent="0.25">
      <c r="A108" s="25" t="s">
        <v>112</v>
      </c>
      <c r="B108" s="26">
        <v>49900</v>
      </c>
      <c r="C108" s="26">
        <v>26491</v>
      </c>
      <c r="D108" s="26">
        <v>76</v>
      </c>
      <c r="E108" s="26">
        <v>93</v>
      </c>
      <c r="F108" s="26">
        <v>0</v>
      </c>
      <c r="H108" s="25">
        <v>80</v>
      </c>
      <c r="I108" s="25">
        <v>46834.698804332911</v>
      </c>
      <c r="J108" s="25">
        <v>-4634.6988043329111</v>
      </c>
    </row>
    <row r="109" spans="1:10" x14ac:dyDescent="0.25">
      <c r="A109" s="25" t="s">
        <v>113</v>
      </c>
      <c r="B109" s="26">
        <v>48300</v>
      </c>
      <c r="C109" s="26">
        <v>30255</v>
      </c>
      <c r="D109" s="26">
        <v>69</v>
      </c>
      <c r="E109" s="26">
        <v>92</v>
      </c>
      <c r="F109" s="26">
        <v>0</v>
      </c>
      <c r="H109" s="25">
        <v>81</v>
      </c>
      <c r="I109" s="25">
        <v>44674.747020279938</v>
      </c>
      <c r="J109" s="25">
        <v>2225.2529797200623</v>
      </c>
    </row>
    <row r="110" spans="1:10" x14ac:dyDescent="0.25">
      <c r="A110" s="25" t="s">
        <v>114</v>
      </c>
      <c r="B110" s="26">
        <v>33600</v>
      </c>
      <c r="C110" s="26">
        <v>19739</v>
      </c>
      <c r="D110" s="26">
        <v>57</v>
      </c>
      <c r="E110" s="26">
        <v>86</v>
      </c>
      <c r="F110" s="26">
        <v>0</v>
      </c>
      <c r="H110" s="25">
        <v>82</v>
      </c>
      <c r="I110" s="25">
        <v>53855.77762267043</v>
      </c>
      <c r="J110" s="25">
        <v>1344.22237732957</v>
      </c>
    </row>
    <row r="111" spans="1:10" x14ac:dyDescent="0.25">
      <c r="A111" s="25" t="s">
        <v>115</v>
      </c>
      <c r="B111" s="26">
        <v>43100</v>
      </c>
      <c r="C111" s="26">
        <v>18292</v>
      </c>
      <c r="D111" s="26">
        <v>59</v>
      </c>
      <c r="E111" s="26">
        <v>82</v>
      </c>
      <c r="F111" s="26">
        <v>0</v>
      </c>
      <c r="H111" s="25">
        <v>83</v>
      </c>
      <c r="I111" s="25">
        <v>50627.530090050022</v>
      </c>
      <c r="J111" s="25">
        <v>772.46990994997759</v>
      </c>
    </row>
    <row r="112" spans="1:10" x14ac:dyDescent="0.25">
      <c r="A112" s="25" t="s">
        <v>116</v>
      </c>
      <c r="B112" s="26">
        <v>55100</v>
      </c>
      <c r="C112" s="26">
        <v>28517</v>
      </c>
      <c r="D112" s="26">
        <v>61</v>
      </c>
      <c r="E112" s="26">
        <v>92</v>
      </c>
      <c r="F112" s="26">
        <v>1</v>
      </c>
      <c r="H112" s="25">
        <v>84</v>
      </c>
      <c r="I112" s="25">
        <v>48087.4828849572</v>
      </c>
      <c r="J112" s="25">
        <v>-1687.4828849572004</v>
      </c>
    </row>
    <row r="113" spans="1:10" x14ac:dyDescent="0.25">
      <c r="A113" s="25" t="s">
        <v>117</v>
      </c>
      <c r="B113" s="26">
        <v>45100</v>
      </c>
      <c r="C113" s="26">
        <v>33181</v>
      </c>
      <c r="D113" s="26">
        <v>67</v>
      </c>
      <c r="E113" s="26">
        <v>86</v>
      </c>
      <c r="F113" s="26">
        <v>0</v>
      </c>
      <c r="H113" s="25">
        <v>85</v>
      </c>
      <c r="I113" s="25">
        <v>47818.450982237351</v>
      </c>
      <c r="J113" s="25">
        <v>-2718.4509822373511</v>
      </c>
    </row>
    <row r="114" spans="1:10" x14ac:dyDescent="0.25">
      <c r="A114" s="25" t="s">
        <v>118</v>
      </c>
      <c r="B114" s="26">
        <v>51700</v>
      </c>
      <c r="C114" s="26">
        <v>27387</v>
      </c>
      <c r="D114" s="26">
        <v>56</v>
      </c>
      <c r="E114" s="26">
        <v>83</v>
      </c>
      <c r="F114" s="26">
        <v>0</v>
      </c>
      <c r="H114" s="25">
        <v>86</v>
      </c>
      <c r="I114" s="25">
        <v>43058.075237565645</v>
      </c>
      <c r="J114" s="25">
        <v>-458.07523756564478</v>
      </c>
    </row>
    <row r="115" spans="1:10" x14ac:dyDescent="0.25">
      <c r="A115" s="25" t="s">
        <v>119</v>
      </c>
      <c r="B115" s="26">
        <v>49200</v>
      </c>
      <c r="C115" s="26">
        <v>30312</v>
      </c>
      <c r="D115" s="26">
        <v>78</v>
      </c>
      <c r="E115" s="26">
        <v>93</v>
      </c>
      <c r="F115" s="26">
        <v>1</v>
      </c>
      <c r="H115" s="25">
        <v>87</v>
      </c>
      <c r="I115" s="25">
        <v>46352.645573497561</v>
      </c>
      <c r="J115" s="25">
        <v>3547.3544265024393</v>
      </c>
    </row>
    <row r="116" spans="1:10" x14ac:dyDescent="0.25">
      <c r="A116" s="25" t="s">
        <v>120</v>
      </c>
      <c r="B116" s="26">
        <v>36100</v>
      </c>
      <c r="C116" s="26">
        <v>15311</v>
      </c>
      <c r="D116" s="26">
        <v>54</v>
      </c>
      <c r="E116" s="26">
        <v>76</v>
      </c>
      <c r="F116" s="26">
        <v>1</v>
      </c>
      <c r="H116" s="25">
        <v>88</v>
      </c>
      <c r="I116" s="25">
        <v>47655.662392452483</v>
      </c>
      <c r="J116" s="25">
        <v>2344.3376075475171</v>
      </c>
    </row>
    <row r="117" spans="1:10" x14ac:dyDescent="0.25">
      <c r="A117" s="25" t="s">
        <v>121</v>
      </c>
      <c r="B117" s="26">
        <v>42700</v>
      </c>
      <c r="C117" s="26">
        <v>26616</v>
      </c>
      <c r="D117" s="26">
        <v>64</v>
      </c>
      <c r="E117" s="26">
        <v>90</v>
      </c>
      <c r="F117" s="26">
        <v>1</v>
      </c>
      <c r="H117" s="25">
        <v>89</v>
      </c>
      <c r="I117" s="25">
        <v>52689.476913874772</v>
      </c>
      <c r="J117" s="25">
        <v>3910.5230861252276</v>
      </c>
    </row>
    <row r="118" spans="1:10" x14ac:dyDescent="0.25">
      <c r="H118" s="25">
        <v>90</v>
      </c>
      <c r="I118" s="25">
        <v>45519.19546697881</v>
      </c>
      <c r="J118" s="25">
        <v>980.80453302118985</v>
      </c>
    </row>
    <row r="119" spans="1:10" x14ac:dyDescent="0.25">
      <c r="H119" s="25">
        <v>91</v>
      </c>
      <c r="I119" s="25">
        <v>41569.239848292324</v>
      </c>
      <c r="J119" s="25">
        <v>-2669.2398482923236</v>
      </c>
    </row>
    <row r="120" spans="1:10" x14ac:dyDescent="0.25">
      <c r="H120" s="25">
        <v>92</v>
      </c>
      <c r="I120" s="25">
        <v>45567.985770814063</v>
      </c>
      <c r="J120" s="25">
        <v>-1167.9857708140626</v>
      </c>
    </row>
    <row r="121" spans="1:10" x14ac:dyDescent="0.25">
      <c r="H121" s="25">
        <v>93</v>
      </c>
      <c r="I121" s="25">
        <v>53357.113074902714</v>
      </c>
      <c r="J121" s="25">
        <v>11142.886925097286</v>
      </c>
    </row>
    <row r="122" spans="1:10" x14ac:dyDescent="0.25">
      <c r="H122" s="25">
        <v>94</v>
      </c>
      <c r="I122" s="25">
        <v>47951.149051022112</v>
      </c>
      <c r="J122" s="25">
        <v>-4751.149051022112</v>
      </c>
    </row>
    <row r="123" spans="1:10" x14ac:dyDescent="0.25">
      <c r="H123" s="25">
        <v>95</v>
      </c>
      <c r="I123" s="25">
        <v>50276.969033072659</v>
      </c>
      <c r="J123" s="25">
        <v>2923.0309669273411</v>
      </c>
    </row>
    <row r="124" spans="1:10" x14ac:dyDescent="0.25">
      <c r="H124" s="25">
        <v>96</v>
      </c>
      <c r="I124" s="25">
        <v>52031.314190404475</v>
      </c>
      <c r="J124" s="25">
        <v>-631.31419040447508</v>
      </c>
    </row>
    <row r="125" spans="1:10" x14ac:dyDescent="0.25">
      <c r="H125" s="25">
        <v>97</v>
      </c>
      <c r="I125" s="25">
        <v>47167.71751606022</v>
      </c>
      <c r="J125" s="25">
        <v>-1267.7175160602201</v>
      </c>
    </row>
    <row r="126" spans="1:10" x14ac:dyDescent="0.25">
      <c r="H126" s="25">
        <v>98</v>
      </c>
      <c r="I126" s="25">
        <v>50382.795473154976</v>
      </c>
      <c r="J126" s="25">
        <v>2017.2045268450238</v>
      </c>
    </row>
    <row r="127" spans="1:10" x14ac:dyDescent="0.25">
      <c r="H127" s="25">
        <v>99</v>
      </c>
      <c r="I127" s="25">
        <v>53689.687418805595</v>
      </c>
      <c r="J127" s="25">
        <v>-2189.6874188055954</v>
      </c>
    </row>
    <row r="128" spans="1:10" x14ac:dyDescent="0.25">
      <c r="H128" s="25">
        <v>100</v>
      </c>
      <c r="I128" s="25">
        <v>49127.037391748992</v>
      </c>
      <c r="J128" s="25">
        <v>4672.9626082510076</v>
      </c>
    </row>
    <row r="129" spans="8:10" x14ac:dyDescent="0.25">
      <c r="H129" s="25">
        <v>101</v>
      </c>
      <c r="I129" s="25">
        <v>52399.831133652646</v>
      </c>
      <c r="J129" s="25">
        <v>3100.1688663473542</v>
      </c>
    </row>
    <row r="130" spans="8:10" x14ac:dyDescent="0.25">
      <c r="H130" s="25">
        <v>102</v>
      </c>
      <c r="I130" s="25">
        <v>52645.409081329592</v>
      </c>
      <c r="J130" s="25">
        <v>3654.5909186704084</v>
      </c>
    </row>
    <row r="131" spans="8:10" x14ac:dyDescent="0.25">
      <c r="H131" s="25">
        <v>103</v>
      </c>
      <c r="I131" s="25">
        <v>50831.36746094955</v>
      </c>
      <c r="J131" s="25">
        <v>10168.63253905045</v>
      </c>
    </row>
    <row r="132" spans="8:10" x14ac:dyDescent="0.25">
      <c r="H132" s="25">
        <v>104</v>
      </c>
      <c r="I132" s="25">
        <v>47506.21858930037</v>
      </c>
      <c r="J132" s="25">
        <v>-3106.2185893003698</v>
      </c>
    </row>
    <row r="133" spans="8:10" x14ac:dyDescent="0.25">
      <c r="H133" s="25">
        <v>105</v>
      </c>
      <c r="I133" s="25">
        <v>48460.678703633457</v>
      </c>
      <c r="J133" s="25">
        <v>17939.321296366543</v>
      </c>
    </row>
    <row r="134" spans="8:10" x14ac:dyDescent="0.25">
      <c r="H134" s="25">
        <v>106</v>
      </c>
      <c r="I134" s="25">
        <v>43758.376805824235</v>
      </c>
      <c r="J134" s="25">
        <v>-558.37680582423491</v>
      </c>
    </row>
    <row r="135" spans="8:10" x14ac:dyDescent="0.25">
      <c r="H135" s="25">
        <v>107</v>
      </c>
      <c r="I135" s="25">
        <v>48219.267227072909</v>
      </c>
      <c r="J135" s="25">
        <v>1680.732772927091</v>
      </c>
    </row>
    <row r="136" spans="8:10" x14ac:dyDescent="0.25">
      <c r="H136" s="25">
        <v>108</v>
      </c>
      <c r="I136" s="25">
        <v>48468.11214117059</v>
      </c>
      <c r="J136" s="25">
        <v>-168.11214117058989</v>
      </c>
    </row>
    <row r="137" spans="8:10" x14ac:dyDescent="0.25">
      <c r="H137" s="25">
        <v>109</v>
      </c>
      <c r="I137" s="25">
        <v>40908.501802470346</v>
      </c>
      <c r="J137" s="25">
        <v>-7308.5018024703459</v>
      </c>
    </row>
    <row r="138" spans="8:10" x14ac:dyDescent="0.25">
      <c r="H138" s="25">
        <v>110</v>
      </c>
      <c r="I138" s="25">
        <v>40069.466137438409</v>
      </c>
      <c r="J138" s="25">
        <v>3030.5338625615914</v>
      </c>
    </row>
    <row r="139" spans="8:10" x14ac:dyDescent="0.25">
      <c r="H139" s="25">
        <v>111</v>
      </c>
      <c r="I139" s="25">
        <v>48814.22947052354</v>
      </c>
      <c r="J139" s="25">
        <v>6285.7705294764601</v>
      </c>
    </row>
    <row r="140" spans="8:10" x14ac:dyDescent="0.25">
      <c r="H140" s="25">
        <v>112</v>
      </c>
      <c r="I140" s="25">
        <v>48535.602328403918</v>
      </c>
      <c r="J140" s="25">
        <v>-3435.6023284039184</v>
      </c>
    </row>
    <row r="141" spans="8:10" x14ac:dyDescent="0.25">
      <c r="H141" s="25">
        <v>113</v>
      </c>
      <c r="I141" s="25">
        <v>43632.18880992847</v>
      </c>
      <c r="J141" s="25">
        <v>8067.8111900715303</v>
      </c>
    </row>
    <row r="142" spans="8:10" x14ac:dyDescent="0.25">
      <c r="H142" s="25">
        <v>114</v>
      </c>
      <c r="I142" s="25">
        <v>52764.059519414848</v>
      </c>
      <c r="J142" s="25">
        <v>-3564.0595194148482</v>
      </c>
    </row>
    <row r="143" spans="8:10" x14ac:dyDescent="0.25">
      <c r="H143" s="25">
        <v>115</v>
      </c>
      <c r="I143" s="25">
        <v>39560.412527867229</v>
      </c>
      <c r="J143" s="25">
        <v>-3460.4125278672291</v>
      </c>
    </row>
    <row r="144" spans="8:10" x14ac:dyDescent="0.25">
      <c r="H144" s="25">
        <v>116</v>
      </c>
      <c r="I144" s="25">
        <v>48238.79844574567</v>
      </c>
      <c r="J144" s="25">
        <v>-5538.7984457456696</v>
      </c>
    </row>
  </sheetData>
  <hyperlinks>
    <hyperlink ref="A27" r:id="rId1" display="http://www.collegexpress.com/college/eckerd-college/2400086/details/" xr:uid="{CEFFFBD6-17E7-47DC-856A-4FD3CCE2B490}"/>
    <hyperlink ref="A38" r:id="rId2" display="http://www.collegexpress.com/college/goucher-college/2800138/details/" xr:uid="{7A8FA78D-4186-47D9-9A2E-BF1AFBB6CC9A}"/>
    <hyperlink ref="A44" r:id="rId3" display="http://www.collegexpress.com/college/ithaca-college/1100770/details/" xr:uid="{DD24BD82-91E0-4F47-90E2-C92BF55CD37A}"/>
    <hyperlink ref="A71" r:id="rId4" display="http://www.collegexpress.com/college/pacific-lutheran-university/2600154/details/" xr:uid="{7B3BBF73-D9FC-428A-8CDD-EA1BB2632B80}"/>
    <hyperlink ref="A83" r:id="rId5" display="http://www.collegexpress.com/college/seattle-university/1100498/details/" xr:uid="{255BDD6F-035A-4361-A908-C4A3C9930E3E}"/>
    <hyperlink ref="A90" r:id="rId6" display="http://www.collegexpress.com/college/syracuse-university/1100182/details/" xr:uid="{C3E02D11-33C7-40AB-BF66-A1111C3581FD}"/>
    <hyperlink ref="A96" r:id="rId7" display="http://www.collegexpress.com/college/trinity-university/1100480/details/" xr:uid="{82EEF34F-6F5E-4CC0-86C8-33DA028E808D}"/>
    <hyperlink ref="A100" r:id="rId8" display="http://www.collegexpress.com/college/university-of-puget-sound/1100593/details/" xr:uid="{3BB953EA-6928-47BA-9CED-625DA0D8872C}"/>
    <hyperlink ref="A101" r:id="rId9" display="http://www.collegexpress.com/college/university-of-redlands/1100901/details/" xr:uid="{2DB0E5D0-4B70-4CD5-B8A5-DFC73F7C1911}"/>
    <hyperlink ref="A106" r:id="rId10" display="http://www.collegexpress.com/college/university-of-the-pacific/1100551/details/" xr:uid="{A0263503-ED36-4B92-A48A-B69555A8FBE0}"/>
    <hyperlink ref="A113" r:id="rId11" display="http://www.collegexpress.com/college/whittier-college/1100922/details/" xr:uid="{79AB7B4F-503C-41F4-A878-F48ED046E1FB}"/>
    <hyperlink ref="A115" r:id="rId12" display="http://www.collegexpress.com/college/willamette-university/1100388/details/" xr:uid="{BE96FCDF-9691-4051-B226-C908A89B91DE}"/>
    <hyperlink ref="A3" r:id="rId13" display="http://www.collegexpress.com/college/albion-college/2100002/details/" xr:uid="{EA24405A-1FE3-4C6C-A24F-FEAA8715A566}"/>
    <hyperlink ref="A4" r:id="rId14" display="http://www.collegexpress.com/college/alfred-university/1100014/details/" xr:uid="{5FC33E63-98E0-4108-A531-D71CB0FD2A8C}"/>
    <hyperlink ref="A5" r:id="rId15" display="http://www.collegexpress.com/college/allegheny-college/1100015/details/" xr:uid="{54E73966-EC3F-44E5-A91A-0603E786002C}"/>
    <hyperlink ref="A6" r:id="rId16" display="http://www.collegexpress.com/college/beloit-college/2100202/details/" xr:uid="{B94DA3E3-65F6-4F01-B3AD-D0E359E0D119}"/>
    <hyperlink ref="A7" r:id="rId17" display="http://www.collegexpress.com/college/bentley-university/1100184/details/" xr:uid="{506E12FE-4624-468A-A1F4-6806D76F1EED}"/>
    <hyperlink ref="A8" r:id="rId18" display="http://www.collegexpress.com/college/boston-university/1100198/details/" xr:uid="{72EA1424-F319-46D3-B3FB-10957671EB78}"/>
    <hyperlink ref="A9" r:id="rId19" display="http://www.collegexpress.com/college/california-lutheran-university/1100675/details/" xr:uid="{86D8FADA-B8C8-4C31-B020-E2EEAC5C8A8A}"/>
    <hyperlink ref="A10" r:id="rId20" display="http://www.collegexpress.com/college/carroll-college/1100993/details/" xr:uid="{CAAB88EC-3167-4FF8-A988-82098B3E0EEB}"/>
    <hyperlink ref="A11" r:id="rId21" display="http://www.collegexpress.com/college/catholic-university-of-america/2400062/details/" xr:uid="{E177CEA8-6B16-4A0E-BE5E-FCC9B239CFD1}"/>
    <hyperlink ref="A12" r:id="rId22" display="http://www.collegexpress.com/college/cedar-crest-college/1100278/details/" xr:uid="{7BB6B305-47C1-45B4-809C-6BFB52DD55ED}"/>
    <hyperlink ref="A13" r:id="rId23" display="http://www.collegexpress.com/college/champlain-college/3000090/details/" xr:uid="{28D9ED9B-9619-45DE-9DA3-C327FABE45EA}"/>
    <hyperlink ref="A14" r:id="rId24" display="http://www.collegexpress.com/college/chapman-university/1100371/details/" xr:uid="{FE91CF04-A491-4962-8742-F455E5CD61E8}"/>
    <hyperlink ref="A15" r:id="rId25" display="http://www.collegexpress.com/college/clark-university/1100294/details/" xr:uid="{19FF00BB-037F-4A85-BA76-DFA229E68458}"/>
    <hyperlink ref="A16" r:id="rId26" display="http://www.collegexpress.com/college/colby-sawyer-college/1100311/details/" xr:uid="{A557DC07-4D4B-4209-904E-1EAE636AF041}"/>
    <hyperlink ref="A17" r:id="rId27" display="http://www.collegexpress.com/college/college-of-mount-st-vincent/1100328/details/" xr:uid="{75B80A92-25D3-4E74-8F99-FED1E5E22966}"/>
    <hyperlink ref="A18" r:id="rId28" display="http://www.collegexpress.com/college/college-of-st-benedict/2100363/details/" xr:uid="{264E7682-E332-405E-BACA-68B686DC9339}"/>
    <hyperlink ref="A19" r:id="rId29" display="http://www.collegexpress.com/college/davis-elkins-college/1100579/details/" xr:uid="{C89219EF-F3B0-4E92-BBC7-FF2F17CAF969}"/>
    <hyperlink ref="A20" r:id="rId30" display="http://www.collegexpress.com/college/desales-university/1100016/details/" xr:uid="{833D0890-FD68-44F9-8948-07FCA7D75B5D}"/>
    <hyperlink ref="A21" r:id="rId31" display="http://www.collegexpress.com/college/dickinson-college/1100937/details/" xr:uid="{CC839BB4-41AD-4E49-9AC0-CAAC77792AD3}"/>
    <hyperlink ref="A22" r:id="rId32" display="http://www.collegexpress.com/college/doane-college/1100947/details/" xr:uid="{C73C006E-D7D4-48A6-BF40-C1DC2A6D71F8}"/>
    <hyperlink ref="A25" r:id="rId33" display="http://www.collegexpress.com/college/drexel-university/2100315/details/" xr:uid="{A320DE12-D071-4379-95D2-67BBD8A8604D}"/>
    <hyperlink ref="A28" r:id="rId34" display="http://www.collegexpress.com/college/elmhurst-college/2800099/details/" xr:uid="{07B1B699-92A2-4268-A7EF-E581521F3020}"/>
    <hyperlink ref="A29" r:id="rId35" display="http://www.collegexpress.com/college/elmira-college/2100318/details/" xr:uid="{CB887045-90F7-483C-80FA-D24B6B436F23}"/>
    <hyperlink ref="A30" r:id="rId36" display="http://www.collegexpress.com/college/elon-university/2800145/details/" xr:uid="{EA9B988B-EFCC-4150-9A61-5984D167EC5D}"/>
    <hyperlink ref="A31" r:id="rId37" display="http://www.collegexpress.com/college/endicott-college/3000052/details/" xr:uid="{D5C1347A-BA61-4B1A-BB28-66024D2C84D8}"/>
    <hyperlink ref="A32" r:id="rId38" display="http://www.collegexpress.com/college/florida-southern-college/1100805/details/" xr:uid="{2726EE89-9BA1-4E15-B7F8-824FE2C4F8C7}"/>
    <hyperlink ref="A33" r:id="rId39" display="http://www.collegexpress.com/college/fort-lewis-college/1100354/details/" xr:uid="{4CAF4AAE-699F-40D5-ADE9-C6598800518D}"/>
    <hyperlink ref="A34" r:id="rId40" display="http://www.collegexpress.com/college/franklin-pierce-university/2100321/details/" xr:uid="{BBEAF17E-B4CA-4D4C-B251-B9C7CBCE50E8}"/>
    <hyperlink ref="A35" r:id="rId41" display="http://www.collegexpress.com/college/fresno-pacific-university/1100945/details/" xr:uid="{02385ED1-6132-49E0-8212-C6C9365444ED}"/>
    <hyperlink ref="A36" r:id="rId42" display="http://www.collegexpress.com/college/george-fox-university/1100674/details/" xr:uid="{1DB94109-09F2-481F-A169-16B24ACF0F6D}"/>
    <hyperlink ref="A37" r:id="rId43" display="http://www.collegexpress.com/college/gonzaga-university/1100456/details/" xr:uid="{DE34A90B-C05B-4665-A915-3FA859A8764F}"/>
    <hyperlink ref="A39" r:id="rId44" display="http://www.collegexpress.com/college/gustavus-adolphus-college/2800067/details/" xr:uid="{A690006B-7DA7-4561-8237-B54D2FDD2126}"/>
    <hyperlink ref="A40" r:id="rId45" display="http://www.collegexpress.com/college/hawaii-pacific-university/1100361/details/" xr:uid="{E1B2157B-F50B-4A0F-A17B-315B7E6FED71}"/>
    <hyperlink ref="A41" r:id="rId46" display="http://www.collegexpress.com/college/hendrix-college/2400118/details/" xr:uid="{4F13C9C6-A93D-4649-B15E-31D3D736C25A}"/>
    <hyperlink ref="A42" r:id="rId47" display="http://www.collegexpress.com/college/hobart-and-william-smith-colleges/2100326/details/" xr:uid="{91D5F886-83BF-4B0F-B8CF-858E02A3E404}"/>
    <hyperlink ref="A43" r:id="rId48" display="http://www.collegexpress.com/college/hollins-university/2400093/details/" xr:uid="{F686B700-862C-41D4-85FD-4580D98B787C}"/>
    <hyperlink ref="A45" r:id="rId49" display="http://www.collegexpress.com/college/johnson-wales-university-at-denver/3000421/details/" xr:uid="{36E27951-DEB0-4CE7-A852-FF7038D9248C}"/>
    <hyperlink ref="A46" r:id="rId50" display="http://www.collegexpress.com/college/juniata-college/2100350/details/" xr:uid="{01BA3998-5A8A-4E87-9FC0-BB756FE234AB}"/>
    <hyperlink ref="A47" r:id="rId51" display="http://www.collegexpress.com/college/kalamazoo-college/2800079/details/" xr:uid="{FD06954E-410D-4D2F-BBAE-6ED3BB62660F}"/>
    <hyperlink ref="A48" r:id="rId52" display="http://www.collegexpress.com/college/lake-forest-college/2800080/details/" xr:uid="{1ABDA63D-87DC-44BE-9360-7FF977410237}"/>
    <hyperlink ref="A49" r:id="rId53" display="http://www.collegexpress.com/college/lasell-college/3000093/details/" xr:uid="{95646CBB-2D8D-4B0E-ADA7-F7AD2C63D55D}"/>
    <hyperlink ref="A50" r:id="rId54" display="http://www.collegexpress.com/college/lesley-university/2100338/details/" xr:uid="{49C79EEA-5810-47AD-885E-5EA64E3A7F5A}"/>
    <hyperlink ref="A51" r:id="rId55" display="http://www.collegexpress.com/college/lewis-and-clark-college/1100990/details/" xr:uid="{DC1A0642-B5F0-4C83-8CA6-DF079C5ACE54}"/>
    <hyperlink ref="A52" r:id="rId56" display="http://www.collegexpress.com/college/linfield-college/1100449/details/" xr:uid="{0E39944D-C697-4C41-949A-E226D7A00232}"/>
    <hyperlink ref="A53" r:id="rId57" display="http://www.collegexpress.com/college/long-island-university-cw-post-campus/2100349/details/" xr:uid="{94257465-3036-4658-AE10-9608908D43F6}"/>
    <hyperlink ref="A54" r:id="rId58" display="http://www.collegexpress.com/college/loyola-university-new-orleans/2400207/details/" xr:uid="{CA788167-0B61-424B-AB30-4F868CC71F3E}"/>
    <hyperlink ref="A55" r:id="rId59" display="http://www.collegexpress.com/college/lycoming-college/2100340/details/" xr:uid="{B9CBAEBF-0238-489D-AA71-B9073B21E6E4}"/>
    <hyperlink ref="A56" r:id="rId60" display="http://www.collegexpress.com/college/lynn-university/2400049/details/" xr:uid="{30C7B015-DB4E-440F-ACF6-EC071379B0FA}"/>
    <hyperlink ref="A57" r:id="rId61" display="http://www.collegexpress.com/college/marietta-college/2100280/details/" xr:uid="{D439E943-BA70-4FC4-949F-AA429FED161E}"/>
    <hyperlink ref="A58" r:id="rId62" display="http://www.collegexpress.com/college/mcdaniel-college/1100556/details/" xr:uid="{965C9A4B-02A9-4581-83AA-A685320464DE}"/>
    <hyperlink ref="A59" r:id="rId63" display="http://www.collegexpress.com/college/menlo-college/1100402/details/" xr:uid="{F53959B1-0BFD-40EE-8AB3-E2B9FA67FF11}"/>
    <hyperlink ref="A60" r:id="rId64" display="http://www.collegexpress.com/college/meredith-college/1100863/details/" xr:uid="{8C7A029B-B087-4FEB-8B36-7AF6786DC06E}"/>
    <hyperlink ref="A61" r:id="rId65" display="http://www.collegexpress.com/college/mills-college/1100891/details/" xr:uid="{DDF34CA1-9296-4458-B21E-BDDA20C081E9}"/>
    <hyperlink ref="A62" r:id="rId66" display="http://www.collegexpress.com/college/monmouth-college/1100567/details/" xr:uid="{03507ABA-A01E-4B47-8250-B04103218513}"/>
    <hyperlink ref="A63" r:id="rId67" display="http://www.collegexpress.com/college/moravian-college/1100321/details/" xr:uid="{070C8A0F-4582-4AA7-97B6-D214F627600B}"/>
    <hyperlink ref="A64" r:id="rId68" display="http://www.collegexpress.com/college/nazareth-college-of-rochester/1100335/details/" xr:uid="{E8381C32-3E3E-4869-97AA-2E5E64E8FA9D}"/>
    <hyperlink ref="A65" r:id="rId69" display="http://www.collegexpress.com/college/nebraska-wesleyan-university/1100894/details/" xr:uid="{DB328669-3263-4BD2-8FC0-0449128567A7}"/>
    <hyperlink ref="A66" r:id="rId70" display="http://www.collegexpress.com/college/new-england-college/1100339/details/" xr:uid="{D84C59E5-F92B-4214-AF64-1AC6C2A3E7B5}"/>
    <hyperlink ref="A67" r:id="rId71" display="http://www.collegexpress.com/college/niagara-university/2800142/details/" xr:uid="{4655C024-F789-41DA-8603-5CB72FD376F1}"/>
    <hyperlink ref="A68" r:id="rId72" display="http://www.collegexpress.com/college/oglethorpe-university/2600081/details/" xr:uid="{ECCE3583-0839-44DF-AAF0-984BE6D661F6}"/>
    <hyperlink ref="A69" r:id="rId73" display="http://www.collegexpress.com/college/otterbein-university/2800103/details/" xr:uid="{0BB43D60-B406-4348-A768-6084AFA7641E}"/>
    <hyperlink ref="A70" r:id="rId74" display="http://www.collegexpress.com/college/pace-university/1100090/details/" xr:uid="{30FF3B30-9E5C-4FA2-A6C9-3ED8E0E012D4}"/>
    <hyperlink ref="A72" r:id="rId75" display="http://www.collegexpress.com/college/pine-manor-college/1100129/details/" xr:uid="{23D4DF6D-379F-4B36-A20F-9B7684BBADAC}"/>
    <hyperlink ref="A73" r:id="rId76" display="http://www.collegexpress.com/college/providence-college/1100162/details/" xr:uid="{16A8B71E-7031-4B42-BF7C-54060FC88F03}"/>
    <hyperlink ref="A74" r:id="rId77" display="http://www.collegexpress.com/college/quinnipiac-university/1100164/details/" xr:uid="{4CCFC59C-6F46-423C-A5EF-CD242DCB6BE0}"/>
    <hyperlink ref="A75" r:id="rId78" display="http://www.collegexpress.com/college/regis-university/1100409/details/" xr:uid="{80EECAA0-14ED-4992-ADE8-72D5E3018371}"/>
    <hyperlink ref="A76" r:id="rId79" display="http://www.collegexpress.com/college/rhode-island-college/1100094/details/" xr:uid="{5C34583C-B780-4671-AC99-C495A726CACE}"/>
    <hyperlink ref="A77" r:id="rId80" display="http://www.collegexpress.com/college/rider-university/1100130/details/" xr:uid="{D09BAB57-385A-4B89-9CC9-A7ABCA9D1134}"/>
    <hyperlink ref="A78" r:id="rId81" display="http://www.collegexpress.com/college/ripon-college/1100546/details/" xr:uid="{5CDECC61-D6B5-426A-B35C-DE650754843C}"/>
    <hyperlink ref="A79" r:id="rId82" display="http://www.collegexpress.com/college/roanoke-college/2600101/details/" xr:uid="{DE511122-AFA2-4F27-A5E8-93BEF3E8A5A3}"/>
    <hyperlink ref="A80" r:id="rId83" display="http://www.collegexpress.com/college/roger-williams-university/1100174/details/" xr:uid="{4BFBF983-DD24-4080-B49E-4E171A2435E7}"/>
    <hyperlink ref="A81" r:id="rId84" display="http://www.collegexpress.com/college/rollins-college/1100718/details/" xr:uid="{77757FA6-4F33-4383-A477-01CDDC970D44}"/>
    <hyperlink ref="A82" r:id="rId85" display="http://www.collegexpress.com/college/saint-francis-university/1100049/details/" xr:uid="{98EF92B8-49DC-4EBE-B618-94097D87631D}"/>
    <hyperlink ref="A84" r:id="rId86" display="http://www.collegexpress.com/college/simmons-college/1100098/details/" xr:uid="{2CFEA180-31C2-4F1E-BFBD-5A2C4C7535BB}"/>
    <hyperlink ref="A85" r:id="rId87" display="http://www.collegexpress.com/college/spelman-college/2600130/details/" xr:uid="{ADC0C9AB-B270-4164-9743-8276BC89E9F6}"/>
    <hyperlink ref="A86" r:id="rId88" display="http://www.collegexpress.com/college/springfield-college/1100113/details/" xr:uid="{83FBE8F9-7FFD-469E-B790-A37B140CD9F1}"/>
    <hyperlink ref="A88" r:id="rId89" display="http://www.collegexpress.com/college/suffolk-university/1100125/details/" xr:uid="{B559365A-AB0B-4275-A96E-D5761FDBBC0C}"/>
    <hyperlink ref="A89" r:id="rId90" display="http://www.collegexpress.com/college/susquehanna-university/1100175/details/" xr:uid="{9A08F468-F0AE-4877-9A8D-B22C171EABBF}"/>
    <hyperlink ref="A91" r:id="rId91" display="http://www.collegexpress.com/college/temple-university/1100189/details/" xr:uid="{7A61BB1F-FB71-4C3C-BF7B-4FB5917BB7B0}"/>
    <hyperlink ref="A92" r:id="rId92" display="http://www.collegexpress.com/college/the-college-of-idaho/1100379/details/" xr:uid="{00808347-3059-4005-BA32-1BC8819D280C}"/>
    <hyperlink ref="A93" r:id="rId93" display="http://www.collegexpress.com/college/the-college-of-wooster/2800003/details/" xr:uid="{B673049D-78AE-4C11-9EB0-57608DEB7B5F}"/>
    <hyperlink ref="A94" r:id="rId94" display="http://www.collegexpress.com/college/the-george-washington-university/2400217/details/" xr:uid="{FA8A907A-4B85-4D92-A062-983BC9526448}"/>
    <hyperlink ref="A95" r:id="rId95" display="http://www.collegexpress.com/college/the-university-of-tulsa/1100475/details/" xr:uid="{23553787-DB22-45C4-B36D-EF0050E52F73}"/>
    <hyperlink ref="A97" r:id="rId96" display="http://www.collegexpress.com/college/university-of-denver/1100408/details/" xr:uid="{223AFAB4-5B05-4A77-80E7-E5C84D4C65DD}"/>
    <hyperlink ref="A98" r:id="rId97" display="http://www.collegexpress.com/college/university-of-hartford/2100325/details/" xr:uid="{7E37BB21-7364-424D-8528-964F10F7C130}"/>
    <hyperlink ref="A99" r:id="rId98" display="http://www.collegexpress.com/college/university-of-miami/1100812/details/" xr:uid="{A662BA5A-431B-4B3D-961D-4BDB9CEE88CC}"/>
    <hyperlink ref="A102" r:id="rId99" display="http://www.collegexpress.com/college/university-of-rochester/1100166/details/" xr:uid="{BCA605A2-BDDC-4990-89AC-B86226613A2C}"/>
    <hyperlink ref="A103" r:id="rId100" display="http://www.collegexpress.com/college/university-of-san-diego/1100600/details/" xr:uid="{CF7C9C4A-E259-4BC6-8DD2-59A4A069147B}"/>
    <hyperlink ref="A104" r:id="rId101" display="http://www.collegexpress.com/college/university-of-san-francisco/1100912/details/" xr:uid="{37D3790A-55E6-425D-918F-E9166CE1F2E8}"/>
    <hyperlink ref="A105" r:id="rId102" display="http://www.collegexpress.com/college/university-of-tampa/2600002/details/" xr:uid="{C7FEDD91-8B5E-4849-8A34-ECA5FC3194AA}"/>
    <hyperlink ref="A107" r:id="rId103" display="http://www.collegexpress.com/college/wartburg-college/2800033/details/" xr:uid="{A23BF9E7-F808-46F1-A12D-1CFFD4E5CFFE}"/>
    <hyperlink ref="A108" r:id="rId104" display="http://www.collegexpress.com/college/washington-jefferson-college/1100247/details/" xr:uid="{AF66B168-BE6A-4398-BF9E-F78872DDC706}"/>
    <hyperlink ref="A109" r:id="rId105" display="http://www.collegexpress.com/college/washington-college/2600042/details/" xr:uid="{C7D48B69-3A66-4B21-8AE0-BDFC2CF6AF80}"/>
    <hyperlink ref="A110" r:id="rId106" display="http://www.collegexpress.com/college/wells-college/1100258/details/" xr:uid="{2B7F50F8-3B51-4AE6-B843-2993E86317D3}"/>
    <hyperlink ref="A111" r:id="rId107" display="http://www.collegexpress.com/college/west-virginia-wesleyan-college/2600053/details/" xr:uid="{9214D0FE-28F7-4ECA-B3BD-E0F61C8EA870}"/>
    <hyperlink ref="A112" r:id="rId108" display="http://www.collegexpress.com/college/western-new-england-university/1100273/details/" xr:uid="{947706C8-FB84-4E98-B404-FB04E054EEEA}"/>
    <hyperlink ref="A114" r:id="rId109" display="http://www.collegexpress.com/college/widener-university/1100284/details/" xr:uid="{7A97AE9B-5199-493E-834A-0E98D7E8053A}"/>
    <hyperlink ref="A116" r:id="rId110" display="http://www.collegexpress.com/college/winthrop-university/2600063/details/" xr:uid="{CB48ECC9-8BD4-4255-B2A0-16EA81ED8563}"/>
    <hyperlink ref="A117" r:id="rId111" display="http://www.collegexpress.com/college/wittenberg-university/2800004/details/" xr:uid="{3D7193E3-59FE-4E70-B6D5-8E7792E1C14C}"/>
    <hyperlink ref="A24" r:id="rId112" display="http://www.collegexpress.com/college/drew-university/1100304/details/" xr:uid="{5B2E647A-AD96-4B59-BDE4-D51077FABAC3}"/>
  </hyperlinks>
  <printOptions horizontalCentered="1" verticalCentered="1" headings="1"/>
  <pageMargins left="0.19685039370078741" right="7.874015748031496E-2" top="7.874015748031496E-2" bottom="7.874015748031496E-2" header="7.874015748031496E-2" footer="7.874015748031496E-2"/>
  <pageSetup paperSize="9" scale="37" orientation="portrait" r:id="rId113"/>
  <headerFooter scaleWithDoc="0" alignWithMargins="0"/>
  <drawing r:id="rId1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1FC7ADD27A134B92D0C21C975B5030" ma:contentTypeVersion="8" ma:contentTypeDescription="Create a new document." ma:contentTypeScope="" ma:versionID="29b2d8f5016614ee7db90ae61d94d5a1">
  <xsd:schema xmlns:xsd="http://www.w3.org/2001/XMLSchema" xmlns:xs="http://www.w3.org/2001/XMLSchema" xmlns:p="http://schemas.microsoft.com/office/2006/metadata/properties" xmlns:ns2="89c7a8c3-a03a-420b-ac21-90cd38a91df7" targetNamespace="http://schemas.microsoft.com/office/2006/metadata/properties" ma:root="true" ma:fieldsID="230fff80464bdb34158622049499dd70" ns2:_="">
    <xsd:import namespace="89c7a8c3-a03a-420b-ac21-90cd38a91d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7a8c3-a03a-420b-ac21-90cd38a91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ED4A8E-38A0-402C-95F8-5BBDBF3A2F5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89c7a8c3-a03a-420b-ac21-90cd38a91df7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9386A59-3785-4332-9228-93D95A2E0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c7a8c3-a03a-420b-ac21-90cd38a91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EC1BDB-46CD-47E2-BF53-64C9535965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College</vt:lpstr>
      <vt:lpstr>Retail</vt:lpstr>
      <vt:lpstr>Retail print</vt:lpstr>
      <vt:lpstr>College 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Bunthit Watanapa</dc:creator>
  <cp:lastModifiedBy>KRISSANA PIPUTPRUEDTIGUL</cp:lastModifiedBy>
  <cp:lastPrinted>2025-05-08T02:01:19Z</cp:lastPrinted>
  <dcterms:created xsi:type="dcterms:W3CDTF">2021-03-14T13:08:42Z</dcterms:created>
  <dcterms:modified xsi:type="dcterms:W3CDTF">2025-05-08T02:01:23Z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0x010100501FC7ADD27A134B92D0C21C975B5030</vt:lpwstr>
  </property>
</Properties>
</file>