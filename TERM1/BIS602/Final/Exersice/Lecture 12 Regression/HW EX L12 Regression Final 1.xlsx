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https://kmuttsit-my.sharepoint.com/personal/67130701930_ad_sit_kmutt_ac_th/Documents/KMUTT/TERM1/BIS602/Final/Exersice/Lecture 12 Regression/"/>
    </mc:Choice>
  </mc:AlternateContent>
  <xr:revisionPtr revIDLastSave="0" documentId="13_ncr:1_{B1A9DABB-9FC6-A94C-A79F-78D850A3C83E}" xr6:coauthVersionLast="47" xr6:coauthVersionMax="47" xr10:uidLastSave="{00000000-0000-0000-0000-000000000000}"/>
  <bookViews>
    <workbookView xWindow="840" yWindow="760" windowWidth="25300" windowHeight="16020" xr2:uid="{4831EB37-77AE-2E44-A611-AA85A263524E}"/>
  </bookViews>
  <sheets>
    <sheet name="Retai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J77" i="1"/>
  <c r="J76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L60" i="1" s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L52" i="1" s="1"/>
  <c r="G22" i="1"/>
  <c r="F22" i="1"/>
  <c r="E22" i="1"/>
  <c r="G21" i="1"/>
  <c r="F21" i="1"/>
  <c r="E21" i="1"/>
  <c r="G20" i="1"/>
  <c r="F20" i="1"/>
  <c r="E20" i="1"/>
  <c r="G19" i="1"/>
  <c r="F19" i="1"/>
  <c r="E19" i="1"/>
  <c r="G18" i="1"/>
  <c r="F18" i="1"/>
  <c r="E18" i="1"/>
  <c r="G17" i="1"/>
  <c r="F17" i="1"/>
  <c r="E17" i="1"/>
  <c r="G16" i="1"/>
  <c r="F16" i="1"/>
  <c r="E16" i="1"/>
  <c r="G15" i="1"/>
  <c r="F15" i="1"/>
  <c r="E15" i="1"/>
  <c r="L44" i="1" s="1"/>
  <c r="G14" i="1"/>
  <c r="F14" i="1"/>
  <c r="E14" i="1"/>
  <c r="G13" i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L36" i="1" s="1"/>
  <c r="G6" i="1"/>
  <c r="F6" i="1"/>
  <c r="E6" i="1"/>
  <c r="G5" i="1"/>
  <c r="F5" i="1"/>
  <c r="E5" i="1"/>
  <c r="G4" i="1"/>
  <c r="F4" i="1"/>
  <c r="E4" i="1"/>
  <c r="G3" i="1"/>
  <c r="F3" i="1"/>
  <c r="E3" i="1"/>
  <c r="G2" i="1"/>
  <c r="F2" i="1"/>
  <c r="L61" i="1" l="1"/>
  <c r="L41" i="1"/>
  <c r="L31" i="1"/>
  <c r="L66" i="1"/>
  <c r="L62" i="1"/>
  <c r="L67" i="1"/>
  <c r="L33" i="1"/>
  <c r="L49" i="1"/>
  <c r="L57" i="1"/>
  <c r="L65" i="1"/>
  <c r="L70" i="1"/>
  <c r="L34" i="1"/>
  <c r="L42" i="1"/>
  <c r="L56" i="1"/>
  <c r="L64" i="1"/>
  <c r="L69" i="1"/>
  <c r="L50" i="1"/>
  <c r="L58" i="1"/>
  <c r="L32" i="1"/>
  <c r="L35" i="1"/>
  <c r="L43" i="1"/>
  <c r="L45" i="1"/>
  <c r="L51" i="1"/>
  <c r="L53" i="1"/>
  <c r="L59" i="1"/>
  <c r="L37" i="1"/>
  <c r="L63" i="1"/>
  <c r="L40" i="1"/>
  <c r="L48" i="1"/>
  <c r="L68" i="1"/>
  <c r="L38" i="1"/>
  <c r="L46" i="1"/>
  <c r="L54" i="1"/>
  <c r="L39" i="1"/>
  <c r="L47" i="1"/>
  <c r="L55" i="1"/>
</calcChain>
</file>

<file path=xl/sharedStrings.xml><?xml version="1.0" encoding="utf-8"?>
<sst xmlns="http://schemas.openxmlformats.org/spreadsheetml/2006/main" count="56" uniqueCount="47">
  <si>
    <t>Year</t>
  </si>
  <si>
    <t>Quarter</t>
  </si>
  <si>
    <t>Sales</t>
  </si>
  <si>
    <t>GNP</t>
  </si>
  <si>
    <t>d1</t>
  </si>
  <si>
    <t>d2</t>
  </si>
  <si>
    <t>d3</t>
  </si>
  <si>
    <t>a.	Estimate the model where y and x represent retail sales and GNP, respectively; d1 equals 1 if quarter 1, 0 otherwise; d2 equals 1 if quarter 2, 0 otherwise; and d3 equals 1 if quarter 3, 0 otherwise. Note that the reference category is quarter 4.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</si>
  <si>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</si>
  <si>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</si>
  <si>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</si>
  <si>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</si>
  <si>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</si>
  <si>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</si>
  <si>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</si>
  <si>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</si>
  <si>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</si>
  <si>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</si>
  <si>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</si>
  <si>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</si>
  <si>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</si>
  <si>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</si>
  <si>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</si>
  <si>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</si>
  <si>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</si>
  <si>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</si>
  <si>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</si>
  <si>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</si>
  <si>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</si>
  <si>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</si>
  <si>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</si>
  <si>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</si>
  <si>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</si>
  <si>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Observation</t>
  </si>
  <si>
    <t>Predicted Sales</t>
  </si>
  <si>
    <t>Residuals</t>
  </si>
  <si>
    <r>
      <t>b.</t>
    </r>
    <r>
      <rPr>
        <b/>
        <sz val="7"/>
        <color theme="1"/>
        <rFont val="Times New Roman"/>
        <family val="1"/>
      </rPr>
      <t xml:space="preserve"> </t>
    </r>
    <r>
      <rPr>
        <b/>
        <sz val="14"/>
        <color theme="1"/>
        <rFont val="Times New Roman"/>
        <family val="1"/>
      </rPr>
      <t>Interpret the slope coefficient for quarter 1.</t>
    </r>
  </si>
  <si>
    <t>Coefficient for Quarter 1 คือ –155,654.21 หมายความว่า ยอดขายในไตรมาสที่ 1 จะ ต่ำกว่าไตรมาสที่ 4 ซึ่งเป็นกลุ่มอ้างอิง  อยู่ประมาณ 155,654.21 ล้านดอลลาร์</t>
  </si>
  <si>
    <t>c.	What are predicted sales in quarter 2 if GNP is $21,000 (in billions)? For the same value of GNP, what are predicted sales in quarter 4?</t>
  </si>
  <si>
    <t>Quarter 2</t>
  </si>
  <si>
    <t>millions</t>
  </si>
  <si>
    <t>Quarter 4</t>
  </si>
  <si>
    <t>d.Plot (1) the regressed value against the retail sales value and (2) residual, (3) do your think linear regression is fitted for this problem, why or why not?</t>
  </si>
  <si>
    <t>(1)Plot the regressed value against the retail sales value</t>
  </si>
  <si>
    <t>(2) Residual Plot</t>
  </si>
  <si>
    <t>(3) do your think linear regression is fitted for this problem, why or why not?</t>
  </si>
  <si>
    <t>โมเดลถดถอยเชิงเส้น (Linear Regression) เป็นโมเดลที่เหมาะสมกับปัญหานี้                                                                          
- เนื่องจากค่า R Square = 0.9793 หรือ 97.93% ซึ่งหมายความว่า โมเดลสามารถอธิบายความแปรปรวนของยอดขายได้มากถึง 97.93% ถือว่าโมเดลมีความสามารถในการพยากรณ์ที่แม่นยำใกล้เคียง 100% และครอบคลุมข้อมูลส่วนใหญ่
- จากกราฟ "Plot the regressed value against the retail sales value" จะเห็นได้ว่า จุดข้อมูลส่วนใหญ่อยู่ใกล้กับเส้นแนวโน้มที่เป็นเส้นตรง ซึ่งแสดงให้เห็นว่าในการพยากรณ์ข้อมูลมีความสัมพันธ์เชิงเส้นที่ชัดเจนระหว่างค่าทำนายและค่าจริง ซึ่งเป็นคุณสมบัติสำคัญของโมเดล Linear Regression ที่ดี
- จากกราฟ Residual Plot ซึ่งแสดงค่าความคลาดเคลื่อน (Residual) จะพบว่าจุดกระจายแบบสุ่มรอบแกนศูนย์ โดยไม่มีรูปแบบชัดเจน เช่น โค้ง พุ่ง หรือกระจุก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</si>
</sst>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9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name val="Tahoma"/>
      <family val="2"/>
      <scheme val="minor"/>
    </font>
    <font>
      <i/>
      <sz val="11"/>
      <color theme="1"/>
      <name val="Tahoma"/>
      <family val="2"/>
      <scheme val="minor"/>
    </font>
    <font>
      <sz val="10"/>
      <name val="Arial"/>
      <family val="2"/>
    </font>
    <font>
      <b/>
      <sz val="14"/>
      <color theme="1"/>
      <name val="Times New Roman"/>
      <family val="1"/>
    </font>
    <font>
      <b/>
      <sz val="7"/>
      <color theme="1"/>
      <name val="Times New Roman"/>
      <family val="1"/>
    </font>
    <font>
      <b/>
      <sz val="11"/>
      <color theme="1"/>
      <name val="Tahoma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 vertical="top"/>
    </xf>
    <xf numFmtId="0" fontId="3" fillId="0" borderId="0" xfId="0" applyFont="1"/>
    <xf numFmtId="164" fontId="0" fillId="0" borderId="0" xfId="0" applyNumberFormat="1"/>
    <xf numFmtId="0" fontId="0" fillId="0" borderId="0" xfId="0" quotePrefix="1"/>
    <xf numFmtId="0" fontId="2" fillId="0" borderId="0" xfId="0" applyFont="1"/>
    <xf numFmtId="0" fontId="4" fillId="0" borderId="1" xfId="0" applyFont="1" applyBorder="1" applyAlignment="1">
      <alignment horizontal="centerContinuous"/>
    </xf>
    <xf numFmtId="0" fontId="5" fillId="0" borderId="0" xfId="0" applyFont="1"/>
    <xf numFmtId="0" fontId="0" fillId="0" borderId="2" xfId="0" applyBorder="1"/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vertical="center"/>
    </xf>
    <xf numFmtId="43" fontId="0" fillId="0" borderId="0" xfId="1" applyFont="1"/>
    <xf numFmtId="0" fontId="8" fillId="0" borderId="0" xfId="0" applyFont="1"/>
    <xf numFmtId="0" fontId="8" fillId="0" borderId="2" xfId="0" applyFont="1" applyBorder="1"/>
    <xf numFmtId="0" fontId="0" fillId="0" borderId="0" xfId="0" applyAlignment="1">
      <alignment horizontal="left" vertical="top" wrapText="1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GNP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Retail!$D$2:$D$41</c:f>
              <c:numCache>
                <c:formatCode>0.000</c:formatCode>
                <c:ptCount val="40"/>
                <c:pt idx="0">
                  <c:v>15285.828</c:v>
                </c:pt>
                <c:pt idx="1">
                  <c:v>15496.189</c:v>
                </c:pt>
                <c:pt idx="2">
                  <c:v>15591.85</c:v>
                </c:pt>
                <c:pt idx="3">
                  <c:v>15796.46</c:v>
                </c:pt>
                <c:pt idx="4">
                  <c:v>16019.758</c:v>
                </c:pt>
                <c:pt idx="5">
                  <c:v>16152.257</c:v>
                </c:pt>
                <c:pt idx="6">
                  <c:v>16257.151</c:v>
                </c:pt>
                <c:pt idx="7">
                  <c:v>16358.862999999999</c:v>
                </c:pt>
                <c:pt idx="8">
                  <c:v>16569.591</c:v>
                </c:pt>
                <c:pt idx="9">
                  <c:v>16637.925999999999</c:v>
                </c:pt>
                <c:pt idx="10">
                  <c:v>16848.748</c:v>
                </c:pt>
                <c:pt idx="11">
                  <c:v>17083.136999999999</c:v>
                </c:pt>
                <c:pt idx="12">
                  <c:v>17104.555</c:v>
                </c:pt>
                <c:pt idx="13">
                  <c:v>17432.909</c:v>
                </c:pt>
                <c:pt idx="14">
                  <c:v>17721.656999999999</c:v>
                </c:pt>
                <c:pt idx="15">
                  <c:v>17849.912</c:v>
                </c:pt>
                <c:pt idx="16">
                  <c:v>18003.399000000001</c:v>
                </c:pt>
                <c:pt idx="17">
                  <c:v>18223.577000000001</c:v>
                </c:pt>
                <c:pt idx="18">
                  <c:v>18347.424999999999</c:v>
                </c:pt>
                <c:pt idx="19">
                  <c:v>18378.803</c:v>
                </c:pt>
                <c:pt idx="20">
                  <c:v>18470.155999999999</c:v>
                </c:pt>
                <c:pt idx="21">
                  <c:v>18656.206999999999</c:v>
                </c:pt>
                <c:pt idx="22">
                  <c:v>18821.359</c:v>
                </c:pt>
                <c:pt idx="23">
                  <c:v>19032.580000000002</c:v>
                </c:pt>
                <c:pt idx="24">
                  <c:v>19237.435000000001</c:v>
                </c:pt>
                <c:pt idx="25">
                  <c:v>19379.232</c:v>
                </c:pt>
                <c:pt idx="26">
                  <c:v>19617.288</c:v>
                </c:pt>
                <c:pt idx="27">
                  <c:v>19937.963</c:v>
                </c:pt>
                <c:pt idx="28">
                  <c:v>20242.215</c:v>
                </c:pt>
                <c:pt idx="29">
                  <c:v>20552.652999999998</c:v>
                </c:pt>
                <c:pt idx="30">
                  <c:v>20742.723000000002</c:v>
                </c:pt>
                <c:pt idx="31">
                  <c:v>20909.852999999999</c:v>
                </c:pt>
                <c:pt idx="32">
                  <c:v>21115.309000000001</c:v>
                </c:pt>
                <c:pt idx="33">
                  <c:v>21329.877</c:v>
                </c:pt>
                <c:pt idx="34">
                  <c:v>21540.325000000001</c:v>
                </c:pt>
                <c:pt idx="35">
                  <c:v>21747.394</c:v>
                </c:pt>
                <c:pt idx="36">
                  <c:v>21561.138999999999</c:v>
                </c:pt>
                <c:pt idx="37">
                  <c:v>19520.114000000001</c:v>
                </c:pt>
                <c:pt idx="38">
                  <c:v>21170.252</c:v>
                </c:pt>
                <c:pt idx="39">
                  <c:v>21487.896000000001</c:v>
                </c:pt>
              </c:numCache>
            </c:numRef>
          </c:xVal>
          <c:yVal>
            <c:numRef>
              <c:f>Retail!$K$31:$K$70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E-9147-BA06-4F916D1CF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040223"/>
        <c:axId val="1382367375"/>
      </c:scatterChart>
      <c:valAx>
        <c:axId val="1383040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GNP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382367375"/>
        <c:crosses val="autoZero"/>
        <c:crossBetween val="midCat"/>
      </c:valAx>
      <c:valAx>
        <c:axId val="13823673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304022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Retail!$E$2:$E$41</c:f>
              <c:numCache>
                <c:formatCode>General</c:formatCode>
                <c:ptCount val="4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Retail!$K$31:$K$70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83-CD4D-AF2A-9D2583D6A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948064"/>
        <c:axId val="1374381903"/>
      </c:scatterChart>
      <c:valAx>
        <c:axId val="168394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381903"/>
        <c:crosses val="autoZero"/>
        <c:crossBetween val="midCat"/>
      </c:valAx>
      <c:valAx>
        <c:axId val="13743819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394806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Retail!$F$2:$F$41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Retail!$K$31:$K$70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23-D442-876E-60881723E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441087"/>
        <c:axId val="1374434911"/>
      </c:scatterChart>
      <c:valAx>
        <c:axId val="1547441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434911"/>
        <c:crosses val="autoZero"/>
        <c:crossBetween val="midCat"/>
      </c:valAx>
      <c:valAx>
        <c:axId val="13744349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744108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Retail!$G$2:$G$41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</c:numCache>
            </c:numRef>
          </c:xVal>
          <c:yVal>
            <c:numRef>
              <c:f>Retail!$K$31:$K$70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F0-3843-9EB7-08934A37C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832816"/>
        <c:axId val="132528272"/>
      </c:scatterChart>
      <c:valAx>
        <c:axId val="1173832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528272"/>
        <c:crosses val="autoZero"/>
        <c:crossBetween val="midCat"/>
      </c:valAx>
      <c:valAx>
        <c:axId val="132528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38328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GNP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Retail!$D$2:$D$41</c:f>
              <c:numCache>
                <c:formatCode>0.000</c:formatCode>
                <c:ptCount val="40"/>
                <c:pt idx="0">
                  <c:v>15285.828</c:v>
                </c:pt>
                <c:pt idx="1">
                  <c:v>15496.189</c:v>
                </c:pt>
                <c:pt idx="2">
                  <c:v>15591.85</c:v>
                </c:pt>
                <c:pt idx="3">
                  <c:v>15796.46</c:v>
                </c:pt>
                <c:pt idx="4">
                  <c:v>16019.758</c:v>
                </c:pt>
                <c:pt idx="5">
                  <c:v>16152.257</c:v>
                </c:pt>
                <c:pt idx="6">
                  <c:v>16257.151</c:v>
                </c:pt>
                <c:pt idx="7">
                  <c:v>16358.862999999999</c:v>
                </c:pt>
                <c:pt idx="8">
                  <c:v>16569.591</c:v>
                </c:pt>
                <c:pt idx="9">
                  <c:v>16637.925999999999</c:v>
                </c:pt>
                <c:pt idx="10">
                  <c:v>16848.748</c:v>
                </c:pt>
                <c:pt idx="11">
                  <c:v>17083.136999999999</c:v>
                </c:pt>
                <c:pt idx="12">
                  <c:v>17104.555</c:v>
                </c:pt>
                <c:pt idx="13">
                  <c:v>17432.909</c:v>
                </c:pt>
                <c:pt idx="14">
                  <c:v>17721.656999999999</c:v>
                </c:pt>
                <c:pt idx="15">
                  <c:v>17849.912</c:v>
                </c:pt>
                <c:pt idx="16">
                  <c:v>18003.399000000001</c:v>
                </c:pt>
                <c:pt idx="17">
                  <c:v>18223.577000000001</c:v>
                </c:pt>
                <c:pt idx="18">
                  <c:v>18347.424999999999</c:v>
                </c:pt>
                <c:pt idx="19">
                  <c:v>18378.803</c:v>
                </c:pt>
                <c:pt idx="20">
                  <c:v>18470.155999999999</c:v>
                </c:pt>
                <c:pt idx="21">
                  <c:v>18656.206999999999</c:v>
                </c:pt>
                <c:pt idx="22">
                  <c:v>18821.359</c:v>
                </c:pt>
                <c:pt idx="23">
                  <c:v>19032.580000000002</c:v>
                </c:pt>
                <c:pt idx="24">
                  <c:v>19237.435000000001</c:v>
                </c:pt>
                <c:pt idx="25">
                  <c:v>19379.232</c:v>
                </c:pt>
                <c:pt idx="26">
                  <c:v>19617.288</c:v>
                </c:pt>
                <c:pt idx="27">
                  <c:v>19937.963</c:v>
                </c:pt>
                <c:pt idx="28">
                  <c:v>20242.215</c:v>
                </c:pt>
                <c:pt idx="29">
                  <c:v>20552.652999999998</c:v>
                </c:pt>
                <c:pt idx="30">
                  <c:v>20742.723000000002</c:v>
                </c:pt>
                <c:pt idx="31">
                  <c:v>20909.852999999999</c:v>
                </c:pt>
                <c:pt idx="32">
                  <c:v>21115.309000000001</c:v>
                </c:pt>
                <c:pt idx="33">
                  <c:v>21329.877</c:v>
                </c:pt>
                <c:pt idx="34">
                  <c:v>21540.325000000001</c:v>
                </c:pt>
                <c:pt idx="35">
                  <c:v>21747.394</c:v>
                </c:pt>
                <c:pt idx="36">
                  <c:v>21561.138999999999</c:v>
                </c:pt>
                <c:pt idx="37">
                  <c:v>19520.114000000001</c:v>
                </c:pt>
                <c:pt idx="38">
                  <c:v>21170.252</c:v>
                </c:pt>
                <c:pt idx="39">
                  <c:v>21487.896000000001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41-554B-889A-CA0CD7407B3A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Retail!$D$2:$D$41</c:f>
              <c:numCache>
                <c:formatCode>0.000</c:formatCode>
                <c:ptCount val="40"/>
                <c:pt idx="0">
                  <c:v>15285.828</c:v>
                </c:pt>
                <c:pt idx="1">
                  <c:v>15496.189</c:v>
                </c:pt>
                <c:pt idx="2">
                  <c:v>15591.85</c:v>
                </c:pt>
                <c:pt idx="3">
                  <c:v>15796.46</c:v>
                </c:pt>
                <c:pt idx="4">
                  <c:v>16019.758</c:v>
                </c:pt>
                <c:pt idx="5">
                  <c:v>16152.257</c:v>
                </c:pt>
                <c:pt idx="6">
                  <c:v>16257.151</c:v>
                </c:pt>
                <c:pt idx="7">
                  <c:v>16358.862999999999</c:v>
                </c:pt>
                <c:pt idx="8">
                  <c:v>16569.591</c:v>
                </c:pt>
                <c:pt idx="9">
                  <c:v>16637.925999999999</c:v>
                </c:pt>
                <c:pt idx="10">
                  <c:v>16848.748</c:v>
                </c:pt>
                <c:pt idx="11">
                  <c:v>17083.136999999999</c:v>
                </c:pt>
                <c:pt idx="12">
                  <c:v>17104.555</c:v>
                </c:pt>
                <c:pt idx="13">
                  <c:v>17432.909</c:v>
                </c:pt>
                <c:pt idx="14">
                  <c:v>17721.656999999999</c:v>
                </c:pt>
                <c:pt idx="15">
                  <c:v>17849.912</c:v>
                </c:pt>
                <c:pt idx="16">
                  <c:v>18003.399000000001</c:v>
                </c:pt>
                <c:pt idx="17">
                  <c:v>18223.577000000001</c:v>
                </c:pt>
                <c:pt idx="18">
                  <c:v>18347.424999999999</c:v>
                </c:pt>
                <c:pt idx="19">
                  <c:v>18378.803</c:v>
                </c:pt>
                <c:pt idx="20">
                  <c:v>18470.155999999999</c:v>
                </c:pt>
                <c:pt idx="21">
                  <c:v>18656.206999999999</c:v>
                </c:pt>
                <c:pt idx="22">
                  <c:v>18821.359</c:v>
                </c:pt>
                <c:pt idx="23">
                  <c:v>19032.580000000002</c:v>
                </c:pt>
                <c:pt idx="24">
                  <c:v>19237.435000000001</c:v>
                </c:pt>
                <c:pt idx="25">
                  <c:v>19379.232</c:v>
                </c:pt>
                <c:pt idx="26">
                  <c:v>19617.288</c:v>
                </c:pt>
                <c:pt idx="27">
                  <c:v>19937.963</c:v>
                </c:pt>
                <c:pt idx="28">
                  <c:v>20242.215</c:v>
                </c:pt>
                <c:pt idx="29">
                  <c:v>20552.652999999998</c:v>
                </c:pt>
                <c:pt idx="30">
                  <c:v>20742.723000000002</c:v>
                </c:pt>
                <c:pt idx="31">
                  <c:v>20909.852999999999</c:v>
                </c:pt>
                <c:pt idx="32">
                  <c:v>21115.309000000001</c:v>
                </c:pt>
                <c:pt idx="33">
                  <c:v>21329.877</c:v>
                </c:pt>
                <c:pt idx="34">
                  <c:v>21540.325000000001</c:v>
                </c:pt>
                <c:pt idx="35">
                  <c:v>21747.394</c:v>
                </c:pt>
                <c:pt idx="36">
                  <c:v>21561.138999999999</c:v>
                </c:pt>
                <c:pt idx="37">
                  <c:v>19520.114000000001</c:v>
                </c:pt>
                <c:pt idx="38">
                  <c:v>21170.252</c:v>
                </c:pt>
                <c:pt idx="39">
                  <c:v>21487.896000000001</c:v>
                </c:pt>
              </c:numCache>
            </c:numRef>
          </c:xVal>
          <c:yVal>
            <c:numRef>
              <c:f>Retail!$J$31:$J$70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41-554B-889A-CA0CD7407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459504"/>
        <c:axId val="360280831"/>
      </c:scatterChart>
      <c:valAx>
        <c:axId val="168445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GNP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360280831"/>
        <c:crosses val="autoZero"/>
        <c:crossBetween val="midCat"/>
      </c:valAx>
      <c:valAx>
        <c:axId val="3602808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459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Retail!$E$2:$E$41</c:f>
              <c:numCache>
                <c:formatCode>General</c:formatCode>
                <c:ptCount val="4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CB-F546-8020-0BF03C2533EF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Retail!$E$2:$E$41</c:f>
              <c:numCache>
                <c:formatCode>General</c:formatCode>
                <c:ptCount val="4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Retail!$J$31:$J$70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CB-F546-8020-0BF03C253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620559"/>
        <c:axId val="1374246479"/>
      </c:scatterChart>
      <c:valAx>
        <c:axId val="1374620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246479"/>
        <c:crosses val="autoZero"/>
        <c:crossBetween val="midCat"/>
      </c:valAx>
      <c:valAx>
        <c:axId val="1374246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620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Retail!$F$2:$F$41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F0-8B4B-87CB-434F29E32B9E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Retail!$F$2:$F$41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Retail!$J$31:$J$70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F0-8B4B-87CB-434F29E32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236255"/>
        <c:axId val="293357888"/>
      </c:scatterChart>
      <c:valAx>
        <c:axId val="1548236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3357888"/>
        <c:crosses val="autoZero"/>
        <c:crossBetween val="midCat"/>
      </c:valAx>
      <c:valAx>
        <c:axId val="29335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82362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d3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Retail!$G$2:$G$41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5E-F04B-83D8-B82907201EA8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Retail!$G$2:$G$41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</c:numCache>
            </c:numRef>
          </c:xVal>
          <c:yVal>
            <c:numRef>
              <c:f>Retail!$J$31:$J$70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5E-F04B-83D8-B82907201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463280"/>
        <c:axId val="132269456"/>
      </c:scatterChart>
      <c:valAx>
        <c:axId val="168146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269456"/>
        <c:crosses val="autoZero"/>
        <c:crossBetween val="midCat"/>
      </c:valAx>
      <c:valAx>
        <c:axId val="132269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14632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sz="1200" b="0" i="0" u="none" strike="noStrike" baseline="0"/>
              <a:t>Plot the regressed value against the retail sales value</a:t>
            </a:r>
            <a:endParaRPr lang="th-TH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Retail!$E$82:$E$121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xVal>
          <c:yVal>
            <c:numRef>
              <c:f>Retail!$F$82:$F$121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97-5E44-9167-36B5FD53D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996511"/>
        <c:axId val="1963143439"/>
      </c:scatterChart>
      <c:valAx>
        <c:axId val="359996511"/>
        <c:scaling>
          <c:orientation val="minMax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963143439"/>
        <c:crosses val="autoZero"/>
        <c:crossBetween val="midCat"/>
      </c:valAx>
      <c:valAx>
        <c:axId val="1963143439"/>
        <c:scaling>
          <c:orientation val="minMax"/>
          <c:min val="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35999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/>
              <a:t>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Retail!$F$82:$F$121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xVal>
          <c:yVal>
            <c:numRef>
              <c:f>Retail!$G$82:$G$121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BE-5945-8854-AC6ECA84D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481647"/>
        <c:axId val="1773936815"/>
      </c:scatterChart>
      <c:valAx>
        <c:axId val="1547481647"/>
        <c:scaling>
          <c:orientation val="minMax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773936815"/>
        <c:crosses val="autoZero"/>
        <c:crossBetween val="midCat"/>
      </c:valAx>
      <c:valAx>
        <c:axId val="177393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4748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441240</xdr:colOff>
      <xdr:row>12</xdr:row>
      <xdr:rowOff>194534</xdr:rowOff>
    </xdr:from>
    <xdr:to>
      <xdr:col>24</xdr:col>
      <xdr:colOff>441240</xdr:colOff>
      <xdr:row>23</xdr:row>
      <xdr:rowOff>5268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ADFFE697-60D7-B54B-89AD-7247EC707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668702</xdr:colOff>
      <xdr:row>12</xdr:row>
      <xdr:rowOff>194822</xdr:rowOff>
    </xdr:from>
    <xdr:to>
      <xdr:col>30</xdr:col>
      <xdr:colOff>668702</xdr:colOff>
      <xdr:row>22</xdr:row>
      <xdr:rowOff>184374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3DE2F2C9-B9B1-0C4D-A8C1-C83819940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460195</xdr:colOff>
      <xdr:row>24</xdr:row>
      <xdr:rowOff>147829</xdr:rowOff>
    </xdr:from>
    <xdr:to>
      <xdr:col>24</xdr:col>
      <xdr:colOff>460196</xdr:colOff>
      <xdr:row>35</xdr:row>
      <xdr:rowOff>20607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351DA0DD-3CE7-9F44-B228-D83C96C13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668702</xdr:colOff>
      <xdr:row>24</xdr:row>
      <xdr:rowOff>175580</xdr:rowOff>
    </xdr:from>
    <xdr:to>
      <xdr:col>30</xdr:col>
      <xdr:colOff>668702</xdr:colOff>
      <xdr:row>35</xdr:row>
      <xdr:rowOff>43179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B9E017DE-C842-664F-9442-BC7899A46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422284</xdr:colOff>
      <xdr:row>37</xdr:row>
      <xdr:rowOff>14066</xdr:rowOff>
    </xdr:from>
    <xdr:to>
      <xdr:col>24</xdr:col>
      <xdr:colOff>422285</xdr:colOff>
      <xdr:row>47</xdr:row>
      <xdr:rowOff>61848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FB03CDC9-02C2-C940-94DE-5C3291E65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668703</xdr:colOff>
      <xdr:row>37</xdr:row>
      <xdr:rowOff>5270</xdr:rowOff>
    </xdr:from>
    <xdr:to>
      <xdr:col>30</xdr:col>
      <xdr:colOff>668703</xdr:colOff>
      <xdr:row>47</xdr:row>
      <xdr:rowOff>49436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7DDB3655-7BA8-9A4F-9BD4-3E555DD5A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422285</xdr:colOff>
      <xdr:row>48</xdr:row>
      <xdr:rowOff>165419</xdr:rowOff>
    </xdr:from>
    <xdr:to>
      <xdr:col>24</xdr:col>
      <xdr:colOff>422286</xdr:colOff>
      <xdr:row>59</xdr:row>
      <xdr:rowOff>24225</xdr:rowOff>
    </xdr:to>
    <xdr:graphicFrame macro="">
      <xdr:nvGraphicFramePr>
        <xdr:cNvPr id="8" name="แผนภูมิ 7">
          <a:extLst>
            <a:ext uri="{FF2B5EF4-FFF2-40B4-BE49-F238E27FC236}">
              <a16:creationId xmlns:a16="http://schemas.microsoft.com/office/drawing/2014/main" id="{5FA873E0-1A71-364D-973F-133A01581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62135</xdr:colOff>
      <xdr:row>49</xdr:row>
      <xdr:rowOff>58518</xdr:rowOff>
    </xdr:from>
    <xdr:to>
      <xdr:col>31</xdr:col>
      <xdr:colOff>62135</xdr:colOff>
      <xdr:row>59</xdr:row>
      <xdr:rowOff>80803</xdr:rowOff>
    </xdr:to>
    <xdr:graphicFrame macro="">
      <xdr:nvGraphicFramePr>
        <xdr:cNvPr id="9" name="แผนภูมิ 8">
          <a:extLst>
            <a:ext uri="{FF2B5EF4-FFF2-40B4-BE49-F238E27FC236}">
              <a16:creationId xmlns:a16="http://schemas.microsoft.com/office/drawing/2014/main" id="{18981E47-B455-3846-AF60-970760869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486833</xdr:colOff>
      <xdr:row>81</xdr:row>
      <xdr:rowOff>173566</xdr:rowOff>
    </xdr:from>
    <xdr:to>
      <xdr:col>12</xdr:col>
      <xdr:colOff>444500</xdr:colOff>
      <xdr:row>97</xdr:row>
      <xdr:rowOff>71966</xdr:rowOff>
    </xdr:to>
    <xdr:graphicFrame macro="">
      <xdr:nvGraphicFramePr>
        <xdr:cNvPr id="10" name="แผนภูมิ 9">
          <a:extLst>
            <a:ext uri="{FF2B5EF4-FFF2-40B4-BE49-F238E27FC236}">
              <a16:creationId xmlns:a16="http://schemas.microsoft.com/office/drawing/2014/main" id="{A21EAD97-217C-8B4A-A971-5BF2E660C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468980</xdr:colOff>
      <xdr:row>101</xdr:row>
      <xdr:rowOff>12423</xdr:rowOff>
    </xdr:from>
    <xdr:to>
      <xdr:col>12</xdr:col>
      <xdr:colOff>443580</xdr:colOff>
      <xdr:row>116</xdr:row>
      <xdr:rowOff>88623</xdr:rowOff>
    </xdr:to>
    <xdr:graphicFrame macro="">
      <xdr:nvGraphicFramePr>
        <xdr:cNvPr id="11" name="แผนภูมิ 10">
          <a:extLst>
            <a:ext uri="{FF2B5EF4-FFF2-40B4-BE49-F238E27FC236}">
              <a16:creationId xmlns:a16="http://schemas.microsoft.com/office/drawing/2014/main" id="{4C0C8F23-E1E5-CF45-BFA8-02EBCED53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4BB0E-77B2-0C48-90FD-F012CCCE0E01}">
  <dimension ref="A1:Q129"/>
  <sheetViews>
    <sheetView tabSelected="1" zoomScale="125" zoomScaleNormal="150" workbookViewId="0">
      <selection activeCell="H57" sqref="H57"/>
    </sheetView>
  </sheetViews>
  <sheetFormatPr defaultColWidth="8.875" defaultRowHeight="14.1"/>
  <cols>
    <col min="1" max="2" width="9.375" style="1" bestFit="1" customWidth="1"/>
    <col min="3" max="3" width="11.125" style="1" customWidth="1"/>
    <col min="4" max="4" width="11.625" style="1" customWidth="1"/>
    <col min="5" max="5" width="9.375" bestFit="1" customWidth="1"/>
    <col min="6" max="6" width="12.125" bestFit="1" customWidth="1"/>
    <col min="7" max="7" width="11.625" customWidth="1"/>
    <col min="8" max="8" width="12.5" customWidth="1"/>
    <col min="9" max="9" width="9.125" bestFit="1" customWidth="1"/>
    <col min="10" max="10" width="16.125" bestFit="1" customWidth="1"/>
    <col min="11" max="11" width="17.5" bestFit="1" customWidth="1"/>
    <col min="12" max="12" width="12.875" customWidth="1"/>
    <col min="13" max="13" width="9.125" bestFit="1" customWidth="1"/>
    <col min="14" max="17" width="14.125" bestFit="1" customWidth="1"/>
  </cols>
  <sheetData>
    <row r="1" spans="1:14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4">
      <c r="A2" s="1">
        <v>2011</v>
      </c>
      <c r="B2" s="1">
        <v>1</v>
      </c>
      <c r="C2" s="4">
        <v>1059989</v>
      </c>
      <c r="D2" s="5">
        <v>15285.828</v>
      </c>
      <c r="E2">
        <f>IF($B2=1,1,0)</f>
        <v>1</v>
      </c>
      <c r="F2">
        <f>IF($B2=2,1,0)</f>
        <v>0</v>
      </c>
      <c r="G2">
        <f>IF($B2=3,1,0)</f>
        <v>0</v>
      </c>
      <c r="H2" s="6"/>
    </row>
    <row r="3" spans="1:14">
      <c r="A3" s="1">
        <v>2011</v>
      </c>
      <c r="B3" s="1">
        <v>2</v>
      </c>
      <c r="C3" s="4">
        <v>1161474</v>
      </c>
      <c r="D3" s="5">
        <v>15496.189</v>
      </c>
      <c r="E3">
        <f t="shared" ref="E3:E41" si="0">IF($B3=1,1,0)</f>
        <v>0</v>
      </c>
      <c r="F3">
        <f t="shared" ref="F3:F41" si="1">IF($B3=2,1,0)</f>
        <v>1</v>
      </c>
      <c r="G3">
        <f t="shared" ref="G3:G41" si="2">IF($B3=3,1,0)</f>
        <v>0</v>
      </c>
      <c r="I3" s="7" t="s">
        <v>7</v>
      </c>
    </row>
    <row r="4" spans="1:14">
      <c r="A4" s="1">
        <v>2011</v>
      </c>
      <c r="B4" s="1">
        <v>3</v>
      </c>
      <c r="C4" s="4">
        <v>1167991</v>
      </c>
      <c r="D4" s="5">
        <v>15591.85</v>
      </c>
      <c r="E4">
        <f t="shared" si="0"/>
        <v>0</v>
      </c>
      <c r="F4">
        <f t="shared" si="1"/>
        <v>0</v>
      </c>
      <c r="G4">
        <f t="shared" si="2"/>
        <v>1</v>
      </c>
      <c r="I4" t="s">
        <v>8</v>
      </c>
    </row>
    <row r="5" spans="1:14" ht="15" thickBot="1">
      <c r="A5" s="1">
        <v>2011</v>
      </c>
      <c r="B5" s="1">
        <v>4</v>
      </c>
      <c r="C5" s="4">
        <v>1222523</v>
      </c>
      <c r="D5" s="5">
        <v>15796.46</v>
      </c>
      <c r="E5">
        <f t="shared" si="0"/>
        <v>0</v>
      </c>
      <c r="F5">
        <f t="shared" si="1"/>
        <v>0</v>
      </c>
      <c r="G5">
        <f t="shared" si="2"/>
        <v>0</v>
      </c>
    </row>
    <row r="6" spans="1:14">
      <c r="A6" s="1">
        <v>2012</v>
      </c>
      <c r="B6" s="1">
        <v>1</v>
      </c>
      <c r="C6" s="4">
        <v>1141734</v>
      </c>
      <c r="D6" s="5">
        <v>16019.758</v>
      </c>
      <c r="E6">
        <f t="shared" si="0"/>
        <v>1</v>
      </c>
      <c r="F6">
        <f t="shared" si="1"/>
        <v>0</v>
      </c>
      <c r="G6">
        <f t="shared" si="2"/>
        <v>0</v>
      </c>
      <c r="I6" s="8" t="s">
        <v>9</v>
      </c>
      <c r="J6" s="8"/>
    </row>
    <row r="7" spans="1:14">
      <c r="A7" s="1">
        <v>2012</v>
      </c>
      <c r="B7" s="1">
        <v>2</v>
      </c>
      <c r="C7" s="4">
        <v>1212532</v>
      </c>
      <c r="D7" s="5">
        <v>16152.257</v>
      </c>
      <c r="E7">
        <f t="shared" si="0"/>
        <v>0</v>
      </c>
      <c r="F7">
        <f t="shared" si="1"/>
        <v>1</v>
      </c>
      <c r="G7">
        <f t="shared" si="2"/>
        <v>0</v>
      </c>
      <c r="I7" s="14" t="s">
        <v>10</v>
      </c>
      <c r="J7">
        <v>0.98957359428003744</v>
      </c>
    </row>
    <row r="8" spans="1:14">
      <c r="A8" s="1">
        <v>2012</v>
      </c>
      <c r="B8" s="1">
        <v>3</v>
      </c>
      <c r="C8" s="4">
        <v>1214923</v>
      </c>
      <c r="D8" s="5">
        <v>16257.151</v>
      </c>
      <c r="E8">
        <f t="shared" si="0"/>
        <v>0</v>
      </c>
      <c r="F8">
        <f t="shared" si="1"/>
        <v>0</v>
      </c>
      <c r="G8">
        <f t="shared" si="2"/>
        <v>1</v>
      </c>
      <c r="I8" s="14" t="s">
        <v>11</v>
      </c>
      <c r="J8">
        <v>0.97925589849631212</v>
      </c>
    </row>
    <row r="9" spans="1:14">
      <c r="A9" s="1">
        <v>2012</v>
      </c>
      <c r="B9" s="1">
        <v>4</v>
      </c>
      <c r="C9" s="4">
        <v>1272567</v>
      </c>
      <c r="D9" s="5">
        <v>16358.862999999999</v>
      </c>
      <c r="E9">
        <f t="shared" si="0"/>
        <v>0</v>
      </c>
      <c r="F9">
        <f t="shared" si="1"/>
        <v>0</v>
      </c>
      <c r="G9">
        <f t="shared" si="2"/>
        <v>0</v>
      </c>
      <c r="I9" s="14" t="s">
        <v>12</v>
      </c>
      <c r="J9">
        <v>0.97688514403874771</v>
      </c>
    </row>
    <row r="10" spans="1:14">
      <c r="A10" s="1">
        <v>2013</v>
      </c>
      <c r="B10" s="1">
        <v>1</v>
      </c>
      <c r="C10" s="9">
        <v>1171293</v>
      </c>
      <c r="D10" s="5">
        <v>16569.591</v>
      </c>
      <c r="E10">
        <f t="shared" si="0"/>
        <v>1</v>
      </c>
      <c r="F10">
        <f t="shared" si="1"/>
        <v>0</v>
      </c>
      <c r="G10">
        <f t="shared" si="2"/>
        <v>0</v>
      </c>
      <c r="I10" s="14" t="s">
        <v>13</v>
      </c>
      <c r="J10">
        <v>23982.155995056219</v>
      </c>
    </row>
    <row r="11" spans="1:14" ht="15" thickBot="1">
      <c r="A11" s="1">
        <v>2013</v>
      </c>
      <c r="B11" s="1">
        <v>2</v>
      </c>
      <c r="C11" s="9">
        <v>1260446</v>
      </c>
      <c r="D11" s="5">
        <v>16637.925999999999</v>
      </c>
      <c r="E11">
        <f t="shared" si="0"/>
        <v>0</v>
      </c>
      <c r="F11">
        <f t="shared" si="1"/>
        <v>1</v>
      </c>
      <c r="G11">
        <f t="shared" si="2"/>
        <v>0</v>
      </c>
      <c r="I11" s="15" t="s">
        <v>14</v>
      </c>
      <c r="J11" s="10">
        <v>40</v>
      </c>
    </row>
    <row r="12" spans="1:14">
      <c r="A12" s="1">
        <v>2013</v>
      </c>
      <c r="B12" s="1">
        <v>3</v>
      </c>
      <c r="C12" s="9">
        <v>1272129</v>
      </c>
      <c r="D12" s="5">
        <v>16848.748</v>
      </c>
      <c r="E12">
        <f t="shared" si="0"/>
        <v>0</v>
      </c>
      <c r="F12">
        <f t="shared" si="1"/>
        <v>0</v>
      </c>
      <c r="G12">
        <f t="shared" si="2"/>
        <v>1</v>
      </c>
    </row>
    <row r="13" spans="1:14" ht="15" thickBot="1">
      <c r="A13" s="1">
        <v>2013</v>
      </c>
      <c r="B13" s="1">
        <v>4</v>
      </c>
      <c r="C13" s="9">
        <v>1316396</v>
      </c>
      <c r="D13" s="5">
        <v>17083.136999999999</v>
      </c>
      <c r="E13">
        <f t="shared" si="0"/>
        <v>0</v>
      </c>
      <c r="F13">
        <f t="shared" si="1"/>
        <v>0</v>
      </c>
      <c r="G13">
        <f t="shared" si="2"/>
        <v>0</v>
      </c>
      <c r="I13" t="s">
        <v>15</v>
      </c>
    </row>
    <row r="14" spans="1:14">
      <c r="A14" s="1">
        <v>2014</v>
      </c>
      <c r="B14" s="1">
        <v>1</v>
      </c>
      <c r="C14" s="9">
        <v>1195724</v>
      </c>
      <c r="D14" s="5">
        <v>17104.555</v>
      </c>
      <c r="E14">
        <f t="shared" si="0"/>
        <v>1</v>
      </c>
      <c r="F14">
        <f t="shared" si="1"/>
        <v>0</v>
      </c>
      <c r="G14">
        <f t="shared" si="2"/>
        <v>0</v>
      </c>
      <c r="I14" s="11"/>
      <c r="J14" s="11" t="s">
        <v>16</v>
      </c>
      <c r="K14" s="11" t="s">
        <v>17</v>
      </c>
      <c r="L14" s="11" t="s">
        <v>18</v>
      </c>
      <c r="M14" s="11" t="s">
        <v>19</v>
      </c>
      <c r="N14" s="11" t="s">
        <v>20</v>
      </c>
    </row>
    <row r="15" spans="1:14">
      <c r="A15" s="1">
        <v>2014</v>
      </c>
      <c r="B15" s="1">
        <v>2</v>
      </c>
      <c r="C15" s="9">
        <v>1323909</v>
      </c>
      <c r="D15" s="5">
        <v>17432.909</v>
      </c>
      <c r="E15">
        <f t="shared" si="0"/>
        <v>0</v>
      </c>
      <c r="F15">
        <f t="shared" si="1"/>
        <v>1</v>
      </c>
      <c r="G15">
        <f t="shared" si="2"/>
        <v>0</v>
      </c>
      <c r="I15" s="14" t="s">
        <v>21</v>
      </c>
      <c r="J15">
        <v>4</v>
      </c>
      <c r="K15">
        <v>950267899536.78259</v>
      </c>
      <c r="L15">
        <v>237566974884.19565</v>
      </c>
      <c r="M15">
        <v>413.05665180627159</v>
      </c>
      <c r="N15">
        <v>6.3711955652455254E-29</v>
      </c>
    </row>
    <row r="16" spans="1:14">
      <c r="A16" s="1">
        <v>2014</v>
      </c>
      <c r="B16" s="1">
        <v>3</v>
      </c>
      <c r="C16" s="9">
        <v>1327929</v>
      </c>
      <c r="D16" s="5">
        <v>17721.656999999999</v>
      </c>
      <c r="E16">
        <f t="shared" si="0"/>
        <v>0</v>
      </c>
      <c r="F16">
        <f t="shared" si="1"/>
        <v>0</v>
      </c>
      <c r="G16">
        <f t="shared" si="2"/>
        <v>1</v>
      </c>
      <c r="I16" s="14" t="s">
        <v>22</v>
      </c>
      <c r="J16">
        <v>35</v>
      </c>
      <c r="K16">
        <v>20130033215.992386</v>
      </c>
      <c r="L16">
        <v>575143806.171211</v>
      </c>
    </row>
    <row r="17" spans="1:17" ht="15" thickBot="1">
      <c r="A17" s="1">
        <v>2014</v>
      </c>
      <c r="B17" s="1">
        <v>4</v>
      </c>
      <c r="C17" s="9">
        <v>1379952</v>
      </c>
      <c r="D17" s="5">
        <v>17849.912</v>
      </c>
      <c r="E17">
        <f t="shared" si="0"/>
        <v>0</v>
      </c>
      <c r="F17">
        <f t="shared" si="1"/>
        <v>0</v>
      </c>
      <c r="G17">
        <f t="shared" si="2"/>
        <v>0</v>
      </c>
      <c r="I17" s="15" t="s">
        <v>23</v>
      </c>
      <c r="J17" s="10">
        <v>39</v>
      </c>
      <c r="K17" s="10">
        <v>970397932752.77502</v>
      </c>
      <c r="L17" s="10"/>
      <c r="M17" s="10"/>
      <c r="N17" s="10"/>
    </row>
    <row r="18" spans="1:17" ht="15" thickBot="1">
      <c r="A18" s="1">
        <v>2015</v>
      </c>
      <c r="B18" s="1">
        <v>1</v>
      </c>
      <c r="C18" s="9">
        <v>1232060</v>
      </c>
      <c r="D18" s="5">
        <v>18003.399000000001</v>
      </c>
      <c r="E18">
        <f t="shared" si="0"/>
        <v>1</v>
      </c>
      <c r="F18">
        <f t="shared" si="1"/>
        <v>0</v>
      </c>
      <c r="G18">
        <f t="shared" si="2"/>
        <v>0</v>
      </c>
    </row>
    <row r="19" spans="1:17">
      <c r="A19" s="1">
        <v>2015</v>
      </c>
      <c r="B19" s="1">
        <v>2</v>
      </c>
      <c r="C19" s="9">
        <v>1354216</v>
      </c>
      <c r="D19" s="5">
        <v>18223.577000000001</v>
      </c>
      <c r="E19">
        <f t="shared" si="0"/>
        <v>0</v>
      </c>
      <c r="F19">
        <f t="shared" si="1"/>
        <v>1</v>
      </c>
      <c r="G19">
        <f t="shared" si="2"/>
        <v>0</v>
      </c>
      <c r="I19" s="11"/>
      <c r="J19" s="11" t="s">
        <v>24</v>
      </c>
      <c r="K19" s="11" t="s">
        <v>13</v>
      </c>
      <c r="L19" s="11" t="s">
        <v>25</v>
      </c>
      <c r="M19" s="11" t="s">
        <v>26</v>
      </c>
      <c r="N19" s="11" t="s">
        <v>27</v>
      </c>
      <c r="O19" s="11" t="s">
        <v>28</v>
      </c>
      <c r="P19" s="11" t="s">
        <v>29</v>
      </c>
      <c r="Q19" s="11" t="s">
        <v>30</v>
      </c>
    </row>
    <row r="20" spans="1:17">
      <c r="A20" s="1">
        <v>2015</v>
      </c>
      <c r="B20" s="1">
        <v>3</v>
      </c>
      <c r="C20" s="9">
        <v>1367232</v>
      </c>
      <c r="D20" s="5">
        <v>18347.424999999999</v>
      </c>
      <c r="E20">
        <f t="shared" si="0"/>
        <v>0</v>
      </c>
      <c r="F20">
        <f t="shared" si="1"/>
        <v>0</v>
      </c>
      <c r="G20">
        <f t="shared" si="2"/>
        <v>1</v>
      </c>
      <c r="I20" s="14" t="s">
        <v>31</v>
      </c>
      <c r="J20">
        <v>135609.20012353375</v>
      </c>
      <c r="K20">
        <v>37106.938334853512</v>
      </c>
      <c r="L20">
        <v>3.6545510410962634</v>
      </c>
      <c r="M20">
        <v>8.370658513162844E-4</v>
      </c>
      <c r="N20">
        <v>60278.110416851028</v>
      </c>
      <c r="O20">
        <v>210940.28983021647</v>
      </c>
      <c r="P20">
        <v>60278.110416851028</v>
      </c>
      <c r="Q20">
        <v>210940.28983021647</v>
      </c>
    </row>
    <row r="21" spans="1:17">
      <c r="A21" s="1">
        <v>2015</v>
      </c>
      <c r="B21" s="1">
        <v>4</v>
      </c>
      <c r="C21" s="9">
        <v>1412991</v>
      </c>
      <c r="D21" s="5">
        <v>18378.803</v>
      </c>
      <c r="E21">
        <f t="shared" si="0"/>
        <v>0</v>
      </c>
      <c r="F21">
        <f t="shared" si="1"/>
        <v>0</v>
      </c>
      <c r="G21">
        <f t="shared" si="2"/>
        <v>0</v>
      </c>
      <c r="I21" s="14" t="s">
        <v>3</v>
      </c>
      <c r="J21">
        <v>70.010975168971839</v>
      </c>
      <c r="K21">
        <v>1.9261395395796341</v>
      </c>
      <c r="L21">
        <v>36.347820980950956</v>
      </c>
      <c r="M21">
        <v>2.1771995369086969E-29</v>
      </c>
      <c r="N21">
        <v>66.100704018754755</v>
      </c>
      <c r="O21">
        <v>73.921246319188924</v>
      </c>
      <c r="P21">
        <v>66.100704018754755</v>
      </c>
      <c r="Q21">
        <v>73.921246319188924</v>
      </c>
    </row>
    <row r="22" spans="1:17">
      <c r="A22" s="1">
        <v>2016</v>
      </c>
      <c r="B22" s="1">
        <v>1</v>
      </c>
      <c r="C22" s="9">
        <v>1278391</v>
      </c>
      <c r="D22" s="5">
        <v>18470.155999999999</v>
      </c>
      <c r="E22">
        <f t="shared" si="0"/>
        <v>1</v>
      </c>
      <c r="F22">
        <f t="shared" si="1"/>
        <v>0</v>
      </c>
      <c r="G22">
        <f t="shared" si="2"/>
        <v>0</v>
      </c>
      <c r="I22" s="14" t="s">
        <v>4</v>
      </c>
      <c r="J22">
        <v>-155654.20952605217</v>
      </c>
      <c r="K22">
        <v>10767.843343800641</v>
      </c>
      <c r="L22">
        <v>-14.455467502289286</v>
      </c>
      <c r="M22">
        <v>2.5210674868002376E-16</v>
      </c>
      <c r="N22">
        <v>-177514.09366845954</v>
      </c>
      <c r="O22">
        <v>-133794.32538364481</v>
      </c>
      <c r="P22">
        <v>-177514.09366845954</v>
      </c>
      <c r="Q22">
        <v>-133794.32538364481</v>
      </c>
    </row>
    <row r="23" spans="1:17">
      <c r="A23" s="1">
        <v>2016</v>
      </c>
      <c r="B23" s="1">
        <v>2</v>
      </c>
      <c r="C23" s="9">
        <v>1386918</v>
      </c>
      <c r="D23" s="5">
        <v>18656.206999999999</v>
      </c>
      <c r="E23">
        <f t="shared" si="0"/>
        <v>0</v>
      </c>
      <c r="F23">
        <f t="shared" si="1"/>
        <v>1</v>
      </c>
      <c r="G23">
        <f t="shared" si="2"/>
        <v>0</v>
      </c>
      <c r="I23" s="14" t="s">
        <v>5</v>
      </c>
      <c r="J23">
        <v>-50030.350804902184</v>
      </c>
      <c r="K23">
        <v>10771.847095272053</v>
      </c>
      <c r="L23">
        <v>-4.6445470644362707</v>
      </c>
      <c r="M23">
        <v>4.6715729111604671E-5</v>
      </c>
      <c r="N23">
        <v>-71898.362994914409</v>
      </c>
      <c r="O23">
        <v>-28162.338614889952</v>
      </c>
      <c r="P23">
        <v>-71898.362994914409</v>
      </c>
      <c r="Q23">
        <v>-28162.338614889952</v>
      </c>
    </row>
    <row r="24" spans="1:17" ht="15" thickBot="1">
      <c r="A24" s="1">
        <v>2016</v>
      </c>
      <c r="B24" s="1">
        <v>3</v>
      </c>
      <c r="C24" s="9">
        <v>1399285</v>
      </c>
      <c r="D24" s="5">
        <v>18821.359</v>
      </c>
      <c r="E24">
        <f t="shared" si="0"/>
        <v>0</v>
      </c>
      <c r="F24">
        <f t="shared" si="1"/>
        <v>0</v>
      </c>
      <c r="G24">
        <f t="shared" si="2"/>
        <v>1</v>
      </c>
      <c r="I24" s="15" t="s">
        <v>6</v>
      </c>
      <c r="J24" s="10">
        <v>-45187.907286395952</v>
      </c>
      <c r="K24" s="10">
        <v>10731.547394201223</v>
      </c>
      <c r="L24" s="10">
        <v>-4.2107541090312077</v>
      </c>
      <c r="M24" s="10">
        <v>1.6896591277841921E-4</v>
      </c>
      <c r="N24" s="10">
        <v>-66974.106733758177</v>
      </c>
      <c r="O24" s="10">
        <v>-23401.70783903373</v>
      </c>
      <c r="P24" s="10">
        <v>-66974.106733758177</v>
      </c>
      <c r="Q24" s="10">
        <v>-23401.70783903373</v>
      </c>
    </row>
    <row r="25" spans="1:17">
      <c r="A25" s="1">
        <v>2016</v>
      </c>
      <c r="B25" s="1">
        <v>4</v>
      </c>
      <c r="C25" s="9">
        <v>1461780</v>
      </c>
      <c r="D25" s="5">
        <v>19032.580000000002</v>
      </c>
      <c r="E25">
        <f t="shared" si="0"/>
        <v>0</v>
      </c>
      <c r="F25">
        <f t="shared" si="1"/>
        <v>0</v>
      </c>
      <c r="G25">
        <f t="shared" si="2"/>
        <v>0</v>
      </c>
    </row>
    <row r="26" spans="1:17">
      <c r="A26" s="1">
        <v>2017</v>
      </c>
      <c r="B26" s="1">
        <v>1</v>
      </c>
      <c r="C26" s="9">
        <v>1324253</v>
      </c>
      <c r="D26" s="5">
        <v>19237.435000000001</v>
      </c>
      <c r="E26">
        <f t="shared" si="0"/>
        <v>1</v>
      </c>
      <c r="F26">
        <f t="shared" si="1"/>
        <v>0</v>
      </c>
      <c r="G26">
        <f t="shared" si="2"/>
        <v>0</v>
      </c>
    </row>
    <row r="27" spans="1:17">
      <c r="A27" s="1">
        <v>2017</v>
      </c>
      <c r="B27" s="1">
        <v>2</v>
      </c>
      <c r="C27" s="9">
        <v>1445499</v>
      </c>
      <c r="D27" s="5">
        <v>19379.232</v>
      </c>
      <c r="E27">
        <f t="shared" si="0"/>
        <v>0</v>
      </c>
      <c r="F27">
        <f t="shared" si="1"/>
        <v>1</v>
      </c>
      <c r="G27">
        <f t="shared" si="2"/>
        <v>0</v>
      </c>
    </row>
    <row r="28" spans="1:17">
      <c r="A28" s="1">
        <v>2017</v>
      </c>
      <c r="B28" s="1">
        <v>3</v>
      </c>
      <c r="C28" s="9">
        <v>1451087</v>
      </c>
      <c r="D28" s="5">
        <v>19617.288</v>
      </c>
      <c r="E28">
        <f t="shared" si="0"/>
        <v>0</v>
      </c>
      <c r="F28">
        <f t="shared" si="1"/>
        <v>0</v>
      </c>
      <c r="G28">
        <f t="shared" si="2"/>
        <v>1</v>
      </c>
      <c r="I28" t="s">
        <v>32</v>
      </c>
    </row>
    <row r="29" spans="1:17" ht="15" thickBot="1">
      <c r="A29" s="1">
        <v>2017</v>
      </c>
      <c r="B29" s="1">
        <v>4</v>
      </c>
      <c r="C29" s="9">
        <v>1536250</v>
      </c>
      <c r="D29" s="5">
        <v>19937.963</v>
      </c>
      <c r="E29">
        <f t="shared" si="0"/>
        <v>0</v>
      </c>
      <c r="F29">
        <f t="shared" si="1"/>
        <v>0</v>
      </c>
      <c r="G29">
        <f t="shared" si="2"/>
        <v>0</v>
      </c>
    </row>
    <row r="30" spans="1:17">
      <c r="A30" s="1">
        <v>2018</v>
      </c>
      <c r="B30" s="1">
        <v>1</v>
      </c>
      <c r="C30" s="9">
        <v>1390044</v>
      </c>
      <c r="D30" s="5">
        <v>20242.215</v>
      </c>
      <c r="E30">
        <f t="shared" si="0"/>
        <v>1</v>
      </c>
      <c r="F30">
        <f t="shared" si="1"/>
        <v>0</v>
      </c>
      <c r="G30">
        <f t="shared" si="2"/>
        <v>0</v>
      </c>
      <c r="I30" s="11" t="s">
        <v>33</v>
      </c>
      <c r="J30" s="11" t="s">
        <v>34</v>
      </c>
      <c r="K30" s="11" t="s">
        <v>35</v>
      </c>
    </row>
    <row r="31" spans="1:17">
      <c r="A31" s="1">
        <v>2018</v>
      </c>
      <c r="B31" s="1">
        <v>2</v>
      </c>
      <c r="C31" s="9">
        <v>1519069</v>
      </c>
      <c r="D31" s="5">
        <v>20552.652999999998</v>
      </c>
      <c r="E31">
        <f t="shared" si="0"/>
        <v>0</v>
      </c>
      <c r="F31">
        <f t="shared" si="1"/>
        <v>1</v>
      </c>
      <c r="G31">
        <f t="shared" si="2"/>
        <v>0</v>
      </c>
      <c r="I31">
        <v>1</v>
      </c>
      <c r="J31">
        <v>1050130.7151426559</v>
      </c>
      <c r="K31">
        <v>9858.2848573441152</v>
      </c>
      <c r="L31">
        <f>$J$20+$J$21*D2+$J$22*E2+$J$23*F2+$J$24*G2</f>
        <v>1050130.7151426561</v>
      </c>
    </row>
    <row r="32" spans="1:17">
      <c r="A32" s="1">
        <v>2018</v>
      </c>
      <c r="B32" s="1">
        <v>3</v>
      </c>
      <c r="C32" s="9">
        <v>1536768</v>
      </c>
      <c r="D32" s="5">
        <v>20742.723000000002</v>
      </c>
      <c r="E32">
        <f t="shared" si="0"/>
        <v>0</v>
      </c>
      <c r="F32">
        <f t="shared" si="1"/>
        <v>0</v>
      </c>
      <c r="G32">
        <f t="shared" si="2"/>
        <v>1</v>
      </c>
      <c r="I32">
        <v>2</v>
      </c>
      <c r="J32">
        <v>1170482.1526113262</v>
      </c>
      <c r="K32">
        <v>-9008.1526113261934</v>
      </c>
      <c r="L32">
        <f t="shared" ref="L32:L70" si="3">$J$20+$J$21*D3+$J$22*E3+$J$23*F3+$J$24*G3</f>
        <v>1170482.1526113262</v>
      </c>
    </row>
    <row r="33" spans="1:12">
      <c r="A33" s="1">
        <v>2018</v>
      </c>
      <c r="B33" s="1">
        <v>4</v>
      </c>
      <c r="C33" s="9">
        <v>1585439</v>
      </c>
      <c r="D33" s="5">
        <v>20909.852999999999</v>
      </c>
      <c r="E33">
        <f t="shared" si="0"/>
        <v>0</v>
      </c>
      <c r="F33">
        <f t="shared" si="1"/>
        <v>0</v>
      </c>
      <c r="G33">
        <f t="shared" si="2"/>
        <v>0</v>
      </c>
      <c r="I33">
        <v>3</v>
      </c>
      <c r="J33">
        <v>1182021.9160254714</v>
      </c>
      <c r="K33">
        <v>-14030.916025471408</v>
      </c>
      <c r="L33">
        <f t="shared" si="3"/>
        <v>1182021.9160254714</v>
      </c>
    </row>
    <row r="34" spans="1:12">
      <c r="A34" s="1">
        <v>2019</v>
      </c>
      <c r="B34" s="1">
        <v>1</v>
      </c>
      <c r="C34" s="9">
        <v>1417491</v>
      </c>
      <c r="D34" s="5">
        <v>21115.309000000001</v>
      </c>
      <c r="E34">
        <f t="shared" si="0"/>
        <v>1</v>
      </c>
      <c r="F34">
        <f t="shared" si="1"/>
        <v>0</v>
      </c>
      <c r="G34">
        <f t="shared" si="2"/>
        <v>0</v>
      </c>
      <c r="I34">
        <v>4</v>
      </c>
      <c r="J34">
        <v>1241534.7689411906</v>
      </c>
      <c r="K34">
        <v>-19011.768941190559</v>
      </c>
      <c r="L34">
        <f t="shared" si="3"/>
        <v>1241534.7689411908</v>
      </c>
    </row>
    <row r="35" spans="1:12">
      <c r="A35" s="1">
        <v>2019</v>
      </c>
      <c r="B35" s="1">
        <v>2</v>
      </c>
      <c r="C35" s="9">
        <v>1574816</v>
      </c>
      <c r="D35" s="5">
        <v>21329.877</v>
      </c>
      <c r="E35">
        <f t="shared" si="0"/>
        <v>0</v>
      </c>
      <c r="F35">
        <f t="shared" si="1"/>
        <v>1</v>
      </c>
      <c r="G35">
        <f t="shared" si="2"/>
        <v>0</v>
      </c>
      <c r="I35">
        <v>5</v>
      </c>
      <c r="J35">
        <v>1101513.8701484194</v>
      </c>
      <c r="K35">
        <v>40220.129851580597</v>
      </c>
      <c r="L35">
        <f t="shared" si="3"/>
        <v>1101513.8701484196</v>
      </c>
    </row>
    <row r="36" spans="1:12">
      <c r="A36" s="1">
        <v>2019</v>
      </c>
      <c r="B36" s="1">
        <v>3</v>
      </c>
      <c r="C36" s="9">
        <v>1595623</v>
      </c>
      <c r="D36" s="5">
        <v>21540.325000000001</v>
      </c>
      <c r="E36">
        <f t="shared" si="0"/>
        <v>0</v>
      </c>
      <c r="F36">
        <f t="shared" si="1"/>
        <v>0</v>
      </c>
      <c r="G36">
        <f t="shared" si="2"/>
        <v>1</v>
      </c>
      <c r="I36">
        <v>6</v>
      </c>
      <c r="J36">
        <v>1216414.1130684831</v>
      </c>
      <c r="K36">
        <v>-3882.1130684830714</v>
      </c>
      <c r="L36">
        <f t="shared" si="3"/>
        <v>1216414.1130684833</v>
      </c>
    </row>
    <row r="37" spans="1:12">
      <c r="A37" s="1">
        <v>2019</v>
      </c>
      <c r="B37" s="1">
        <v>4</v>
      </c>
      <c r="C37" s="9">
        <v>1652271</v>
      </c>
      <c r="D37" s="5">
        <v>21747.394</v>
      </c>
      <c r="E37">
        <f t="shared" si="0"/>
        <v>0</v>
      </c>
      <c r="F37">
        <f t="shared" si="1"/>
        <v>0</v>
      </c>
      <c r="G37">
        <f t="shared" si="2"/>
        <v>0</v>
      </c>
      <c r="I37">
        <v>7</v>
      </c>
      <c r="J37">
        <v>1228600.2878163634</v>
      </c>
      <c r="K37">
        <v>-13677.287816363387</v>
      </c>
      <c r="L37">
        <f t="shared" si="3"/>
        <v>1228600.2878163636</v>
      </c>
    </row>
    <row r="38" spans="1:12">
      <c r="A38" s="1">
        <v>2020</v>
      </c>
      <c r="B38" s="1">
        <v>1</v>
      </c>
      <c r="C38" s="9">
        <v>1443243</v>
      </c>
      <c r="D38" s="5">
        <v>21561.138999999999</v>
      </c>
      <c r="E38">
        <f t="shared" si="0"/>
        <v>1</v>
      </c>
      <c r="F38">
        <f t="shared" si="1"/>
        <v>0</v>
      </c>
      <c r="G38">
        <f t="shared" si="2"/>
        <v>0</v>
      </c>
      <c r="I38">
        <v>8</v>
      </c>
      <c r="J38">
        <v>1280909.1514091459</v>
      </c>
      <c r="K38">
        <v>-8342.1514091459103</v>
      </c>
      <c r="L38">
        <f t="shared" si="3"/>
        <v>1280909.1514091459</v>
      </c>
    </row>
    <row r="39" spans="1:12">
      <c r="A39" s="1">
        <v>2020</v>
      </c>
      <c r="B39" s="1">
        <v>2</v>
      </c>
      <c r="C39" s="9">
        <v>1455588</v>
      </c>
      <c r="D39" s="5">
        <v>19520.114000000001</v>
      </c>
      <c r="E39">
        <f t="shared" si="0"/>
        <v>0</v>
      </c>
      <c r="F39">
        <f t="shared" si="1"/>
        <v>1</v>
      </c>
      <c r="G39">
        <f t="shared" si="2"/>
        <v>0</v>
      </c>
      <c r="I39">
        <v>9</v>
      </c>
      <c r="J39">
        <v>1140008.2146585009</v>
      </c>
      <c r="K39">
        <v>31284.78534149914</v>
      </c>
      <c r="L39">
        <f t="shared" si="3"/>
        <v>1140008.2146585009</v>
      </c>
    </row>
    <row r="40" spans="1:12">
      <c r="A40" s="1">
        <v>2020</v>
      </c>
      <c r="B40" s="1">
        <v>3</v>
      </c>
      <c r="C40" s="9">
        <v>1639409</v>
      </c>
      <c r="D40" s="5">
        <v>21170.252</v>
      </c>
      <c r="E40">
        <f t="shared" si="0"/>
        <v>0</v>
      </c>
      <c r="F40">
        <f t="shared" si="1"/>
        <v>0</v>
      </c>
      <c r="G40">
        <f t="shared" si="2"/>
        <v>1</v>
      </c>
      <c r="I40">
        <v>10</v>
      </c>
      <c r="J40">
        <v>1250416.2733678226</v>
      </c>
      <c r="K40">
        <v>10029.726632177364</v>
      </c>
      <c r="L40">
        <f t="shared" si="3"/>
        <v>1250416.2733678226</v>
      </c>
    </row>
    <row r="41" spans="1:12">
      <c r="A41" s="1">
        <v>2020</v>
      </c>
      <c r="B41" s="1">
        <v>4</v>
      </c>
      <c r="C41" s="9">
        <v>1718793</v>
      </c>
      <c r="D41" s="5">
        <v>21487.896000000001</v>
      </c>
      <c r="E41">
        <f t="shared" si="0"/>
        <v>0</v>
      </c>
      <c r="F41">
        <f t="shared" si="1"/>
        <v>0</v>
      </c>
      <c r="G41">
        <f t="shared" si="2"/>
        <v>0</v>
      </c>
      <c r="I41">
        <v>11</v>
      </c>
      <c r="J41">
        <v>1270018.5706934016</v>
      </c>
      <c r="K41">
        <v>2110.4293065983802</v>
      </c>
      <c r="L41">
        <f t="shared" si="3"/>
        <v>1270018.5706934016</v>
      </c>
    </row>
    <row r="42" spans="1:12">
      <c r="I42">
        <v>12</v>
      </c>
      <c r="J42">
        <v>1331616.2804386776</v>
      </c>
      <c r="K42">
        <v>-15220.280438677641</v>
      </c>
      <c r="L42">
        <f t="shared" si="3"/>
        <v>1331616.2804386779</v>
      </c>
    </row>
    <row r="43" spans="1:12">
      <c r="I43">
        <v>13</v>
      </c>
      <c r="J43">
        <v>1177461.5659787946</v>
      </c>
      <c r="K43">
        <v>18262.434021205408</v>
      </c>
      <c r="L43">
        <f t="shared" si="3"/>
        <v>1177461.5659787948</v>
      </c>
    </row>
    <row r="44" spans="1:12">
      <c r="A44"/>
      <c r="B44"/>
      <c r="C44"/>
      <c r="D44"/>
      <c r="I44">
        <v>14</v>
      </c>
      <c r="J44">
        <v>1306073.8084405772</v>
      </c>
      <c r="K44">
        <v>17835.191559422761</v>
      </c>
      <c r="L44">
        <f t="shared" si="3"/>
        <v>1306073.8084405775</v>
      </c>
    </row>
    <row r="45" spans="1:12">
      <c r="A45"/>
      <c r="B45"/>
      <c r="C45"/>
      <c r="D45"/>
      <c r="I45">
        <v>15</v>
      </c>
      <c r="J45">
        <v>1331131.7810171735</v>
      </c>
      <c r="K45">
        <v>-3202.7810171735473</v>
      </c>
      <c r="L45">
        <f t="shared" si="3"/>
        <v>1331131.7810171738</v>
      </c>
    </row>
    <row r="46" spans="1:12">
      <c r="A46"/>
      <c r="B46"/>
      <c r="C46"/>
      <c r="D46"/>
      <c r="I46">
        <v>16</v>
      </c>
      <c r="J46">
        <v>1385298.9459238662</v>
      </c>
      <c r="K46">
        <v>-5346.9459238662384</v>
      </c>
      <c r="L46">
        <f t="shared" si="3"/>
        <v>1385298.9459238662</v>
      </c>
    </row>
    <row r="47" spans="1:12">
      <c r="C47"/>
      <c r="D47"/>
      <c r="I47">
        <v>17</v>
      </c>
      <c r="J47">
        <v>1240390.5109435741</v>
      </c>
      <c r="K47">
        <v>-8330.5109435741324</v>
      </c>
      <c r="L47">
        <f t="shared" si="3"/>
        <v>1240390.5109435741</v>
      </c>
    </row>
    <row r="48" spans="1:12">
      <c r="C48"/>
      <c r="D48"/>
      <c r="I48">
        <v>18</v>
      </c>
      <c r="J48">
        <v>1361429.2461554781</v>
      </c>
      <c r="K48">
        <v>-7213.2461554780602</v>
      </c>
      <c r="L48">
        <f t="shared" si="3"/>
        <v>1361429.2461554781</v>
      </c>
    </row>
    <row r="49" spans="3:12">
      <c r="C49"/>
      <c r="D49"/>
      <c r="I49">
        <v>19</v>
      </c>
      <c r="J49">
        <v>1374942.4089267107</v>
      </c>
      <c r="K49">
        <v>-7710.4089267107192</v>
      </c>
      <c r="L49">
        <f t="shared" si="3"/>
        <v>1374942.408926711</v>
      </c>
    </row>
    <row r="50" spans="3:12">
      <c r="C50"/>
      <c r="D50"/>
      <c r="I50">
        <v>20</v>
      </c>
      <c r="J50">
        <v>1422327.120591959</v>
      </c>
      <c r="K50">
        <v>-9336.1205919589847</v>
      </c>
      <c r="L50">
        <f t="shared" si="3"/>
        <v>1422327.120591959</v>
      </c>
    </row>
    <row r="51" spans="3:12">
      <c r="C51"/>
      <c r="D51"/>
      <c r="I51">
        <v>21</v>
      </c>
      <c r="J51">
        <v>1273068.6236805178</v>
      </c>
      <c r="K51">
        <v>5322.3763194822241</v>
      </c>
      <c r="L51">
        <f t="shared" si="3"/>
        <v>1273068.6236805178</v>
      </c>
    </row>
    <row r="52" spans="3:12">
      <c r="C52"/>
      <c r="D52"/>
      <c r="I52">
        <v>22</v>
      </c>
      <c r="J52">
        <v>1391718.0943428301</v>
      </c>
      <c r="K52">
        <v>-4800.0943428301252</v>
      </c>
      <c r="L52">
        <f t="shared" si="3"/>
        <v>1391718.0943428301</v>
      </c>
    </row>
    <row r="53" spans="3:12">
      <c r="C53"/>
      <c r="D53"/>
      <c r="I53">
        <v>23</v>
      </c>
      <c r="J53">
        <v>1408122.9904324424</v>
      </c>
      <c r="K53">
        <v>-8837.9904324423987</v>
      </c>
      <c r="L53">
        <f t="shared" si="3"/>
        <v>1408122.9904324424</v>
      </c>
    </row>
    <row r="54" spans="3:12">
      <c r="C54"/>
      <c r="D54"/>
      <c r="I54">
        <v>24</v>
      </c>
      <c r="J54">
        <v>1468098.6859050039</v>
      </c>
      <c r="K54">
        <v>-6318.6859050039202</v>
      </c>
      <c r="L54">
        <f t="shared" si="3"/>
        <v>1468098.6859050039</v>
      </c>
    </row>
    <row r="55" spans="3:12">
      <c r="C55"/>
      <c r="D55"/>
      <c r="I55">
        <v>25</v>
      </c>
      <c r="J55">
        <v>1326786.5746971914</v>
      </c>
      <c r="K55">
        <v>-2533.5746971913613</v>
      </c>
      <c r="L55">
        <f t="shared" si="3"/>
        <v>1326786.5746971914</v>
      </c>
    </row>
    <row r="56" spans="3:12">
      <c r="C56"/>
      <c r="D56"/>
      <c r="I56">
        <v>26</v>
      </c>
      <c r="J56">
        <v>1442337.7796643761</v>
      </c>
      <c r="K56">
        <v>3161.2203356239479</v>
      </c>
      <c r="L56">
        <f t="shared" si="3"/>
        <v>1442337.7796643761</v>
      </c>
    </row>
    <row r="57" spans="3:12">
      <c r="C57"/>
      <c r="D57"/>
      <c r="I57">
        <v>27</v>
      </c>
      <c r="J57">
        <v>1463846.755887707</v>
      </c>
      <c r="K57">
        <v>-12759.755887706997</v>
      </c>
      <c r="L57">
        <f t="shared" si="3"/>
        <v>1463846.755887707</v>
      </c>
    </row>
    <row r="58" spans="3:12">
      <c r="C58"/>
      <c r="D58"/>
      <c r="I58">
        <v>28</v>
      </c>
      <c r="J58">
        <v>1531485.432636413</v>
      </c>
      <c r="K58">
        <v>4764.5673635869753</v>
      </c>
      <c r="L58">
        <f t="shared" si="3"/>
        <v>1531485.432636413</v>
      </c>
    </row>
    <row r="59" spans="3:12">
      <c r="C59"/>
      <c r="D59"/>
      <c r="I59">
        <v>29</v>
      </c>
      <c r="J59">
        <v>1397132.2023274708</v>
      </c>
      <c r="K59">
        <v>-7088.2023274707608</v>
      </c>
      <c r="L59">
        <f t="shared" si="3"/>
        <v>1397132.202327471</v>
      </c>
    </row>
    <row r="60" spans="3:12">
      <c r="C60"/>
      <c r="D60"/>
      <c r="I60">
        <v>30</v>
      </c>
      <c r="J60">
        <v>1524490.128158126</v>
      </c>
      <c r="K60">
        <v>-5421.1281581260264</v>
      </c>
      <c r="L60">
        <f t="shared" si="3"/>
        <v>1524490.1281581263</v>
      </c>
    </row>
    <row r="61" spans="3:12">
      <c r="C61"/>
      <c r="D61"/>
      <c r="I61">
        <v>31</v>
      </c>
      <c r="J61">
        <v>1542639.5577269988</v>
      </c>
      <c r="K61">
        <v>-5871.5577269988135</v>
      </c>
      <c r="L61">
        <f t="shared" si="3"/>
        <v>1542639.557726999</v>
      </c>
    </row>
    <row r="62" spans="3:12">
      <c r="C62"/>
      <c r="D62"/>
      <c r="I62">
        <v>32</v>
      </c>
      <c r="J62">
        <v>1599528.399293385</v>
      </c>
      <c r="K62">
        <v>-14089.39929338498</v>
      </c>
      <c r="L62">
        <f t="shared" si="3"/>
        <v>1599528.3992933852</v>
      </c>
    </row>
    <row r="63" spans="3:12">
      <c r="C63"/>
      <c r="D63"/>
      <c r="I63">
        <v>33</v>
      </c>
      <c r="J63">
        <v>1458258.3646816493</v>
      </c>
      <c r="K63">
        <v>-40767.364681649255</v>
      </c>
      <c r="L63">
        <f t="shared" si="3"/>
        <v>1458258.3646816493</v>
      </c>
    </row>
    <row r="64" spans="3:12">
      <c r="C64"/>
      <c r="D64"/>
      <c r="I64">
        <v>34</v>
      </c>
      <c r="J64">
        <v>1578904.3383228553</v>
      </c>
      <c r="K64">
        <v>-4088.3383228552993</v>
      </c>
      <c r="L64">
        <f t="shared" si="3"/>
        <v>1578904.3383228553</v>
      </c>
    </row>
    <row r="65" spans="3:17">
      <c r="C65"/>
      <c r="D65"/>
      <c r="I65">
        <v>35</v>
      </c>
      <c r="J65">
        <v>1598480.4515437211</v>
      </c>
      <c r="K65">
        <v>-2857.4515437211376</v>
      </c>
      <c r="L65">
        <f t="shared" si="3"/>
        <v>1598480.4515437211</v>
      </c>
    </row>
    <row r="66" spans="3:17">
      <c r="C66"/>
      <c r="D66"/>
      <c r="I66">
        <v>36</v>
      </c>
      <c r="J66">
        <v>1658165.4614473809</v>
      </c>
      <c r="K66">
        <v>-5894.4614473809488</v>
      </c>
      <c r="L66">
        <f t="shared" si="3"/>
        <v>1658165.4614473809</v>
      </c>
    </row>
    <row r="67" spans="3:17">
      <c r="C67"/>
      <c r="D67"/>
      <c r="I67">
        <v>37</v>
      </c>
      <c r="J67">
        <v>1489471.3577412318</v>
      </c>
      <c r="K67">
        <v>-46228.357741231797</v>
      </c>
      <c r="L67">
        <f t="shared" si="3"/>
        <v>1489471.3577412318</v>
      </c>
    </row>
    <row r="68" spans="3:17">
      <c r="I68">
        <v>38</v>
      </c>
      <c r="J68">
        <v>1452201.0658681314</v>
      </c>
      <c r="K68">
        <v>3386.9341318686493</v>
      </c>
      <c r="L68">
        <f t="shared" si="3"/>
        <v>1452201.0658681314</v>
      </c>
    </row>
    <row r="69" spans="3:17">
      <c r="I69">
        <v>39</v>
      </c>
      <c r="J69">
        <v>1572571.2799300142</v>
      </c>
      <c r="K69">
        <v>66837.720069985837</v>
      </c>
      <c r="L69">
        <f t="shared" si="3"/>
        <v>1572571.2799300142</v>
      </c>
    </row>
    <row r="70" spans="3:17" ht="15" thickBot="1">
      <c r="I70" s="10">
        <v>40</v>
      </c>
      <c r="J70" s="10">
        <v>1639997.7534129831</v>
      </c>
      <c r="K70" s="10">
        <v>78795.246587016853</v>
      </c>
      <c r="L70">
        <f t="shared" si="3"/>
        <v>1639997.7534129831</v>
      </c>
    </row>
    <row r="72" spans="3:17" ht="18">
      <c r="I72" s="12" t="s">
        <v>36</v>
      </c>
    </row>
    <row r="73" spans="3:17">
      <c r="I73" s="16" t="s">
        <v>37</v>
      </c>
      <c r="J73" s="16"/>
      <c r="K73" s="16"/>
      <c r="L73" s="16"/>
      <c r="M73" s="16"/>
      <c r="N73" s="16"/>
      <c r="O73" s="16"/>
      <c r="P73" s="16"/>
      <c r="Q73" s="16"/>
    </row>
    <row r="75" spans="3:17" ht="18">
      <c r="I75" s="12" t="s">
        <v>38</v>
      </c>
    </row>
    <row r="76" spans="3:17">
      <c r="I76" t="s">
        <v>39</v>
      </c>
      <c r="J76" s="13">
        <f>$J$20+J21*21000+J23</f>
        <v>1555809.3278670404</v>
      </c>
      <c r="K76" t="s">
        <v>40</v>
      </c>
    </row>
    <row r="77" spans="3:17">
      <c r="I77" t="s">
        <v>41</v>
      </c>
      <c r="J77" s="13">
        <f>J20+J21*21000</f>
        <v>1605839.6786719426</v>
      </c>
      <c r="K77" t="s">
        <v>40</v>
      </c>
    </row>
    <row r="79" spans="3:17" ht="18">
      <c r="I79" s="12" t="s">
        <v>42</v>
      </c>
    </row>
    <row r="80" spans="3:17" ht="15" thickBot="1"/>
    <row r="81" spans="5:9">
      <c r="E81" s="3" t="s">
        <v>2</v>
      </c>
      <c r="F81" s="11" t="s">
        <v>34</v>
      </c>
      <c r="G81" t="s">
        <v>22</v>
      </c>
      <c r="I81" t="s">
        <v>43</v>
      </c>
    </row>
    <row r="82" spans="5:9">
      <c r="E82" s="4">
        <v>1059989</v>
      </c>
      <c r="F82">
        <v>1050130.7151426559</v>
      </c>
      <c r="G82">
        <f>E82-F82</f>
        <v>9858.2848573441152</v>
      </c>
    </row>
    <row r="83" spans="5:9">
      <c r="E83" s="4">
        <v>1161474</v>
      </c>
      <c r="F83">
        <v>1170482.1526113262</v>
      </c>
      <c r="G83">
        <f t="shared" ref="G83:G121" si="4">E83-F83</f>
        <v>-9008.1526113261934</v>
      </c>
    </row>
    <row r="84" spans="5:9">
      <c r="E84" s="4">
        <v>1167991</v>
      </c>
      <c r="F84">
        <v>1182021.9160254714</v>
      </c>
      <c r="G84">
        <f t="shared" si="4"/>
        <v>-14030.916025471408</v>
      </c>
    </row>
    <row r="85" spans="5:9">
      <c r="E85" s="4">
        <v>1222523</v>
      </c>
      <c r="F85">
        <v>1241534.7689411906</v>
      </c>
      <c r="G85">
        <f t="shared" si="4"/>
        <v>-19011.768941190559</v>
      </c>
    </row>
    <row r="86" spans="5:9">
      <c r="E86" s="4">
        <v>1141734</v>
      </c>
      <c r="F86">
        <v>1101513.8701484194</v>
      </c>
      <c r="G86">
        <f t="shared" si="4"/>
        <v>40220.129851580597</v>
      </c>
    </row>
    <row r="87" spans="5:9">
      <c r="E87" s="4">
        <v>1212532</v>
      </c>
      <c r="F87">
        <v>1216414.1130684831</v>
      </c>
      <c r="G87">
        <f t="shared" si="4"/>
        <v>-3882.1130684830714</v>
      </c>
    </row>
    <row r="88" spans="5:9">
      <c r="E88" s="4">
        <v>1214923</v>
      </c>
      <c r="F88">
        <v>1228600.2878163634</v>
      </c>
      <c r="G88">
        <f t="shared" si="4"/>
        <v>-13677.287816363387</v>
      </c>
    </row>
    <row r="89" spans="5:9">
      <c r="E89" s="4">
        <v>1272567</v>
      </c>
      <c r="F89">
        <v>1280909.1514091459</v>
      </c>
      <c r="G89">
        <f t="shared" si="4"/>
        <v>-8342.1514091459103</v>
      </c>
    </row>
    <row r="90" spans="5:9">
      <c r="E90" s="9">
        <v>1171293</v>
      </c>
      <c r="F90">
        <v>1140008.2146585009</v>
      </c>
      <c r="G90">
        <f t="shared" si="4"/>
        <v>31284.78534149914</v>
      </c>
    </row>
    <row r="91" spans="5:9">
      <c r="E91" s="9">
        <v>1260446</v>
      </c>
      <c r="F91">
        <v>1250416.2733678226</v>
      </c>
      <c r="G91">
        <f t="shared" si="4"/>
        <v>10029.726632177364</v>
      </c>
    </row>
    <row r="92" spans="5:9">
      <c r="E92" s="9">
        <v>1272129</v>
      </c>
      <c r="F92">
        <v>1270018.5706934016</v>
      </c>
      <c r="G92">
        <f t="shared" si="4"/>
        <v>2110.4293065983802</v>
      </c>
    </row>
    <row r="93" spans="5:9">
      <c r="E93" s="9">
        <v>1316396</v>
      </c>
      <c r="F93">
        <v>1331616.2804386776</v>
      </c>
      <c r="G93">
        <f t="shared" si="4"/>
        <v>-15220.280438677641</v>
      </c>
    </row>
    <row r="94" spans="5:9">
      <c r="E94" s="9">
        <v>1195724</v>
      </c>
      <c r="F94">
        <v>1177461.5659787946</v>
      </c>
      <c r="G94">
        <f t="shared" si="4"/>
        <v>18262.434021205408</v>
      </c>
    </row>
    <row r="95" spans="5:9">
      <c r="E95" s="9">
        <v>1323909</v>
      </c>
      <c r="F95">
        <v>1306073.8084405772</v>
      </c>
      <c r="G95">
        <f t="shared" si="4"/>
        <v>17835.191559422761</v>
      </c>
    </row>
    <row r="96" spans="5:9">
      <c r="E96" s="9">
        <v>1327929</v>
      </c>
      <c r="F96">
        <v>1331131.7810171735</v>
      </c>
      <c r="G96">
        <f t="shared" si="4"/>
        <v>-3202.7810171735473</v>
      </c>
    </row>
    <row r="97" spans="5:9">
      <c r="E97" s="9">
        <v>1379952</v>
      </c>
      <c r="F97">
        <v>1385298.9459238662</v>
      </c>
      <c r="G97">
        <f t="shared" si="4"/>
        <v>-5346.9459238662384</v>
      </c>
    </row>
    <row r="98" spans="5:9">
      <c r="E98" s="9">
        <v>1232060</v>
      </c>
      <c r="F98">
        <v>1240390.5109435741</v>
      </c>
      <c r="G98">
        <f t="shared" si="4"/>
        <v>-8330.5109435741324</v>
      </c>
    </row>
    <row r="99" spans="5:9">
      <c r="E99" s="9">
        <v>1354216</v>
      </c>
      <c r="F99">
        <v>1361429.2461554781</v>
      </c>
      <c r="G99">
        <f t="shared" si="4"/>
        <v>-7213.2461554780602</v>
      </c>
    </row>
    <row r="100" spans="5:9">
      <c r="E100" s="9">
        <v>1367232</v>
      </c>
      <c r="F100">
        <v>1374942.4089267107</v>
      </c>
      <c r="G100">
        <f t="shared" si="4"/>
        <v>-7710.4089267107192</v>
      </c>
      <c r="I100" t="s">
        <v>44</v>
      </c>
    </row>
    <row r="101" spans="5:9">
      <c r="E101" s="9">
        <v>1412991</v>
      </c>
      <c r="F101">
        <v>1422327.120591959</v>
      </c>
      <c r="G101">
        <f t="shared" si="4"/>
        <v>-9336.1205919589847</v>
      </c>
    </row>
    <row r="102" spans="5:9">
      <c r="E102" s="9">
        <v>1278391</v>
      </c>
      <c r="F102">
        <v>1273068.6236805178</v>
      </c>
      <c r="G102">
        <f t="shared" si="4"/>
        <v>5322.3763194822241</v>
      </c>
    </row>
    <row r="103" spans="5:9">
      <c r="E103" s="9">
        <v>1386918</v>
      </c>
      <c r="F103">
        <v>1391718.0943428301</v>
      </c>
      <c r="G103">
        <f t="shared" si="4"/>
        <v>-4800.0943428301252</v>
      </c>
    </row>
    <row r="104" spans="5:9">
      <c r="E104" s="9">
        <v>1399285</v>
      </c>
      <c r="F104">
        <v>1408122.9904324424</v>
      </c>
      <c r="G104">
        <f t="shared" si="4"/>
        <v>-8837.9904324423987</v>
      </c>
    </row>
    <row r="105" spans="5:9">
      <c r="E105" s="9">
        <v>1461780</v>
      </c>
      <c r="F105">
        <v>1468098.6859050039</v>
      </c>
      <c r="G105">
        <f t="shared" si="4"/>
        <v>-6318.6859050039202</v>
      </c>
    </row>
    <row r="106" spans="5:9">
      <c r="E106" s="9">
        <v>1324253</v>
      </c>
      <c r="F106">
        <v>1326786.5746971914</v>
      </c>
      <c r="G106">
        <f t="shared" si="4"/>
        <v>-2533.5746971913613</v>
      </c>
    </row>
    <row r="107" spans="5:9">
      <c r="E107" s="9">
        <v>1445499</v>
      </c>
      <c r="F107">
        <v>1442337.7796643761</v>
      </c>
      <c r="G107">
        <f t="shared" si="4"/>
        <v>3161.2203356239479</v>
      </c>
    </row>
    <row r="108" spans="5:9">
      <c r="E108" s="9">
        <v>1451087</v>
      </c>
      <c r="F108">
        <v>1463846.755887707</v>
      </c>
      <c r="G108">
        <f t="shared" si="4"/>
        <v>-12759.755887706997</v>
      </c>
    </row>
    <row r="109" spans="5:9">
      <c r="E109" s="9">
        <v>1536250</v>
      </c>
      <c r="F109">
        <v>1531485.432636413</v>
      </c>
      <c r="G109">
        <f t="shared" si="4"/>
        <v>4764.5673635869753</v>
      </c>
    </row>
    <row r="110" spans="5:9">
      <c r="E110" s="9">
        <v>1390044</v>
      </c>
      <c r="F110">
        <v>1397132.2023274708</v>
      </c>
      <c r="G110">
        <f t="shared" si="4"/>
        <v>-7088.2023274707608</v>
      </c>
    </row>
    <row r="111" spans="5:9">
      <c r="E111" s="9">
        <v>1519069</v>
      </c>
      <c r="F111">
        <v>1524490.128158126</v>
      </c>
      <c r="G111">
        <f t="shared" si="4"/>
        <v>-5421.1281581260264</v>
      </c>
    </row>
    <row r="112" spans="5:9">
      <c r="E112" s="9">
        <v>1536768</v>
      </c>
      <c r="F112">
        <v>1542639.5577269988</v>
      </c>
      <c r="G112">
        <f t="shared" si="4"/>
        <v>-5871.5577269988135</v>
      </c>
    </row>
    <row r="113" spans="5:16">
      <c r="E113" s="9">
        <v>1585439</v>
      </c>
      <c r="F113">
        <v>1599528.399293385</v>
      </c>
      <c r="G113">
        <f t="shared" si="4"/>
        <v>-14089.39929338498</v>
      </c>
    </row>
    <row r="114" spans="5:16">
      <c r="E114" s="9">
        <v>1417491</v>
      </c>
      <c r="F114">
        <v>1458258.3646816493</v>
      </c>
      <c r="G114">
        <f t="shared" si="4"/>
        <v>-40767.364681649255</v>
      </c>
    </row>
    <row r="115" spans="5:16">
      <c r="E115" s="9">
        <v>1574816</v>
      </c>
      <c r="F115">
        <v>1578904.3383228553</v>
      </c>
      <c r="G115">
        <f t="shared" si="4"/>
        <v>-4088.3383228552993</v>
      </c>
    </row>
    <row r="116" spans="5:16">
      <c r="E116" s="9">
        <v>1595623</v>
      </c>
      <c r="F116">
        <v>1598480.4515437211</v>
      </c>
      <c r="G116">
        <f t="shared" si="4"/>
        <v>-2857.4515437211376</v>
      </c>
    </row>
    <row r="117" spans="5:16">
      <c r="E117" s="9">
        <v>1652271</v>
      </c>
      <c r="F117">
        <v>1658165.4614473809</v>
      </c>
      <c r="G117">
        <f t="shared" si="4"/>
        <v>-5894.4614473809488</v>
      </c>
    </row>
    <row r="118" spans="5:16">
      <c r="E118" s="9">
        <v>1443243</v>
      </c>
      <c r="F118">
        <v>1489471.3577412318</v>
      </c>
      <c r="G118">
        <f t="shared" si="4"/>
        <v>-46228.357741231797</v>
      </c>
    </row>
    <row r="119" spans="5:16">
      <c r="E119" s="9">
        <v>1455588</v>
      </c>
      <c r="F119">
        <v>1452201.0658681314</v>
      </c>
      <c r="G119">
        <f t="shared" si="4"/>
        <v>3386.9341318686493</v>
      </c>
      <c r="I119" t="s">
        <v>45</v>
      </c>
    </row>
    <row r="120" spans="5:16" ht="14.1" customHeight="1">
      <c r="E120" s="9">
        <v>1639409</v>
      </c>
      <c r="F120">
        <v>1572571.2799300142</v>
      </c>
      <c r="G120">
        <f t="shared" si="4"/>
        <v>66837.720069985837</v>
      </c>
      <c r="I120" s="16" t="s">
        <v>46</v>
      </c>
      <c r="J120" s="16"/>
      <c r="K120" s="16"/>
      <c r="L120" s="16"/>
      <c r="M120" s="16"/>
      <c r="N120" s="16"/>
      <c r="O120" s="16"/>
      <c r="P120" s="16"/>
    </row>
    <row r="121" spans="5:16" ht="15" thickBot="1">
      <c r="E121" s="9">
        <v>1718793</v>
      </c>
      <c r="F121" s="10">
        <v>1639997.7534129831</v>
      </c>
      <c r="G121">
        <f t="shared" si="4"/>
        <v>78795.246587016853</v>
      </c>
      <c r="I121" s="16"/>
      <c r="J121" s="16"/>
      <c r="K121" s="16"/>
      <c r="L121" s="16"/>
      <c r="M121" s="16"/>
      <c r="N121" s="16"/>
      <c r="O121" s="16"/>
      <c r="P121" s="16"/>
    </row>
    <row r="122" spans="5:16">
      <c r="I122" s="16"/>
      <c r="J122" s="16"/>
      <c r="K122" s="16"/>
      <c r="L122" s="16"/>
      <c r="M122" s="16"/>
      <c r="N122" s="16"/>
      <c r="O122" s="16"/>
      <c r="P122" s="16"/>
    </row>
    <row r="123" spans="5:16">
      <c r="I123" s="16"/>
      <c r="J123" s="16"/>
      <c r="K123" s="16"/>
      <c r="L123" s="16"/>
      <c r="M123" s="16"/>
      <c r="N123" s="16"/>
      <c r="O123" s="16"/>
      <c r="P123" s="16"/>
    </row>
    <row r="124" spans="5:16">
      <c r="I124" s="16"/>
      <c r="J124" s="16"/>
      <c r="K124" s="16"/>
      <c r="L124" s="16"/>
      <c r="M124" s="16"/>
      <c r="N124" s="16"/>
      <c r="O124" s="16"/>
      <c r="P124" s="16"/>
    </row>
    <row r="125" spans="5:16">
      <c r="I125" s="16"/>
      <c r="J125" s="16"/>
      <c r="K125" s="16"/>
      <c r="L125" s="16"/>
      <c r="M125" s="16"/>
      <c r="N125" s="16"/>
      <c r="O125" s="16"/>
      <c r="P125" s="16"/>
    </row>
    <row r="126" spans="5:16">
      <c r="I126" s="16"/>
      <c r="J126" s="16"/>
      <c r="K126" s="16"/>
      <c r="L126" s="16"/>
      <c r="M126" s="16"/>
      <c r="N126" s="16"/>
      <c r="O126" s="16"/>
      <c r="P126" s="16"/>
    </row>
    <row r="127" spans="5:16">
      <c r="I127" s="16"/>
      <c r="J127" s="16"/>
      <c r="K127" s="16"/>
      <c r="L127" s="16"/>
      <c r="M127" s="16"/>
      <c r="N127" s="16"/>
      <c r="O127" s="16"/>
      <c r="P127" s="16"/>
    </row>
    <row r="128" spans="5:16">
      <c r="I128" s="16"/>
      <c r="J128" s="16"/>
      <c r="K128" s="16"/>
      <c r="L128" s="16"/>
      <c r="M128" s="16"/>
      <c r="N128" s="16"/>
      <c r="O128" s="16"/>
      <c r="P128" s="16"/>
    </row>
    <row r="129" spans="9:16">
      <c r="I129" s="16"/>
      <c r="J129" s="16"/>
      <c r="K129" s="16"/>
      <c r="L129" s="16"/>
      <c r="M129" s="16"/>
      <c r="N129" s="16"/>
      <c r="O129" s="16"/>
      <c r="P129" s="16"/>
    </row>
  </sheetData>
  <mergeCells count="2">
    <mergeCell ref="I120:P129"/>
    <mergeCell ref="I73:Q73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KRISSANA PIPUTPRUEDTIGUL</dc:creator>
  <cp:keywords/>
  <dc:description/>
  <cp:lastModifiedBy>KRISSANA PIPUTPRUEDTIGUL</cp:lastModifiedBy>
  <cp:revision/>
  <dcterms:created xsi:type="dcterms:W3CDTF">2025-04-05T06:42:13Z</dcterms:created>
  <dcterms:modified xsi:type="dcterms:W3CDTF">2025-05-08T01:48:19Z</dcterms:modified>
  <cp:category/>
  <cp:contentStatus/>
</cp:coreProperties>
</file>