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muttsit-my.sharepoint.com/personal/67130701930_ad_sit_kmutt_ac_th/Documents/KMUTT/TERM1/BIS602/Final/Exersice/Lacture8 Data Treatment and Transformation/"/>
    </mc:Choice>
  </mc:AlternateContent>
  <xr:revisionPtr revIDLastSave="219" documentId="13_ncr:1_{5B093D3A-DA68-1747-8717-4EA88D2DD197}" xr6:coauthVersionLast="47" xr6:coauthVersionMax="47" xr10:uidLastSave="{78C428A0-CB31-44E1-B6FD-C90A2D50D23F}"/>
  <bookViews>
    <workbookView xWindow="-51200" yWindow="-2440" windowWidth="51200" windowHeight="28300" firstSheet="3" xr2:uid="{B6AB762F-0C05-45A0-ABD4-05BCF162CE86}"/>
  </bookViews>
  <sheets>
    <sheet name="Customers" sheetId="2" r:id="rId1"/>
    <sheet name="Sheet1" sheetId="4" r:id="rId2"/>
    <sheet name="Restaurant_Reviews" sheetId="1" r:id="rId3"/>
    <sheet name="Gig" sheetId="3" r:id="rId4"/>
  </sheets>
  <definedNames>
    <definedName name="_xlnm._FilterDatabase" localSheetId="0" hidden="1">Customers!$A$1:$O$1</definedName>
    <definedName name="_xlnm._FilterDatabase" localSheetId="3" hidden="1">Gig!$A$1:$D$605</definedName>
    <definedName name="_xlnm._FilterDatabase" localSheetId="1" hidden="1">Sheet1!$A$1:$F$60</definedName>
  </definedNames>
  <calcPr calcId="191028"/>
  <pivotCaches>
    <pivotCache cacheId="316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AA2" i="2"/>
  <c r="T2" i="2"/>
  <c r="V2" i="2"/>
  <c r="AB2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Y11" i="2"/>
  <c r="Y10" i="2"/>
  <c r="Y9" i="2"/>
  <c r="Y8" i="2"/>
  <c r="AA5" i="2"/>
  <c r="AA4" i="2"/>
  <c r="AA3" i="2"/>
  <c r="Z5" i="2"/>
  <c r="Z4" i="2"/>
  <c r="Z3" i="2"/>
  <c r="Z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" i="2"/>
  <c r="AE3" i="2"/>
  <c r="AF3" i="2"/>
  <c r="AG3" i="2"/>
  <c r="AE4" i="2"/>
  <c r="AF4" i="2"/>
  <c r="AG4" i="2"/>
  <c r="AE5" i="2"/>
  <c r="AF5" i="2"/>
  <c r="AG5" i="2"/>
  <c r="AE6" i="2"/>
  <c r="AF6" i="2"/>
  <c r="AG6" i="2"/>
  <c r="AE7" i="2"/>
  <c r="AF7" i="2"/>
  <c r="AG7" i="2"/>
  <c r="AE8" i="2"/>
  <c r="AF8" i="2"/>
  <c r="AG8" i="2"/>
  <c r="AE9" i="2"/>
  <c r="AF9" i="2"/>
  <c r="AG9" i="2"/>
  <c r="AE10" i="2"/>
  <c r="AF10" i="2"/>
  <c r="AG10" i="2"/>
  <c r="AE11" i="2"/>
  <c r="AF11" i="2"/>
  <c r="AG11" i="2"/>
  <c r="AE12" i="2"/>
  <c r="AF12" i="2"/>
  <c r="AG12" i="2"/>
  <c r="AE13" i="2"/>
  <c r="AF13" i="2"/>
  <c r="AG13" i="2"/>
  <c r="AE14" i="2"/>
  <c r="AF14" i="2"/>
  <c r="AG14" i="2"/>
  <c r="AE15" i="2"/>
  <c r="AF15" i="2"/>
  <c r="AG15" i="2"/>
  <c r="AE16" i="2"/>
  <c r="AF16" i="2"/>
  <c r="AG16" i="2"/>
  <c r="AE17" i="2"/>
  <c r="AF17" i="2"/>
  <c r="AG17" i="2"/>
  <c r="AE18" i="2"/>
  <c r="AF18" i="2"/>
  <c r="AG18" i="2"/>
  <c r="AE19" i="2"/>
  <c r="AF19" i="2"/>
  <c r="AG19" i="2"/>
  <c r="AE20" i="2"/>
  <c r="AF20" i="2"/>
  <c r="AG20" i="2"/>
  <c r="AE21" i="2"/>
  <c r="AF21" i="2"/>
  <c r="AG21" i="2"/>
  <c r="AE22" i="2"/>
  <c r="AF22" i="2"/>
  <c r="AG22" i="2"/>
  <c r="AE23" i="2"/>
  <c r="AF23" i="2"/>
  <c r="AG23" i="2"/>
  <c r="AE24" i="2"/>
  <c r="AF24" i="2"/>
  <c r="AG24" i="2"/>
  <c r="AE25" i="2"/>
  <c r="AF25" i="2"/>
  <c r="AG25" i="2"/>
  <c r="AE26" i="2"/>
  <c r="AF26" i="2"/>
  <c r="AG26" i="2"/>
  <c r="AE27" i="2"/>
  <c r="AF27" i="2"/>
  <c r="AG27" i="2"/>
  <c r="AE28" i="2"/>
  <c r="AF28" i="2"/>
  <c r="AG28" i="2"/>
  <c r="AE29" i="2"/>
  <c r="AF29" i="2"/>
  <c r="AG29" i="2"/>
  <c r="AE30" i="2"/>
  <c r="AF30" i="2"/>
  <c r="AG30" i="2"/>
  <c r="AE31" i="2"/>
  <c r="AF31" i="2"/>
  <c r="AG31" i="2"/>
  <c r="AE32" i="2"/>
  <c r="AF32" i="2"/>
  <c r="AG32" i="2"/>
  <c r="AE33" i="2"/>
  <c r="AF33" i="2"/>
  <c r="AG33" i="2"/>
  <c r="AE34" i="2"/>
  <c r="AF34" i="2"/>
  <c r="AG34" i="2"/>
  <c r="AE35" i="2"/>
  <c r="AF35" i="2"/>
  <c r="AG35" i="2"/>
  <c r="AE36" i="2"/>
  <c r="AF36" i="2"/>
  <c r="AG36" i="2"/>
  <c r="AE37" i="2"/>
  <c r="AF37" i="2"/>
  <c r="AG37" i="2"/>
  <c r="AE38" i="2"/>
  <c r="AF38" i="2"/>
  <c r="AG38" i="2"/>
  <c r="AE39" i="2"/>
  <c r="AF39" i="2"/>
  <c r="AG39" i="2"/>
  <c r="AE40" i="2"/>
  <c r="AF40" i="2"/>
  <c r="AG40" i="2"/>
  <c r="AE41" i="2"/>
  <c r="AF41" i="2"/>
  <c r="AG41" i="2"/>
  <c r="AE42" i="2"/>
  <c r="AF42" i="2"/>
  <c r="AG42" i="2"/>
  <c r="AE43" i="2"/>
  <c r="AF43" i="2"/>
  <c r="AG43" i="2"/>
  <c r="AE44" i="2"/>
  <c r="AF44" i="2"/>
  <c r="AG44" i="2"/>
  <c r="AE45" i="2"/>
  <c r="AF45" i="2"/>
  <c r="AG45" i="2"/>
  <c r="AE46" i="2"/>
  <c r="AF46" i="2"/>
  <c r="AG46" i="2"/>
  <c r="AE47" i="2"/>
  <c r="AF47" i="2"/>
  <c r="AG47" i="2"/>
  <c r="AE48" i="2"/>
  <c r="AF48" i="2"/>
  <c r="AG48" i="2"/>
  <c r="AE49" i="2"/>
  <c r="AF49" i="2"/>
  <c r="AG49" i="2"/>
  <c r="AE50" i="2"/>
  <c r="AF50" i="2"/>
  <c r="AG50" i="2"/>
  <c r="AE51" i="2"/>
  <c r="AF51" i="2"/>
  <c r="AG51" i="2"/>
  <c r="AE52" i="2"/>
  <c r="AF52" i="2"/>
  <c r="AG52" i="2"/>
  <c r="AE53" i="2"/>
  <c r="AF53" i="2"/>
  <c r="AG53" i="2"/>
  <c r="AE54" i="2"/>
  <c r="AF54" i="2"/>
  <c r="AG54" i="2"/>
  <c r="AE55" i="2"/>
  <c r="AF55" i="2"/>
  <c r="AG55" i="2"/>
  <c r="AE56" i="2"/>
  <c r="AF56" i="2"/>
  <c r="AG56" i="2"/>
  <c r="AE57" i="2"/>
  <c r="AF57" i="2"/>
  <c r="AG57" i="2"/>
  <c r="AE58" i="2"/>
  <c r="AF58" i="2"/>
  <c r="AG58" i="2"/>
  <c r="AE59" i="2"/>
  <c r="AF59" i="2"/>
  <c r="AG59" i="2"/>
  <c r="AE60" i="2"/>
  <c r="AF60" i="2"/>
  <c r="AG60" i="2"/>
  <c r="AE61" i="2"/>
  <c r="AF61" i="2"/>
  <c r="AG61" i="2"/>
  <c r="AE62" i="2"/>
  <c r="AF62" i="2"/>
  <c r="AG62" i="2"/>
  <c r="AE63" i="2"/>
  <c r="AF63" i="2"/>
  <c r="AG63" i="2"/>
  <c r="AE64" i="2"/>
  <c r="AF64" i="2"/>
  <c r="AG64" i="2"/>
  <c r="AE65" i="2"/>
  <c r="AF65" i="2"/>
  <c r="AG65" i="2"/>
  <c r="AE66" i="2"/>
  <c r="AF66" i="2"/>
  <c r="AG66" i="2"/>
  <c r="AE67" i="2"/>
  <c r="AF67" i="2"/>
  <c r="AG67" i="2"/>
  <c r="AE68" i="2"/>
  <c r="AF68" i="2"/>
  <c r="AG68" i="2"/>
  <c r="AE69" i="2"/>
  <c r="AF69" i="2"/>
  <c r="AG69" i="2"/>
  <c r="AE70" i="2"/>
  <c r="AF70" i="2"/>
  <c r="AG70" i="2"/>
  <c r="AE71" i="2"/>
  <c r="AF71" i="2"/>
  <c r="AG71" i="2"/>
  <c r="AE72" i="2"/>
  <c r="AF72" i="2"/>
  <c r="AG72" i="2"/>
  <c r="AE73" i="2"/>
  <c r="AF73" i="2"/>
  <c r="AG73" i="2"/>
  <c r="AE74" i="2"/>
  <c r="AF74" i="2"/>
  <c r="AG74" i="2"/>
  <c r="AE75" i="2"/>
  <c r="AF75" i="2"/>
  <c r="AG75" i="2"/>
  <c r="AE76" i="2"/>
  <c r="AF76" i="2"/>
  <c r="AG76" i="2"/>
  <c r="AE77" i="2"/>
  <c r="AF77" i="2"/>
  <c r="AG77" i="2"/>
  <c r="AE78" i="2"/>
  <c r="AF78" i="2"/>
  <c r="AG78" i="2"/>
  <c r="AE79" i="2"/>
  <c r="AF79" i="2"/>
  <c r="AG79" i="2"/>
  <c r="AE80" i="2"/>
  <c r="AF80" i="2"/>
  <c r="AG80" i="2"/>
  <c r="AE81" i="2"/>
  <c r="AF81" i="2"/>
  <c r="AG81" i="2"/>
  <c r="AE82" i="2"/>
  <c r="AF82" i="2"/>
  <c r="AG82" i="2"/>
  <c r="AE83" i="2"/>
  <c r="AF83" i="2"/>
  <c r="AG83" i="2"/>
  <c r="AE84" i="2"/>
  <c r="AF84" i="2"/>
  <c r="AG84" i="2"/>
  <c r="AE85" i="2"/>
  <c r="AF85" i="2"/>
  <c r="AG85" i="2"/>
  <c r="AE86" i="2"/>
  <c r="AF86" i="2"/>
  <c r="AG86" i="2"/>
  <c r="AE87" i="2"/>
  <c r="AF87" i="2"/>
  <c r="AG87" i="2"/>
  <c r="AE88" i="2"/>
  <c r="AF88" i="2"/>
  <c r="AG88" i="2"/>
  <c r="AE89" i="2"/>
  <c r="AF89" i="2"/>
  <c r="AG89" i="2"/>
  <c r="AE90" i="2"/>
  <c r="AF90" i="2"/>
  <c r="AG90" i="2"/>
  <c r="AE91" i="2"/>
  <c r="AF91" i="2"/>
  <c r="AG91" i="2"/>
  <c r="AE92" i="2"/>
  <c r="AF92" i="2"/>
  <c r="AG92" i="2"/>
  <c r="AE93" i="2"/>
  <c r="AF93" i="2"/>
  <c r="AG93" i="2"/>
  <c r="AE94" i="2"/>
  <c r="AF94" i="2"/>
  <c r="AG94" i="2"/>
  <c r="AE95" i="2"/>
  <c r="AF95" i="2"/>
  <c r="AG95" i="2"/>
  <c r="AE96" i="2"/>
  <c r="AF96" i="2"/>
  <c r="AG96" i="2"/>
  <c r="AE97" i="2"/>
  <c r="AF97" i="2"/>
  <c r="AG97" i="2"/>
  <c r="AE98" i="2"/>
  <c r="AF98" i="2"/>
  <c r="AG98" i="2"/>
  <c r="AE99" i="2"/>
  <c r="AF99" i="2"/>
  <c r="AG99" i="2"/>
  <c r="AE100" i="2"/>
  <c r="AF100" i="2"/>
  <c r="AG100" i="2"/>
  <c r="AE101" i="2"/>
  <c r="AF101" i="2"/>
  <c r="AG101" i="2"/>
  <c r="AE102" i="2"/>
  <c r="AF102" i="2"/>
  <c r="AG102" i="2"/>
  <c r="AE103" i="2"/>
  <c r="AF103" i="2"/>
  <c r="AG103" i="2"/>
  <c r="AE104" i="2"/>
  <c r="AF104" i="2"/>
  <c r="AG104" i="2"/>
  <c r="AE105" i="2"/>
  <c r="AF105" i="2"/>
  <c r="AG105" i="2"/>
  <c r="AE106" i="2"/>
  <c r="AF106" i="2"/>
  <c r="AG106" i="2"/>
  <c r="AE107" i="2"/>
  <c r="AF107" i="2"/>
  <c r="AG107" i="2"/>
  <c r="AE108" i="2"/>
  <c r="AF108" i="2"/>
  <c r="AG108" i="2"/>
  <c r="AE109" i="2"/>
  <c r="AF109" i="2"/>
  <c r="AG109" i="2"/>
  <c r="AE110" i="2"/>
  <c r="AF110" i="2"/>
  <c r="AG110" i="2"/>
  <c r="AE111" i="2"/>
  <c r="AF111" i="2"/>
  <c r="AG111" i="2"/>
  <c r="AE112" i="2"/>
  <c r="AF112" i="2"/>
  <c r="AG112" i="2"/>
  <c r="AE113" i="2"/>
  <c r="AF113" i="2"/>
  <c r="AG113" i="2"/>
  <c r="AE114" i="2"/>
  <c r="AF114" i="2"/>
  <c r="AG114" i="2"/>
  <c r="AE115" i="2"/>
  <c r="AF115" i="2"/>
  <c r="AG115" i="2"/>
  <c r="AE116" i="2"/>
  <c r="AF116" i="2"/>
  <c r="AG116" i="2"/>
  <c r="AE117" i="2"/>
  <c r="AF117" i="2"/>
  <c r="AG117" i="2"/>
  <c r="AE118" i="2"/>
  <c r="AF118" i="2"/>
  <c r="AG118" i="2"/>
  <c r="AE119" i="2"/>
  <c r="AF119" i="2"/>
  <c r="AG119" i="2"/>
  <c r="AE120" i="2"/>
  <c r="AF120" i="2"/>
  <c r="AG120" i="2"/>
  <c r="AE121" i="2"/>
  <c r="AF121" i="2"/>
  <c r="AG121" i="2"/>
  <c r="AE122" i="2"/>
  <c r="AF122" i="2"/>
  <c r="AG122" i="2"/>
  <c r="AE123" i="2"/>
  <c r="AF123" i="2"/>
  <c r="AG123" i="2"/>
  <c r="AE124" i="2"/>
  <c r="AF124" i="2"/>
  <c r="AG124" i="2"/>
  <c r="AE125" i="2"/>
  <c r="AF125" i="2"/>
  <c r="AG125" i="2"/>
  <c r="AE126" i="2"/>
  <c r="AF126" i="2"/>
  <c r="AG126" i="2"/>
  <c r="AE127" i="2"/>
  <c r="AF127" i="2"/>
  <c r="AG127" i="2"/>
  <c r="AE128" i="2"/>
  <c r="AF128" i="2"/>
  <c r="AG128" i="2"/>
  <c r="AE129" i="2"/>
  <c r="AF129" i="2"/>
  <c r="AG129" i="2"/>
  <c r="AE130" i="2"/>
  <c r="AF130" i="2"/>
  <c r="AG130" i="2"/>
  <c r="AE131" i="2"/>
  <c r="AF131" i="2"/>
  <c r="AG131" i="2"/>
  <c r="AE132" i="2"/>
  <c r="AF132" i="2"/>
  <c r="AG132" i="2"/>
  <c r="AE133" i="2"/>
  <c r="AF133" i="2"/>
  <c r="AG133" i="2"/>
  <c r="AE134" i="2"/>
  <c r="AF134" i="2"/>
  <c r="AG134" i="2"/>
  <c r="AE135" i="2"/>
  <c r="AF135" i="2"/>
  <c r="AG135" i="2"/>
  <c r="AE136" i="2"/>
  <c r="AF136" i="2"/>
  <c r="AG136" i="2"/>
  <c r="AE137" i="2"/>
  <c r="AF137" i="2"/>
  <c r="AG137" i="2"/>
  <c r="AE138" i="2"/>
  <c r="AF138" i="2"/>
  <c r="AG138" i="2"/>
  <c r="AE139" i="2"/>
  <c r="AF139" i="2"/>
  <c r="AG139" i="2"/>
  <c r="AE140" i="2"/>
  <c r="AF140" i="2"/>
  <c r="AG140" i="2"/>
  <c r="AE141" i="2"/>
  <c r="AF141" i="2"/>
  <c r="AG141" i="2"/>
  <c r="AE142" i="2"/>
  <c r="AF142" i="2"/>
  <c r="AG142" i="2"/>
  <c r="AE143" i="2"/>
  <c r="AF143" i="2"/>
  <c r="AG143" i="2"/>
  <c r="AE144" i="2"/>
  <c r="AF144" i="2"/>
  <c r="AG144" i="2"/>
  <c r="AE145" i="2"/>
  <c r="AF145" i="2"/>
  <c r="AG145" i="2"/>
  <c r="AE146" i="2"/>
  <c r="AF146" i="2"/>
  <c r="AG146" i="2"/>
  <c r="AE147" i="2"/>
  <c r="AF147" i="2"/>
  <c r="AG147" i="2"/>
  <c r="AE148" i="2"/>
  <c r="AF148" i="2"/>
  <c r="AG148" i="2"/>
  <c r="AE149" i="2"/>
  <c r="AF149" i="2"/>
  <c r="AG149" i="2"/>
  <c r="AE150" i="2"/>
  <c r="AF150" i="2"/>
  <c r="AG150" i="2"/>
  <c r="AE151" i="2"/>
  <c r="AF151" i="2"/>
  <c r="AG151" i="2"/>
  <c r="AE152" i="2"/>
  <c r="AF152" i="2"/>
  <c r="AG152" i="2"/>
  <c r="AE153" i="2"/>
  <c r="AF153" i="2"/>
  <c r="AG153" i="2"/>
  <c r="AE154" i="2"/>
  <c r="AF154" i="2"/>
  <c r="AG154" i="2"/>
  <c r="AE155" i="2"/>
  <c r="AF155" i="2"/>
  <c r="AG155" i="2"/>
  <c r="AE156" i="2"/>
  <c r="AF156" i="2"/>
  <c r="AG156" i="2"/>
  <c r="AE157" i="2"/>
  <c r="AF157" i="2"/>
  <c r="AG157" i="2"/>
  <c r="AE158" i="2"/>
  <c r="AF158" i="2"/>
  <c r="AG158" i="2"/>
  <c r="AE159" i="2"/>
  <c r="AF159" i="2"/>
  <c r="AG159" i="2"/>
  <c r="AE160" i="2"/>
  <c r="AF160" i="2"/>
  <c r="AG160" i="2"/>
  <c r="AE161" i="2"/>
  <c r="AF161" i="2"/>
  <c r="AG161" i="2"/>
  <c r="AE162" i="2"/>
  <c r="AF162" i="2"/>
  <c r="AG162" i="2"/>
  <c r="AE163" i="2"/>
  <c r="AF163" i="2"/>
  <c r="AG163" i="2"/>
  <c r="AE164" i="2"/>
  <c r="AF164" i="2"/>
  <c r="AG164" i="2"/>
  <c r="AE165" i="2"/>
  <c r="AF165" i="2"/>
  <c r="AG165" i="2"/>
  <c r="AE166" i="2"/>
  <c r="AF166" i="2"/>
  <c r="AG166" i="2"/>
  <c r="AE167" i="2"/>
  <c r="AF167" i="2"/>
  <c r="AG167" i="2"/>
  <c r="AE168" i="2"/>
  <c r="AF168" i="2"/>
  <c r="AG168" i="2"/>
  <c r="AE169" i="2"/>
  <c r="AF169" i="2"/>
  <c r="AG169" i="2"/>
  <c r="AE170" i="2"/>
  <c r="AF170" i="2"/>
  <c r="AG170" i="2"/>
  <c r="AE171" i="2"/>
  <c r="AF171" i="2"/>
  <c r="AG171" i="2"/>
  <c r="AE172" i="2"/>
  <c r="AF172" i="2"/>
  <c r="AG172" i="2"/>
  <c r="AE173" i="2"/>
  <c r="AF173" i="2"/>
  <c r="AG173" i="2"/>
  <c r="AE174" i="2"/>
  <c r="AF174" i="2"/>
  <c r="AG174" i="2"/>
  <c r="AE175" i="2"/>
  <c r="AF175" i="2"/>
  <c r="AG175" i="2"/>
  <c r="AE176" i="2"/>
  <c r="AF176" i="2"/>
  <c r="AG176" i="2"/>
  <c r="AE177" i="2"/>
  <c r="AF177" i="2"/>
  <c r="AG177" i="2"/>
  <c r="AE178" i="2"/>
  <c r="AF178" i="2"/>
  <c r="AG178" i="2"/>
  <c r="AE179" i="2"/>
  <c r="AF179" i="2"/>
  <c r="AG179" i="2"/>
  <c r="AE180" i="2"/>
  <c r="AF180" i="2"/>
  <c r="AG180" i="2"/>
  <c r="AE181" i="2"/>
  <c r="AF181" i="2"/>
  <c r="AG181" i="2"/>
  <c r="AE182" i="2"/>
  <c r="AF182" i="2"/>
  <c r="AG182" i="2"/>
  <c r="AE183" i="2"/>
  <c r="AF183" i="2"/>
  <c r="AG183" i="2"/>
  <c r="AE184" i="2"/>
  <c r="AF184" i="2"/>
  <c r="AG184" i="2"/>
  <c r="AE185" i="2"/>
  <c r="AF185" i="2"/>
  <c r="AG185" i="2"/>
  <c r="AE186" i="2"/>
  <c r="AF186" i="2"/>
  <c r="AG186" i="2"/>
  <c r="AE187" i="2"/>
  <c r="AF187" i="2"/>
  <c r="AG187" i="2"/>
  <c r="AE188" i="2"/>
  <c r="AF188" i="2"/>
  <c r="AG188" i="2"/>
  <c r="AE189" i="2"/>
  <c r="AF189" i="2"/>
  <c r="AG189" i="2"/>
  <c r="AE190" i="2"/>
  <c r="AF190" i="2"/>
  <c r="AG190" i="2"/>
  <c r="AE191" i="2"/>
  <c r="AF191" i="2"/>
  <c r="AG191" i="2"/>
  <c r="AE192" i="2"/>
  <c r="AF192" i="2"/>
  <c r="AG192" i="2"/>
  <c r="AE193" i="2"/>
  <c r="AF193" i="2"/>
  <c r="AG193" i="2"/>
  <c r="AE194" i="2"/>
  <c r="AF194" i="2"/>
  <c r="AG194" i="2"/>
  <c r="AE195" i="2"/>
  <c r="AF195" i="2"/>
  <c r="AG195" i="2"/>
  <c r="AE196" i="2"/>
  <c r="AF196" i="2"/>
  <c r="AG196" i="2"/>
  <c r="AE197" i="2"/>
  <c r="AF197" i="2"/>
  <c r="AG197" i="2"/>
  <c r="AE198" i="2"/>
  <c r="AF198" i="2"/>
  <c r="AG198" i="2"/>
  <c r="AE199" i="2"/>
  <c r="AF199" i="2"/>
  <c r="AG199" i="2"/>
  <c r="AE200" i="2"/>
  <c r="AF200" i="2"/>
  <c r="AG200" i="2"/>
  <c r="AE201" i="2"/>
  <c r="AF201" i="2"/>
  <c r="AG201" i="2"/>
  <c r="AG2" i="2"/>
  <c r="AF2" i="2"/>
  <c r="A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" i="2"/>
  <c r="C153" i="1"/>
  <c r="D153" i="1"/>
  <c r="E153" i="1"/>
  <c r="B153" i="1"/>
  <c r="C152" i="1"/>
  <c r="D152" i="1"/>
  <c r="E152" i="1"/>
  <c r="B152" i="1"/>
  <c r="H13" i="3"/>
  <c r="G9" i="3"/>
  <c r="G8" i="3"/>
  <c r="F5" i="3"/>
  <c r="G5" i="3" s="1"/>
  <c r="F4" i="3"/>
  <c r="G4" i="3" s="1"/>
  <c r="F3" i="3"/>
  <c r="G3" i="3" s="1"/>
  <c r="G7" i="3"/>
  <c r="Y5" i="2" l="1"/>
  <c r="Y4" i="2"/>
  <c r="Y3" i="2"/>
  <c r="Y2" i="2"/>
  <c r="R4" i="2"/>
  <c r="R3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T3" i="2"/>
  <c r="T4" i="2"/>
  <c r="T5" i="2"/>
  <c r="U5" i="2" s="1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U3" i="2" l="1"/>
  <c r="U4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" i="2"/>
</calcChain>
</file>

<file path=xl/sharedStrings.xml><?xml version="1.0" encoding="utf-8"?>
<sst xmlns="http://schemas.openxmlformats.org/spreadsheetml/2006/main" count="2403" uniqueCount="107">
  <si>
    <t>CustID</t>
  </si>
  <si>
    <t>Gender</t>
  </si>
  <si>
    <t>Race</t>
  </si>
  <si>
    <t>New_race</t>
  </si>
  <si>
    <t>BirthDate</t>
  </si>
  <si>
    <t>College</t>
  </si>
  <si>
    <t>HouseholdSize</t>
  </si>
  <si>
    <t>ZipCode</t>
  </si>
  <si>
    <t>Income</t>
  </si>
  <si>
    <t>Spending2020</t>
  </si>
  <si>
    <t>Spending2021</t>
  </si>
  <si>
    <t>NumOfOrders</t>
  </si>
  <si>
    <t>DaysSinceLast</t>
  </si>
  <si>
    <t>Satisfaction</t>
  </si>
  <si>
    <t>Channel</t>
  </si>
  <si>
    <t>Satisface_score</t>
  </si>
  <si>
    <t>DaySinceLastReverse</t>
  </si>
  <si>
    <t>R_score</t>
  </si>
  <si>
    <t>F_score</t>
  </si>
  <si>
    <t>M_score</t>
  </si>
  <si>
    <t>RMF</t>
  </si>
  <si>
    <t>RecencyRange</t>
  </si>
  <si>
    <t>FrequencyRange</t>
  </si>
  <si>
    <t>MonetaryRange</t>
  </si>
  <si>
    <t>IncomeRang</t>
  </si>
  <si>
    <t>Chanel_TV</t>
  </si>
  <si>
    <t>Chanel_Referral</t>
  </si>
  <si>
    <t>Channel_SM</t>
  </si>
  <si>
    <t>A. Guideline for Subsetting</t>
  </si>
  <si>
    <t>Female</t>
  </si>
  <si>
    <t>Black</t>
  </si>
  <si>
    <t>Yes</t>
  </si>
  <si>
    <t>Very Dissatisfied</t>
  </si>
  <si>
    <t>SM</t>
  </si>
  <si>
    <t>20th percentile</t>
  </si>
  <si>
    <t>1. Use Filter to select only those customers in the millennials and with Collage.</t>
  </si>
  <si>
    <t>Male</t>
  </si>
  <si>
    <t>White</t>
  </si>
  <si>
    <t>Neutral</t>
  </si>
  <si>
    <t>TV</t>
  </si>
  <si>
    <t>40th percentile</t>
  </si>
  <si>
    <t>2. Copy the range to new sheet, then select only required columns.</t>
  </si>
  <si>
    <t>Very Satisfied</t>
  </si>
  <si>
    <t>60th percentile</t>
  </si>
  <si>
    <t>3. Filter Sex to have Male or Female as required.</t>
  </si>
  <si>
    <t>80th percentile</t>
  </si>
  <si>
    <t>Hispanic</t>
  </si>
  <si>
    <t>No</t>
  </si>
  <si>
    <t>Web</t>
  </si>
  <si>
    <t>B. Guideline for Transfomating some categories of Race to a new category.</t>
  </si>
  <si>
    <t>max</t>
  </si>
  <si>
    <t>1. Use Insert/Pivot table to choose column Race to visualize as Rows and  Count of Race for Value to display.</t>
  </si>
  <si>
    <t>Referral</t>
  </si>
  <si>
    <t>min</t>
  </si>
  <si>
    <t>Asian</t>
  </si>
  <si>
    <t>C. Guideline for Transform category of Satisfaction to Score</t>
  </si>
  <si>
    <t>1. Uae if statement to map the category to score value as desired.</t>
  </si>
  <si>
    <t>Count of Race</t>
  </si>
  <si>
    <t>American Indian</t>
  </si>
  <si>
    <t>Pacific Islander</t>
  </si>
  <si>
    <t>Grand Total</t>
  </si>
  <si>
    <t>Somewhat Satisfied</t>
  </si>
  <si>
    <t>Somewhat Dissatisfied</t>
  </si>
  <si>
    <t>RecordNum</t>
  </si>
  <si>
    <t>Ambience</t>
  </si>
  <si>
    <t>Cleanliness</t>
  </si>
  <si>
    <t xml:space="preserve">Service </t>
  </si>
  <si>
    <t>Food</t>
  </si>
  <si>
    <t>Guideline</t>
  </si>
  <si>
    <t>1.Select the whole range of data</t>
  </si>
  <si>
    <t>2. Apply Conditional formatting to highlight blank cells</t>
  </si>
  <si>
    <t>3. Delete any rows if found too much errors to impute</t>
  </si>
  <si>
    <t>4. Average or use other ways to impute the blank in each column.</t>
  </si>
  <si>
    <t>EmployeeID</t>
  </si>
  <si>
    <t>HourlyWage</t>
  </si>
  <si>
    <t>Industry</t>
  </si>
  <si>
    <t>Job</t>
  </si>
  <si>
    <t>total</t>
  </si>
  <si>
    <t xml:space="preserve"> </t>
  </si>
  <si>
    <t>Construction</t>
  </si>
  <si>
    <t>Other</t>
  </si>
  <si>
    <t>Count missing value</t>
  </si>
  <si>
    <t>count</t>
  </si>
  <si>
    <t>missing</t>
  </si>
  <si>
    <t>method</t>
  </si>
  <si>
    <t>Automotive</t>
  </si>
  <si>
    <t>Engineer</t>
  </si>
  <si>
    <t>using count, or counta</t>
  </si>
  <si>
    <t>Accountant</t>
  </si>
  <si>
    <t>using counta</t>
  </si>
  <si>
    <t>1.No.employee work in Automotive</t>
  </si>
  <si>
    <t>using countif</t>
  </si>
  <si>
    <t>2.No.employee earned &gt; 30/hour</t>
  </si>
  <si>
    <t>1) AND 2)</t>
  </si>
  <si>
    <t>using countifs</t>
  </si>
  <si>
    <t>lowest</t>
  </si>
  <si>
    <t>highest</t>
  </si>
  <si>
    <t>Lowest and Highest paid</t>
  </si>
  <si>
    <t>As a whole</t>
  </si>
  <si>
    <t>Using Filter or minifs(), maxifs() functions</t>
  </si>
  <si>
    <t>Consultant</t>
  </si>
  <si>
    <t>Accountant in Automotive</t>
  </si>
  <si>
    <t>Accountant in Tech</t>
  </si>
  <si>
    <t>Sales Rep</t>
  </si>
  <si>
    <t>Tech</t>
  </si>
  <si>
    <t>Programmer</t>
  </si>
  <si>
    <t>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</si>
</sst>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1"/>
      <color rgb="FFFF0000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3" xfId="0" applyFill="1" applyBorder="1"/>
    <xf numFmtId="0" fontId="0" fillId="2" borderId="4" xfId="0" applyFill="1" applyBorder="1" applyAlignment="1">
      <alignment horizontal="left"/>
    </xf>
    <xf numFmtId="0" fontId="0" fillId="2" borderId="4" xfId="0" applyFill="1" applyBorder="1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pivotButton="1"/>
    <xf numFmtId="0" fontId="2" fillId="0" borderId="0" xfId="0" applyFont="1" applyAlignment="1">
      <alignment horizontal="right"/>
    </xf>
  </cellXfs>
  <cellStyles count="1">
    <cellStyle name="ปกติ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4.415732754627" createdVersion="8" refreshedVersion="8" minRefreshableVersion="3" recordCount="200" xr:uid="{55D50070-ED83-4FBD-98EC-51B5E0F468F5}">
  <cacheSource type="worksheet">
    <worksheetSource ref="A1:O201" sheet="Customers"/>
  </cacheSource>
  <cacheFields count="14">
    <cacheField name="CustID" numFmtId="0">
      <sharedItems containsSemiMixedTypes="0" containsString="0" containsNumber="1" containsInteger="1" minValue="1530016" maxValue="1579979"/>
    </cacheField>
    <cacheField name="Gender" numFmtId="0">
      <sharedItems/>
    </cacheField>
    <cacheField name="Race" numFmtId="0">
      <sharedItems count="6">
        <s v="Black"/>
        <s v="White"/>
        <s v="Hispanic"/>
        <s v="Asian"/>
        <s v="Pacific Islander"/>
        <s v="American Indian"/>
      </sharedItems>
    </cacheField>
    <cacheField name="BirthDate" numFmtId="14">
      <sharedItems containsSemiMixedTypes="0" containsNonDate="0" containsDate="1" containsString="0" minDate="1952-02-01T00:00:00" maxDate="2000-12-10T00:00:00"/>
    </cacheField>
    <cacheField name="College" numFmtId="0">
      <sharedItems/>
    </cacheField>
    <cacheField name="HouseholdSize" numFmtId="0">
      <sharedItems containsSemiMixedTypes="0" containsString="0" containsNumber="1" containsInteger="1" minValue="1" maxValue="5"/>
    </cacheField>
    <cacheField name="ZipCode" numFmtId="0">
      <sharedItems containsSemiMixedTypes="0" containsString="0" containsNumber="1" containsInteger="1" minValue="90001" maxValue="90068"/>
    </cacheField>
    <cacheField name="Income" numFmtId="0">
      <sharedItems containsSemiMixedTypes="0" containsString="0" containsNumber="1" containsInteger="1" minValue="31000" maxValue="167000"/>
    </cacheField>
    <cacheField name="Spending2020" numFmtId="0">
      <sharedItems containsSemiMixedTypes="0" containsString="0" containsNumber="1" containsInteger="1" minValue="42" maxValue="1851"/>
    </cacheField>
    <cacheField name="Spending2021" numFmtId="0">
      <sharedItems containsSemiMixedTypes="0" containsString="0" containsNumber="1" containsInteger="1" minValue="50" maxValue="1250"/>
    </cacheField>
    <cacheField name="NumOfOrders" numFmtId="0">
      <sharedItems containsSemiMixedTypes="0" containsString="0" containsNumber="1" containsInteger="1" minValue="1" maxValue="31"/>
    </cacheField>
    <cacheField name="DaysSinceLast" numFmtId="0">
      <sharedItems containsSemiMixedTypes="0" containsString="0" containsNumber="1" containsInteger="1" minValue="6" maxValue="360"/>
    </cacheField>
    <cacheField name="Satisfaction" numFmtId="0">
      <sharedItems/>
    </cacheField>
    <cacheField name="Chann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530016"/>
    <s v="Female"/>
    <x v="0"/>
    <d v="1986-12-16T00:00:00"/>
    <s v="Yes"/>
    <n v="5"/>
    <n v="90047"/>
    <n v="53000"/>
    <n v="287"/>
    <n v="241"/>
    <n v="3"/>
    <n v="101"/>
    <s v="Very Dissatisfied"/>
    <s v="SM"/>
  </r>
  <r>
    <n v="1531136"/>
    <s v="Male"/>
    <x v="1"/>
    <d v="1993-05-09T00:00:00"/>
    <s v="Yes"/>
    <n v="5"/>
    <n v="90026"/>
    <n v="94000"/>
    <n v="1227"/>
    <n v="843"/>
    <n v="12"/>
    <n v="262"/>
    <s v="Neutral"/>
    <s v="TV"/>
  </r>
  <r>
    <n v="1532160"/>
    <s v="Male"/>
    <x v="0"/>
    <d v="1966-05-22T00:00:00"/>
    <s v="Yes"/>
    <n v="2"/>
    <n v="90027"/>
    <n v="64000"/>
    <n v="523"/>
    <n v="719"/>
    <n v="9"/>
    <n v="122"/>
    <s v="Very Satisfied"/>
    <s v="TV"/>
  </r>
  <r>
    <n v="1532307"/>
    <s v="Male"/>
    <x v="1"/>
    <d v="1964-09-16T00:00:00"/>
    <s v="Yes"/>
    <n v="4"/>
    <n v="90029"/>
    <n v="60000"/>
    <n v="516"/>
    <n v="582"/>
    <n v="13"/>
    <n v="129"/>
    <s v="Very Dissatisfied"/>
    <s v="SM"/>
  </r>
  <r>
    <n v="1532356"/>
    <s v="Female"/>
    <x v="2"/>
    <d v="1964-07-15T00:00:00"/>
    <s v="No"/>
    <n v="5"/>
    <n v="90017"/>
    <n v="47000"/>
    <n v="555"/>
    <n v="845"/>
    <n v="7"/>
    <n v="97"/>
    <s v="Very Dissatisfied"/>
    <s v="Web"/>
  </r>
  <r>
    <n v="1532387"/>
    <s v="Male"/>
    <x v="1"/>
    <d v="1957-08-27T00:00:00"/>
    <s v="Yes"/>
    <n v="2"/>
    <n v="90028"/>
    <n v="67000"/>
    <n v="631"/>
    <n v="452"/>
    <n v="9"/>
    <n v="150"/>
    <s v="Neutral"/>
    <s v="SM"/>
  </r>
  <r>
    <n v="1533017"/>
    <s v="Female"/>
    <x v="2"/>
    <d v="1985-05-14T00:00:00"/>
    <s v="Yes"/>
    <n v="3"/>
    <n v="90063"/>
    <n v="84000"/>
    <n v="229"/>
    <n v="153"/>
    <n v="2"/>
    <n v="144"/>
    <s v="Very Satisfied"/>
    <s v="Web"/>
  </r>
  <r>
    <n v="1533561"/>
    <s v="Male"/>
    <x v="2"/>
    <d v="1981-02-10T00:00:00"/>
    <s v="Yes"/>
    <n v="5"/>
    <n v="90050"/>
    <n v="76000"/>
    <n v="1474"/>
    <n v="1079"/>
    <n v="23"/>
    <n v="122"/>
    <s v="Very Satisfied"/>
    <s v="Referral"/>
  </r>
  <r>
    <n v="1533697"/>
    <s v="Female"/>
    <x v="3"/>
    <d v="1974-10-08T00:00:00"/>
    <s v="Yes"/>
    <n v="3"/>
    <n v="90038"/>
    <n v="42000"/>
    <n v="300"/>
    <n v="247"/>
    <n v="3"/>
    <n v="238"/>
    <s v="Very Satisfied"/>
    <s v="Web"/>
  </r>
  <r>
    <n v="1533766"/>
    <s v="Male"/>
    <x v="2"/>
    <d v="1971-09-16T00:00:00"/>
    <s v="Yes"/>
    <n v="2"/>
    <n v="90057"/>
    <n v="71000"/>
    <n v="925"/>
    <n v="708"/>
    <n v="4"/>
    <n v="171"/>
    <s v="Neutral"/>
    <s v="TV"/>
  </r>
  <r>
    <n v="1533791"/>
    <s v="Male"/>
    <x v="1"/>
    <d v="1999-10-27T00:00:00"/>
    <s v="Yes"/>
    <n v="1"/>
    <n v="90060"/>
    <n v="97000"/>
    <n v="828"/>
    <n v="1028"/>
    <n v="17"/>
    <n v="110"/>
    <s v="Very Dissatisfied"/>
    <s v="Web"/>
  </r>
  <r>
    <n v="1533917"/>
    <s v="Female"/>
    <x v="0"/>
    <d v="1993-03-03T00:00:00"/>
    <s v="Yes"/>
    <n v="3"/>
    <n v="90045"/>
    <n v="64000"/>
    <n v="768"/>
    <n v="915"/>
    <n v="15"/>
    <n v="19"/>
    <s v="Very Satisfied"/>
    <s v="Referral"/>
  </r>
  <r>
    <n v="1534502"/>
    <s v="Male"/>
    <x v="2"/>
    <d v="1989-12-26T00:00:00"/>
    <s v="Yes"/>
    <n v="2"/>
    <n v="90056"/>
    <n v="114000"/>
    <n v="938"/>
    <n v="665"/>
    <n v="7"/>
    <n v="262"/>
    <s v="Very Dissatisfied"/>
    <s v="TV"/>
  </r>
  <r>
    <n v="1534928"/>
    <s v="Male"/>
    <x v="2"/>
    <d v="1959-01-18T00:00:00"/>
    <s v="Yes"/>
    <n v="5"/>
    <n v="90033"/>
    <n v="96000"/>
    <n v="631"/>
    <n v="796"/>
    <n v="13"/>
    <n v="68"/>
    <s v="Neutral"/>
    <s v="Referral"/>
  </r>
  <r>
    <n v="1535063"/>
    <s v="Female"/>
    <x v="1"/>
    <d v="1982-12-17T00:00:00"/>
    <s v="Yes"/>
    <n v="3"/>
    <n v="90024"/>
    <n v="42000"/>
    <n v="341"/>
    <n v="313"/>
    <n v="4"/>
    <n v="300"/>
    <s v="Very Dissatisfied"/>
    <s v="TV"/>
  </r>
  <r>
    <n v="1535406"/>
    <s v="Male"/>
    <x v="1"/>
    <d v="1984-02-04T00:00:00"/>
    <s v="No"/>
    <n v="5"/>
    <n v="90051"/>
    <n v="55000"/>
    <n v="129"/>
    <n v="100"/>
    <n v="1"/>
    <n v="80"/>
    <s v="Very Dissatisfied"/>
    <s v="Web"/>
  </r>
  <r>
    <n v="1535449"/>
    <s v="Male"/>
    <x v="0"/>
    <d v="1958-09-21T00:00:00"/>
    <s v="No"/>
    <n v="2"/>
    <n v="90062"/>
    <n v="56000"/>
    <n v="435"/>
    <n v="384"/>
    <n v="6"/>
    <n v="180"/>
    <s v="Very Dissatisfied"/>
    <s v="TV"/>
  </r>
  <r>
    <n v="1535927"/>
    <s v="Male"/>
    <x v="1"/>
    <d v="1979-01-12T00:00:00"/>
    <s v="Yes"/>
    <n v="1"/>
    <n v="90003"/>
    <n v="66000"/>
    <n v="1283"/>
    <n v="879"/>
    <n v="10"/>
    <n v="35"/>
    <s v="Very Satisfied"/>
    <s v="Referral"/>
  </r>
  <r>
    <n v="1536475"/>
    <s v="Male"/>
    <x v="4"/>
    <d v="1958-05-17T00:00:00"/>
    <s v="Yes"/>
    <n v="2"/>
    <n v="90019"/>
    <n v="73000"/>
    <n v="1276"/>
    <n v="1108"/>
    <n v="20"/>
    <n v="56"/>
    <s v="Neutral"/>
    <s v="Web"/>
  </r>
  <r>
    <n v="1536814"/>
    <s v="Male"/>
    <x v="0"/>
    <d v="1962-07-25T00:00:00"/>
    <s v="Yes"/>
    <n v="5"/>
    <n v="90036"/>
    <n v="86000"/>
    <n v="478"/>
    <n v="401"/>
    <n v="3"/>
    <n v="80"/>
    <s v="Very Dissatisfied"/>
    <s v="Web"/>
  </r>
  <r>
    <n v="1537373"/>
    <s v="Female"/>
    <x v="0"/>
    <d v="1972-01-20T00:00:00"/>
    <s v="No"/>
    <n v="5"/>
    <n v="90035"/>
    <n v="44000"/>
    <n v="615"/>
    <n v="748"/>
    <n v="15"/>
    <n v="295"/>
    <s v="Very Satisfied"/>
    <s v="Web"/>
  </r>
  <r>
    <n v="1537553"/>
    <s v="Female"/>
    <x v="1"/>
    <d v="1961-07-07T00:00:00"/>
    <s v="No"/>
    <n v="4"/>
    <n v="90060"/>
    <n v="36000"/>
    <n v="153"/>
    <n v="141"/>
    <n v="2"/>
    <n v="360"/>
    <s v="Very Satisfied"/>
    <s v="TV"/>
  </r>
  <r>
    <n v="1538886"/>
    <s v="Male"/>
    <x v="5"/>
    <d v="1996-09-15T00:00:00"/>
    <s v="Yes"/>
    <n v="2"/>
    <n v="90014"/>
    <n v="94000"/>
    <n v="590"/>
    <n v="524"/>
    <n v="7"/>
    <n v="177"/>
    <s v="Somewhat Satisfied"/>
    <s v="Referral"/>
  </r>
  <r>
    <n v="1539494"/>
    <s v="Male"/>
    <x v="1"/>
    <d v="1973-11-17T00:00:00"/>
    <s v="Yes"/>
    <n v="4"/>
    <n v="90038"/>
    <n v="54000"/>
    <n v="451"/>
    <n v="307"/>
    <n v="6"/>
    <n v="35"/>
    <s v="Neutral"/>
    <s v="Web"/>
  </r>
  <r>
    <n v="1539808"/>
    <s v="Male"/>
    <x v="0"/>
    <d v="1954-08-02T00:00:00"/>
    <s v="Yes"/>
    <n v="5"/>
    <n v="90024"/>
    <n v="82000"/>
    <n v="389"/>
    <n v="486"/>
    <n v="6"/>
    <n v="167"/>
    <s v="Neutral"/>
    <s v="Web"/>
  </r>
  <r>
    <n v="1539941"/>
    <s v="Male"/>
    <x v="2"/>
    <d v="1994-06-22T00:00:00"/>
    <s v="No"/>
    <n v="1"/>
    <n v="90033"/>
    <n v="42000"/>
    <n v="697"/>
    <n v="1150"/>
    <n v="22"/>
    <n v="267"/>
    <s v="Very Satisfied"/>
    <s v="Referral"/>
  </r>
  <r>
    <n v="1539995"/>
    <s v="Female"/>
    <x v="2"/>
    <d v="1956-10-12T00:00:00"/>
    <s v="Yes"/>
    <n v="2"/>
    <n v="90067"/>
    <n v="96000"/>
    <n v="631"/>
    <n v="802"/>
    <n v="17"/>
    <n v="354"/>
    <s v="Somewhat Satisfied"/>
    <s v="TV"/>
  </r>
  <r>
    <n v="1540076"/>
    <s v="Male"/>
    <x v="5"/>
    <d v="1978-01-24T00:00:00"/>
    <s v="Yes"/>
    <n v="5"/>
    <n v="90012"/>
    <n v="60000"/>
    <n v="63"/>
    <n v="113"/>
    <n v="1"/>
    <n v="178"/>
    <s v="Very Satisfied"/>
    <s v="TV"/>
  </r>
  <r>
    <n v="1540183"/>
    <s v="Male"/>
    <x v="1"/>
    <d v="1991-02-27T00:00:00"/>
    <s v="Yes"/>
    <n v="1"/>
    <n v="90066"/>
    <n v="91000"/>
    <n v="1018"/>
    <n v="800"/>
    <n v="10"/>
    <n v="6"/>
    <s v="Somewhat Satisfied"/>
    <s v="Web"/>
  </r>
  <r>
    <n v="1540217"/>
    <s v="Male"/>
    <x v="2"/>
    <d v="1969-10-22T00:00:00"/>
    <s v="Yes"/>
    <n v="1"/>
    <n v="90011"/>
    <n v="76000"/>
    <n v="546"/>
    <n v="1037"/>
    <n v="26"/>
    <n v="271"/>
    <s v="Somewhat Satisfied"/>
    <s v="SM"/>
  </r>
  <r>
    <n v="1540539"/>
    <s v="Male"/>
    <x v="1"/>
    <d v="1960-05-28T00:00:00"/>
    <s v="Yes"/>
    <n v="5"/>
    <n v="90049"/>
    <n v="100000"/>
    <n v="50"/>
    <n v="50"/>
    <n v="1"/>
    <n v="240"/>
    <s v="Somewhat Satisfied"/>
    <s v="Web"/>
  </r>
  <r>
    <n v="1540604"/>
    <s v="Female"/>
    <x v="1"/>
    <d v="1970-04-22T00:00:00"/>
    <s v="Yes"/>
    <n v="3"/>
    <n v="90011"/>
    <n v="73000"/>
    <n v="428"/>
    <n v="539"/>
    <n v="5"/>
    <n v="12"/>
    <s v="Very Satisfied"/>
    <s v="Web"/>
  </r>
  <r>
    <n v="1541742"/>
    <s v="Male"/>
    <x v="0"/>
    <d v="1960-03-15T00:00:00"/>
    <s v="Yes"/>
    <n v="2"/>
    <n v="90052"/>
    <n v="106000"/>
    <n v="775"/>
    <n v="536"/>
    <n v="12"/>
    <n v="140"/>
    <s v="Somewhat Dissatisfied"/>
    <s v="Referral"/>
  </r>
  <r>
    <n v="1541931"/>
    <s v="Male"/>
    <x v="0"/>
    <d v="1956-01-04T00:00:00"/>
    <s v="Yes"/>
    <n v="3"/>
    <n v="90011"/>
    <n v="55000"/>
    <n v="561"/>
    <n v="587"/>
    <n v="11"/>
    <n v="302"/>
    <s v="Somewhat Satisfied"/>
    <s v="TV"/>
  </r>
  <r>
    <n v="1542099"/>
    <s v="Male"/>
    <x v="3"/>
    <d v="1984-07-06T00:00:00"/>
    <s v="Yes"/>
    <n v="2"/>
    <n v="90038"/>
    <n v="86000"/>
    <n v="234"/>
    <n v="314"/>
    <n v="7"/>
    <n v="96"/>
    <s v="Somewhat Dissatisfied"/>
    <s v="SM"/>
  </r>
  <r>
    <n v="1542147"/>
    <s v="Male"/>
    <x v="0"/>
    <d v="1989-03-27T00:00:00"/>
    <s v="Yes"/>
    <n v="5"/>
    <n v="90030"/>
    <n v="51000"/>
    <n v="398"/>
    <n v="573"/>
    <n v="8"/>
    <n v="218"/>
    <s v="Somewhat Satisfied"/>
    <s v="SM"/>
  </r>
  <r>
    <n v="1542352"/>
    <s v="Male"/>
    <x v="1"/>
    <d v="1978-04-03T00:00:00"/>
    <s v="Yes"/>
    <n v="4"/>
    <n v="90048"/>
    <n v="60000"/>
    <n v="84"/>
    <n v="132"/>
    <n v="3"/>
    <n v="349"/>
    <s v="Neutral"/>
    <s v="SM"/>
  </r>
  <r>
    <n v="1542818"/>
    <s v="Female"/>
    <x v="1"/>
    <d v="1960-12-10T00:00:00"/>
    <s v="Yes"/>
    <n v="1"/>
    <n v="90048"/>
    <n v="63000"/>
    <n v="969"/>
    <n v="814"/>
    <n v="14"/>
    <n v="58"/>
    <s v="Neutral"/>
    <s v="TV"/>
  </r>
  <r>
    <n v="1543502"/>
    <s v="Male"/>
    <x v="2"/>
    <d v="1982-04-06T00:00:00"/>
    <s v="Yes"/>
    <n v="2"/>
    <n v="90007"/>
    <n v="55000"/>
    <n v="461"/>
    <n v="563"/>
    <n v="12"/>
    <n v="17"/>
    <s v="Somewhat Satisfied"/>
    <s v="SM"/>
  </r>
  <r>
    <n v="1543582"/>
    <s v="Male"/>
    <x v="1"/>
    <d v="1973-04-23T00:00:00"/>
    <s v="Yes"/>
    <n v="3"/>
    <n v="90047"/>
    <n v="101000"/>
    <n v="1166"/>
    <n v="1064"/>
    <n v="13"/>
    <n v="108"/>
    <s v="Somewhat Dissatisfied"/>
    <s v="Web"/>
  </r>
  <r>
    <n v="1543734"/>
    <s v="Male"/>
    <x v="4"/>
    <d v="1990-03-06T00:00:00"/>
    <s v="Yes"/>
    <n v="5"/>
    <n v="90042"/>
    <n v="69000"/>
    <n v="390"/>
    <n v="442"/>
    <n v="3"/>
    <n v="265"/>
    <s v="Somewhat Satisfied"/>
    <s v="TV"/>
  </r>
  <r>
    <n v="1543850"/>
    <s v="Male"/>
    <x v="1"/>
    <d v="1953-12-07T00:00:00"/>
    <s v="Yes"/>
    <n v="1"/>
    <n v="90008"/>
    <n v="66000"/>
    <n v="1851"/>
    <n v="1241"/>
    <n v="21"/>
    <n v="315"/>
    <s v="Very Satisfied"/>
    <s v="SM"/>
  </r>
  <r>
    <n v="1543988"/>
    <s v="Male"/>
    <x v="2"/>
    <d v="1963-06-19T00:00:00"/>
    <s v="Yes"/>
    <n v="3"/>
    <n v="90060"/>
    <n v="83000"/>
    <n v="449"/>
    <n v="813"/>
    <n v="11"/>
    <n v="263"/>
    <s v="Somewhat Satisfied"/>
    <s v="Web"/>
  </r>
  <r>
    <n v="1544003"/>
    <s v="Male"/>
    <x v="2"/>
    <d v="1984-05-08T00:00:00"/>
    <s v="Yes"/>
    <n v="4"/>
    <n v="90010"/>
    <n v="68000"/>
    <n v="1357"/>
    <n v="1214"/>
    <n v="31"/>
    <n v="95"/>
    <s v="Somewhat Satisfied"/>
    <s v="Referral"/>
  </r>
  <r>
    <n v="1544391"/>
    <s v="Male"/>
    <x v="1"/>
    <d v="1997-08-20T00:00:00"/>
    <s v="Yes"/>
    <n v="2"/>
    <n v="90005"/>
    <n v="68000"/>
    <n v="1314"/>
    <n v="1027"/>
    <n v="25"/>
    <n v="92"/>
    <s v="Somewhat Satisfied"/>
    <s v="TV"/>
  </r>
  <r>
    <n v="1544417"/>
    <s v="Male"/>
    <x v="2"/>
    <d v="1980-03-14T00:00:00"/>
    <s v="Yes"/>
    <n v="4"/>
    <n v="90040"/>
    <n v="46000"/>
    <n v="299"/>
    <n v="369"/>
    <n v="3"/>
    <n v="281"/>
    <s v="Somewhat Satisfied"/>
    <s v="TV"/>
  </r>
  <r>
    <n v="1544461"/>
    <s v="Female"/>
    <x v="0"/>
    <d v="1972-08-03T00:00:00"/>
    <s v="No"/>
    <n v="5"/>
    <n v="90033"/>
    <n v="47000"/>
    <n v="328"/>
    <n v="300"/>
    <n v="4"/>
    <n v="66"/>
    <s v="Neutral"/>
    <s v="SM"/>
  </r>
  <r>
    <n v="1544588"/>
    <s v="Male"/>
    <x v="1"/>
    <d v="1995-09-01T00:00:00"/>
    <s v="Yes"/>
    <n v="3"/>
    <n v="90028"/>
    <n v="78000"/>
    <n v="562"/>
    <n v="1057"/>
    <n v="16"/>
    <n v="224"/>
    <s v="Neutral"/>
    <s v="SM"/>
  </r>
  <r>
    <n v="1544628"/>
    <s v="Male"/>
    <x v="1"/>
    <d v="1983-09-15T00:00:00"/>
    <s v="Yes"/>
    <n v="3"/>
    <n v="90021"/>
    <n v="69000"/>
    <n v="215"/>
    <n v="173"/>
    <n v="3"/>
    <n v="11"/>
    <s v="Somewhat Satisfied"/>
    <s v="Web"/>
  </r>
  <r>
    <n v="1544649"/>
    <s v="Male"/>
    <x v="1"/>
    <d v="1962-11-19T00:00:00"/>
    <s v="No"/>
    <n v="4"/>
    <n v="90055"/>
    <n v="55000"/>
    <n v="1081"/>
    <n v="1116"/>
    <n v="28"/>
    <n v="328"/>
    <s v="Somewhat Dissatisfied"/>
    <s v="TV"/>
  </r>
  <r>
    <n v="1544764"/>
    <s v="Female"/>
    <x v="0"/>
    <d v="1995-12-16T00:00:00"/>
    <s v="Yes"/>
    <n v="5"/>
    <n v="90045"/>
    <n v="97000"/>
    <n v="1272"/>
    <n v="911"/>
    <n v="16"/>
    <n v="59"/>
    <s v="Somewhat Satisfied"/>
    <s v="Web"/>
  </r>
  <r>
    <n v="1545054"/>
    <s v="Male"/>
    <x v="2"/>
    <d v="1984-05-11T00:00:00"/>
    <s v="Yes"/>
    <n v="5"/>
    <n v="90014"/>
    <n v="102000"/>
    <n v="356"/>
    <n v="626"/>
    <n v="9"/>
    <n v="320"/>
    <s v="Very Satisfied"/>
    <s v="Referral"/>
  </r>
  <r>
    <n v="1545822"/>
    <s v="Male"/>
    <x v="2"/>
    <d v="1964-10-17T00:00:00"/>
    <s v="Yes"/>
    <n v="4"/>
    <n v="90023"/>
    <n v="96000"/>
    <n v="613"/>
    <n v="1196"/>
    <n v="9"/>
    <n v="240"/>
    <s v="Very Satisfied"/>
    <s v="Web"/>
  </r>
  <r>
    <n v="1546050"/>
    <s v="Male"/>
    <x v="0"/>
    <d v="1965-03-03T00:00:00"/>
    <s v="Yes"/>
    <n v="2"/>
    <n v="90050"/>
    <n v="148000"/>
    <n v="1172"/>
    <n v="892"/>
    <n v="19"/>
    <n v="9"/>
    <s v="Somewhat Satisfied"/>
    <s v="TV"/>
  </r>
  <r>
    <n v="1546105"/>
    <s v="Male"/>
    <x v="0"/>
    <d v="1960-07-13T00:00:00"/>
    <s v="Yes"/>
    <n v="2"/>
    <n v="90033"/>
    <n v="123000"/>
    <n v="1000"/>
    <n v="799"/>
    <n v="8"/>
    <n v="360"/>
    <s v="Somewhat Satisfied"/>
    <s v="Referral"/>
  </r>
  <r>
    <n v="1546138"/>
    <s v="Female"/>
    <x v="0"/>
    <d v="1981-03-08T00:00:00"/>
    <s v="Yes"/>
    <n v="1"/>
    <n v="90024"/>
    <n v="72000"/>
    <n v="1170"/>
    <n v="1125"/>
    <n v="26"/>
    <n v="100"/>
    <s v="Somewhat Satisfied"/>
    <s v="SM"/>
  </r>
  <r>
    <n v="1546179"/>
    <s v="Female"/>
    <x v="0"/>
    <d v="1974-09-22T00:00:00"/>
    <s v="Yes"/>
    <n v="4"/>
    <n v="90034"/>
    <n v="50000"/>
    <n v="911"/>
    <n v="850"/>
    <n v="10"/>
    <n v="47"/>
    <s v="Somewhat Satisfied"/>
    <s v="SM"/>
  </r>
  <r>
    <n v="1546224"/>
    <s v="Female"/>
    <x v="3"/>
    <d v="1980-09-25T00:00:00"/>
    <s v="Yes"/>
    <n v="5"/>
    <n v="90043"/>
    <n v="99000"/>
    <n v="228"/>
    <n v="417"/>
    <n v="9"/>
    <n v="76"/>
    <s v="Somewhat Satisfied"/>
    <s v="Web"/>
  </r>
  <r>
    <n v="1546623"/>
    <s v="Female"/>
    <x v="2"/>
    <d v="1980-05-24T00:00:00"/>
    <s v="Yes"/>
    <n v="2"/>
    <n v="90029"/>
    <n v="56000"/>
    <n v="723"/>
    <n v="1038"/>
    <n v="22"/>
    <n v="188"/>
    <s v="Somewhat Satisfied"/>
    <s v="Referral"/>
  </r>
  <r>
    <n v="1546870"/>
    <s v="Female"/>
    <x v="0"/>
    <d v="1963-05-24T00:00:00"/>
    <s v="Yes"/>
    <n v="4"/>
    <n v="90062"/>
    <n v="71000"/>
    <n v="870"/>
    <n v="1127"/>
    <n v="19"/>
    <n v="40"/>
    <s v="Very Satisfied"/>
    <s v="Referral"/>
  </r>
  <r>
    <n v="1547473"/>
    <s v="Male"/>
    <x v="1"/>
    <d v="1992-11-26T00:00:00"/>
    <s v="Yes"/>
    <n v="4"/>
    <n v="90027"/>
    <n v="65000"/>
    <n v="42"/>
    <n v="78"/>
    <n v="2"/>
    <n v="11"/>
    <s v="Somewhat Satisfied"/>
    <s v="Referral"/>
  </r>
  <r>
    <n v="1547620"/>
    <s v="Male"/>
    <x v="1"/>
    <d v="1962-11-05T00:00:00"/>
    <s v="Yes"/>
    <n v="2"/>
    <n v="90001"/>
    <n v="63000"/>
    <n v="95"/>
    <n v="113"/>
    <n v="2"/>
    <n v="241"/>
    <s v="Somewhat Satisfied"/>
    <s v="TV"/>
  </r>
  <r>
    <n v="1547771"/>
    <s v="Male"/>
    <x v="3"/>
    <d v="1996-03-10T00:00:00"/>
    <s v="Yes"/>
    <n v="3"/>
    <n v="90023"/>
    <n v="56000"/>
    <n v="679"/>
    <n v="790"/>
    <n v="10"/>
    <n v="352"/>
    <s v="Neutral"/>
    <s v="Web"/>
  </r>
  <r>
    <n v="1547864"/>
    <s v="Female"/>
    <x v="2"/>
    <d v="1987-06-15T00:00:00"/>
    <s v="Yes"/>
    <n v="2"/>
    <n v="90050"/>
    <n v="44000"/>
    <n v="397"/>
    <n v="500"/>
    <n v="5"/>
    <n v="333"/>
    <s v="Somewhat Satisfied"/>
    <s v="TV"/>
  </r>
  <r>
    <n v="1548038"/>
    <s v="Male"/>
    <x v="2"/>
    <d v="1996-10-13T00:00:00"/>
    <s v="No"/>
    <n v="3"/>
    <n v="90014"/>
    <n v="72000"/>
    <n v="182"/>
    <n v="163"/>
    <n v="1"/>
    <n v="52"/>
    <s v="Somewhat Satisfied"/>
    <s v="Web"/>
  </r>
  <r>
    <n v="1548419"/>
    <s v="Female"/>
    <x v="2"/>
    <d v="1954-05-27T00:00:00"/>
    <s v="No"/>
    <n v="4"/>
    <n v="90067"/>
    <n v="42000"/>
    <n v="476"/>
    <n v="453"/>
    <n v="4"/>
    <n v="26"/>
    <s v="Very Satisfied"/>
    <s v="Referral"/>
  </r>
  <r>
    <n v="1549186"/>
    <s v="Male"/>
    <x v="2"/>
    <d v="1957-03-18T00:00:00"/>
    <s v="Yes"/>
    <n v="2"/>
    <n v="90045"/>
    <n v="94000"/>
    <n v="967"/>
    <n v="764"/>
    <n v="7"/>
    <n v="262"/>
    <s v="Neutral"/>
    <s v="TV"/>
  </r>
  <r>
    <n v="1549239"/>
    <s v="Male"/>
    <x v="0"/>
    <d v="1990-07-08T00:00:00"/>
    <s v="Yes"/>
    <n v="1"/>
    <n v="90010"/>
    <n v="151000"/>
    <n v="667"/>
    <n v="688"/>
    <n v="17"/>
    <n v="296"/>
    <s v="Very Satisfied"/>
    <s v="SM"/>
  </r>
  <r>
    <n v="1549430"/>
    <s v="Male"/>
    <x v="1"/>
    <d v="1998-03-26T00:00:00"/>
    <s v="Yes"/>
    <n v="2"/>
    <n v="90066"/>
    <n v="97000"/>
    <n v="1334"/>
    <n v="1020"/>
    <n v="24"/>
    <n v="176"/>
    <s v="Somewhat Satisfied"/>
    <s v="TV"/>
  </r>
  <r>
    <n v="1549535"/>
    <s v="Male"/>
    <x v="2"/>
    <d v="1961-10-05T00:00:00"/>
    <s v="Yes"/>
    <n v="4"/>
    <n v="90008"/>
    <n v="87000"/>
    <n v="438"/>
    <n v="538"/>
    <n v="8"/>
    <n v="320"/>
    <s v="Somewhat Satisfied"/>
    <s v="Web"/>
  </r>
  <r>
    <n v="1549652"/>
    <s v="Female"/>
    <x v="0"/>
    <d v="1957-12-03T00:00:00"/>
    <s v="Yes"/>
    <n v="4"/>
    <n v="90025"/>
    <n v="94000"/>
    <n v="572"/>
    <n v="767"/>
    <n v="7"/>
    <n v="227"/>
    <s v="Somewhat Dissatisfied"/>
    <s v="TV"/>
  </r>
  <r>
    <n v="1549708"/>
    <s v="Male"/>
    <x v="1"/>
    <d v="1964-06-01T00:00:00"/>
    <s v="Yes"/>
    <n v="3"/>
    <n v="90032"/>
    <n v="78000"/>
    <n v="516"/>
    <n v="388"/>
    <n v="8"/>
    <n v="330"/>
    <s v="Very Satisfied"/>
    <s v="Web"/>
  </r>
  <r>
    <n v="1550134"/>
    <s v="Male"/>
    <x v="3"/>
    <d v="1997-01-07T00:00:00"/>
    <s v="Yes"/>
    <n v="4"/>
    <n v="90021"/>
    <n v="91000"/>
    <n v="571"/>
    <n v="423"/>
    <n v="6"/>
    <n v="18"/>
    <s v="Somewhat Satisfied"/>
    <s v="TV"/>
  </r>
  <r>
    <n v="1550268"/>
    <s v="Female"/>
    <x v="1"/>
    <d v="1991-10-09T00:00:00"/>
    <s v="Yes"/>
    <n v="5"/>
    <n v="90010"/>
    <n v="62000"/>
    <n v="986"/>
    <n v="862"/>
    <n v="19"/>
    <n v="273"/>
    <s v="Very Satisfied"/>
    <s v="Web"/>
  </r>
  <r>
    <n v="1550307"/>
    <s v="Male"/>
    <x v="3"/>
    <d v="1954-11-26T00:00:00"/>
    <s v="Yes"/>
    <n v="1"/>
    <n v="90013"/>
    <n v="97000"/>
    <n v="887"/>
    <n v="1195"/>
    <n v="12"/>
    <n v="49"/>
    <s v="Somewhat Dissatisfied"/>
    <s v="Referral"/>
  </r>
  <r>
    <n v="1550486"/>
    <s v="Male"/>
    <x v="1"/>
    <d v="1955-04-28T00:00:00"/>
    <s v="No"/>
    <n v="3"/>
    <n v="90001"/>
    <n v="122000"/>
    <n v="124"/>
    <n v="130"/>
    <n v="1"/>
    <n v="205"/>
    <s v="Very Satisfied"/>
    <s v="TV"/>
  </r>
  <r>
    <n v="1550596"/>
    <s v="Female"/>
    <x v="0"/>
    <d v="1987-06-20T00:00:00"/>
    <s v="Yes"/>
    <n v="5"/>
    <n v="90038"/>
    <n v="92000"/>
    <n v="125"/>
    <n v="183"/>
    <n v="1"/>
    <n v="26"/>
    <s v="Neutral"/>
    <s v="Referral"/>
  </r>
  <r>
    <n v="1550597"/>
    <s v="Male"/>
    <x v="1"/>
    <d v="1963-05-04T00:00:00"/>
    <s v="Yes"/>
    <n v="1"/>
    <n v="90020"/>
    <n v="93000"/>
    <n v="618"/>
    <n v="489"/>
    <n v="7"/>
    <n v="308"/>
    <s v="Somewhat Satisfied"/>
    <s v="TV"/>
  </r>
  <r>
    <n v="1550751"/>
    <s v="Male"/>
    <x v="2"/>
    <d v="1953-01-15T00:00:00"/>
    <s v="Yes"/>
    <n v="3"/>
    <n v="90013"/>
    <n v="56000"/>
    <n v="65"/>
    <n v="87"/>
    <n v="1"/>
    <n v="341"/>
    <s v="Somewhat Satisfied"/>
    <s v="Web"/>
  </r>
  <r>
    <n v="1550842"/>
    <s v="Male"/>
    <x v="1"/>
    <d v="1984-11-03T00:00:00"/>
    <s v="Yes"/>
    <n v="4"/>
    <n v="90053"/>
    <n v="60000"/>
    <n v="403"/>
    <n v="684"/>
    <n v="14"/>
    <n v="195"/>
    <s v="Very Satisfied"/>
    <s v="TV"/>
  </r>
  <r>
    <n v="1550969"/>
    <s v="Female"/>
    <x v="1"/>
    <d v="1978-04-08T00:00:00"/>
    <s v="Yes"/>
    <n v="4"/>
    <n v="90030"/>
    <n v="47000"/>
    <n v="1045"/>
    <n v="774"/>
    <n v="16"/>
    <n v="76"/>
    <s v="Neutral"/>
    <s v="TV"/>
  </r>
  <r>
    <n v="1551391"/>
    <s v="Female"/>
    <x v="0"/>
    <d v="1987-06-10T00:00:00"/>
    <s v="Yes"/>
    <n v="5"/>
    <n v="90051"/>
    <n v="63000"/>
    <n v="105"/>
    <n v="188"/>
    <n v="4"/>
    <n v="183"/>
    <s v="Somewhat Satisfied"/>
    <s v="Web"/>
  </r>
  <r>
    <n v="1551454"/>
    <s v="Male"/>
    <x v="0"/>
    <d v="1999-08-05T00:00:00"/>
    <s v="Yes"/>
    <n v="3"/>
    <n v="90034"/>
    <n v="94000"/>
    <n v="675"/>
    <n v="580"/>
    <n v="15"/>
    <n v="342"/>
    <s v="Very Satisfied"/>
    <s v="Web"/>
  </r>
  <r>
    <n v="1551735"/>
    <s v="Male"/>
    <x v="3"/>
    <d v="1976-09-27T00:00:00"/>
    <s v="Yes"/>
    <n v="4"/>
    <n v="90028"/>
    <n v="73000"/>
    <n v="107"/>
    <n v="148"/>
    <n v="4"/>
    <n v="214"/>
    <s v="Neutral"/>
    <s v="Web"/>
  </r>
  <r>
    <n v="1551796"/>
    <s v="Male"/>
    <x v="0"/>
    <d v="1961-11-14T00:00:00"/>
    <s v="No"/>
    <n v="4"/>
    <n v="90045"/>
    <n v="46000"/>
    <n v="1730"/>
    <n v="1206"/>
    <n v="19"/>
    <n v="159"/>
    <s v="Very Satisfied"/>
    <s v="Web"/>
  </r>
  <r>
    <n v="1552447"/>
    <s v="Female"/>
    <x v="1"/>
    <d v="1996-07-01T00:00:00"/>
    <s v="Yes"/>
    <n v="1"/>
    <n v="90010"/>
    <n v="55000"/>
    <n v="312"/>
    <n v="602"/>
    <n v="5"/>
    <n v="200"/>
    <s v="Somewhat Dissatisfied"/>
    <s v="Web"/>
  </r>
  <r>
    <n v="1552841"/>
    <s v="Female"/>
    <x v="1"/>
    <d v="1976-09-14T00:00:00"/>
    <s v="Yes"/>
    <n v="3"/>
    <n v="90068"/>
    <n v="52000"/>
    <n v="860"/>
    <n v="582"/>
    <n v="12"/>
    <n v="218"/>
    <s v="Somewhat Satisfied"/>
    <s v="Referral"/>
  </r>
  <r>
    <n v="1553405"/>
    <s v="Female"/>
    <x v="3"/>
    <d v="1964-01-09T00:00:00"/>
    <s v="Yes"/>
    <n v="1"/>
    <n v="90042"/>
    <n v="50000"/>
    <n v="1566"/>
    <n v="1193"/>
    <n v="27"/>
    <n v="251"/>
    <s v="Somewhat Satisfied"/>
    <s v="SM"/>
  </r>
  <r>
    <n v="1553430"/>
    <s v="Male"/>
    <x v="1"/>
    <d v="1952-11-10T00:00:00"/>
    <s v="Yes"/>
    <n v="4"/>
    <n v="90044"/>
    <n v="77000"/>
    <n v="707"/>
    <n v="587"/>
    <n v="5"/>
    <n v="180"/>
    <s v="Very Satisfied"/>
    <s v="Referral"/>
  </r>
  <r>
    <n v="1553530"/>
    <s v="Male"/>
    <x v="0"/>
    <d v="2000-09-15T00:00:00"/>
    <s v="Yes"/>
    <n v="5"/>
    <n v="90033"/>
    <n v="109000"/>
    <n v="1028"/>
    <n v="1113"/>
    <n v="13"/>
    <n v="29"/>
    <s v="Somewhat Satisfied"/>
    <s v="Web"/>
  </r>
  <r>
    <n v="1553559"/>
    <s v="Male"/>
    <x v="1"/>
    <d v="1997-08-26T00:00:00"/>
    <s v="Yes"/>
    <n v="4"/>
    <n v="90065"/>
    <n v="68000"/>
    <n v="87"/>
    <n v="82"/>
    <n v="2"/>
    <n v="149"/>
    <s v="Somewhat Dissatisfied"/>
    <s v="SM"/>
  </r>
  <r>
    <n v="1553637"/>
    <s v="Male"/>
    <x v="0"/>
    <d v="1958-08-27T00:00:00"/>
    <s v="Yes"/>
    <n v="5"/>
    <n v="90002"/>
    <n v="57000"/>
    <n v="547"/>
    <n v="900"/>
    <n v="15"/>
    <n v="158"/>
    <s v="Somewhat Satisfied"/>
    <s v="SM"/>
  </r>
  <r>
    <n v="1553660"/>
    <s v="Female"/>
    <x v="1"/>
    <d v="1988-08-02T00:00:00"/>
    <s v="Yes"/>
    <n v="2"/>
    <n v="90023"/>
    <n v="47000"/>
    <n v="698"/>
    <n v="745"/>
    <n v="5"/>
    <n v="160"/>
    <s v="Somewhat Satisfied"/>
    <s v="SM"/>
  </r>
  <r>
    <n v="1553692"/>
    <s v="Male"/>
    <x v="2"/>
    <d v="1995-04-23T00:00:00"/>
    <s v="No"/>
    <n v="4"/>
    <n v="90019"/>
    <n v="70000"/>
    <n v="63"/>
    <n v="60"/>
    <n v="1"/>
    <n v="288"/>
    <s v="Very Satisfied"/>
    <s v="Web"/>
  </r>
  <r>
    <n v="1553737"/>
    <s v="Female"/>
    <x v="2"/>
    <d v="1979-08-20T00:00:00"/>
    <s v="Yes"/>
    <n v="5"/>
    <n v="90052"/>
    <n v="83000"/>
    <n v="1210"/>
    <n v="867"/>
    <n v="16"/>
    <n v="95"/>
    <s v="Neutral"/>
    <s v="TV"/>
  </r>
  <r>
    <n v="1553843"/>
    <s v="Male"/>
    <x v="1"/>
    <d v="1980-11-13T00:00:00"/>
    <s v="Yes"/>
    <n v="5"/>
    <n v="90014"/>
    <n v="136000"/>
    <n v="363"/>
    <n v="289"/>
    <n v="4"/>
    <n v="89"/>
    <s v="Somewhat Satisfied"/>
    <s v="Web"/>
  </r>
  <r>
    <n v="1553952"/>
    <s v="Male"/>
    <x v="0"/>
    <d v="1984-08-26T00:00:00"/>
    <s v="No"/>
    <n v="5"/>
    <n v="90060"/>
    <n v="43000"/>
    <n v="771"/>
    <n v="1250"/>
    <n v="20"/>
    <n v="267"/>
    <s v="Somewhat Satisfied"/>
    <s v="TV"/>
  </r>
  <r>
    <n v="1554342"/>
    <s v="Male"/>
    <x v="2"/>
    <d v="1969-11-04T00:00:00"/>
    <s v="Yes"/>
    <n v="1"/>
    <n v="90018"/>
    <n v="97000"/>
    <n v="1495"/>
    <n v="1126"/>
    <n v="26"/>
    <n v="313"/>
    <s v="Somewhat Dissatisfied"/>
    <s v="TV"/>
  </r>
  <r>
    <n v="1554589"/>
    <s v="Male"/>
    <x v="3"/>
    <d v="1995-09-20T00:00:00"/>
    <s v="No"/>
    <n v="2"/>
    <n v="90030"/>
    <n v="56000"/>
    <n v="1489"/>
    <n v="1226"/>
    <n v="12"/>
    <n v="12"/>
    <s v="Somewhat Satisfied"/>
    <s v="TV"/>
  </r>
  <r>
    <n v="1555143"/>
    <s v="Male"/>
    <x v="3"/>
    <d v="1975-10-10T00:00:00"/>
    <s v="Yes"/>
    <n v="1"/>
    <n v="90059"/>
    <n v="84000"/>
    <n v="870"/>
    <n v="950"/>
    <n v="18"/>
    <n v="211"/>
    <s v="Somewhat Dissatisfied"/>
    <s v="Web"/>
  </r>
  <r>
    <n v="1555266"/>
    <s v="Male"/>
    <x v="1"/>
    <d v="1999-04-04T00:00:00"/>
    <s v="Yes"/>
    <n v="3"/>
    <n v="90063"/>
    <n v="50000"/>
    <n v="324"/>
    <n v="482"/>
    <n v="11"/>
    <n v="130"/>
    <s v="Somewhat Satisfied"/>
    <s v="SM"/>
  </r>
  <r>
    <n v="1555356"/>
    <s v="Male"/>
    <x v="2"/>
    <d v="1987-08-04T00:00:00"/>
    <s v="Yes"/>
    <n v="3"/>
    <n v="90028"/>
    <n v="89000"/>
    <n v="899"/>
    <n v="1004"/>
    <n v="16"/>
    <n v="132"/>
    <s v="Somewhat Satisfied"/>
    <s v="Web"/>
  </r>
  <r>
    <n v="1555414"/>
    <s v="Male"/>
    <x v="1"/>
    <d v="1956-03-09T00:00:00"/>
    <s v="No"/>
    <n v="5"/>
    <n v="90031"/>
    <n v="109000"/>
    <n v="652"/>
    <n v="1046"/>
    <n v="10"/>
    <n v="351"/>
    <s v="Neutral"/>
    <s v="SM"/>
  </r>
  <r>
    <n v="1555438"/>
    <s v="Female"/>
    <x v="1"/>
    <d v="1966-01-21T00:00:00"/>
    <s v="Yes"/>
    <n v="5"/>
    <n v="90016"/>
    <n v="65000"/>
    <n v="637"/>
    <n v="728"/>
    <n v="12"/>
    <n v="22"/>
    <s v="Somewhat Dissatisfied"/>
    <s v="Web"/>
  </r>
  <r>
    <n v="1555539"/>
    <s v="Female"/>
    <x v="0"/>
    <d v="1981-06-10T00:00:00"/>
    <s v="Yes"/>
    <n v="2"/>
    <n v="90061"/>
    <n v="41000"/>
    <n v="913"/>
    <n v="1182"/>
    <n v="8"/>
    <n v="301"/>
    <s v="Very Satisfied"/>
    <s v="TV"/>
  </r>
  <r>
    <n v="1555659"/>
    <s v="Female"/>
    <x v="0"/>
    <d v="1994-08-18T00:00:00"/>
    <s v="Yes"/>
    <n v="3"/>
    <n v="90029"/>
    <n v="42000"/>
    <n v="1456"/>
    <n v="1101"/>
    <n v="11"/>
    <n v="38"/>
    <s v="Very Satisfied"/>
    <s v="TV"/>
  </r>
  <r>
    <n v="1555979"/>
    <s v="Male"/>
    <x v="1"/>
    <d v="1956-01-22T00:00:00"/>
    <s v="Yes"/>
    <n v="2"/>
    <n v="90055"/>
    <n v="69000"/>
    <n v="636"/>
    <n v="706"/>
    <n v="12"/>
    <n v="67"/>
    <s v="Somewhat Satisfied"/>
    <s v="TV"/>
  </r>
  <r>
    <n v="1556518"/>
    <s v="Female"/>
    <x v="1"/>
    <d v="1996-06-25T00:00:00"/>
    <s v="Yes"/>
    <n v="5"/>
    <n v="90025"/>
    <n v="62000"/>
    <n v="794"/>
    <n v="724"/>
    <n v="19"/>
    <n v="305"/>
    <s v="Somewhat Satisfied"/>
    <s v="Referral"/>
  </r>
  <r>
    <n v="1556823"/>
    <s v="Female"/>
    <x v="2"/>
    <d v="1983-04-26T00:00:00"/>
    <s v="Yes"/>
    <n v="4"/>
    <n v="90032"/>
    <n v="58000"/>
    <n v="686"/>
    <n v="1123"/>
    <n v="8"/>
    <n v="254"/>
    <s v="Somewhat Satisfied"/>
    <s v="Referral"/>
  </r>
  <r>
    <n v="1557181"/>
    <s v="Male"/>
    <x v="1"/>
    <d v="1969-02-19T00:00:00"/>
    <s v="Yes"/>
    <n v="1"/>
    <n v="90067"/>
    <n v="105000"/>
    <n v="428"/>
    <n v="327"/>
    <n v="2"/>
    <n v="345"/>
    <s v="Very Satisfied"/>
    <s v="SM"/>
  </r>
  <r>
    <n v="1557273"/>
    <s v="Male"/>
    <x v="0"/>
    <d v="1966-12-02T00:00:00"/>
    <s v="Yes"/>
    <n v="2"/>
    <n v="90007"/>
    <n v="61000"/>
    <n v="275"/>
    <n v="431"/>
    <n v="6"/>
    <n v="205"/>
    <s v="Somewhat Satisfied"/>
    <s v="Web"/>
  </r>
  <r>
    <n v="1557386"/>
    <s v="Male"/>
    <x v="0"/>
    <d v="1975-09-23T00:00:00"/>
    <s v="No"/>
    <n v="3"/>
    <n v="90032"/>
    <n v="66000"/>
    <n v="706"/>
    <n v="564"/>
    <n v="4"/>
    <n v="69"/>
    <s v="Neutral"/>
    <s v="TV"/>
  </r>
  <r>
    <n v="1557407"/>
    <s v="Male"/>
    <x v="1"/>
    <d v="1976-12-26T00:00:00"/>
    <s v="Yes"/>
    <n v="4"/>
    <n v="90015"/>
    <n v="48000"/>
    <n v="1398"/>
    <n v="1163"/>
    <n v="16"/>
    <n v="16"/>
    <s v="Somewhat Satisfied"/>
    <s v="Referral"/>
  </r>
  <r>
    <n v="1557679"/>
    <s v="Female"/>
    <x v="1"/>
    <d v="1984-09-28T00:00:00"/>
    <s v="Yes"/>
    <n v="2"/>
    <n v="90004"/>
    <n v="72000"/>
    <n v="571"/>
    <n v="728"/>
    <n v="13"/>
    <n v="241"/>
    <s v="Somewhat Satisfied"/>
    <s v="TV"/>
  </r>
  <r>
    <n v="1557697"/>
    <s v="Female"/>
    <x v="1"/>
    <d v="1961-02-28T00:00:00"/>
    <s v="Yes"/>
    <n v="2"/>
    <n v="90007"/>
    <n v="64000"/>
    <n v="1112"/>
    <n v="897"/>
    <n v="10"/>
    <n v="239"/>
    <s v="Somewhat Satisfied"/>
    <s v="SM"/>
  </r>
  <r>
    <n v="1557820"/>
    <s v="Male"/>
    <x v="0"/>
    <d v="1966-09-13T00:00:00"/>
    <s v="Yes"/>
    <n v="3"/>
    <n v="90039"/>
    <n v="80000"/>
    <n v="578"/>
    <n v="568"/>
    <n v="10"/>
    <n v="353"/>
    <s v="Neutral"/>
    <s v="SM"/>
  </r>
  <r>
    <n v="1559734"/>
    <s v="Male"/>
    <x v="5"/>
    <d v="1968-06-26T00:00:00"/>
    <s v="Yes"/>
    <n v="1"/>
    <n v="90004"/>
    <n v="75000"/>
    <n v="822"/>
    <n v="603"/>
    <n v="9"/>
    <n v="252"/>
    <s v="Neutral"/>
    <s v="TV"/>
  </r>
  <r>
    <n v="1560021"/>
    <s v="Male"/>
    <x v="0"/>
    <d v="1997-06-28T00:00:00"/>
    <s v="Yes"/>
    <n v="5"/>
    <n v="90054"/>
    <n v="50000"/>
    <n v="181"/>
    <n v="210"/>
    <n v="3"/>
    <n v="309"/>
    <s v="Neutral"/>
    <s v="SM"/>
  </r>
  <r>
    <n v="1560248"/>
    <s v="Male"/>
    <x v="0"/>
    <d v="1977-03-08T00:00:00"/>
    <s v="No"/>
    <n v="2"/>
    <n v="90021"/>
    <n v="54000"/>
    <n v="284"/>
    <n v="439"/>
    <n v="9"/>
    <n v="196"/>
    <s v="Somewhat Satisfied"/>
    <s v="Web"/>
  </r>
  <r>
    <n v="1560301"/>
    <s v="Male"/>
    <x v="1"/>
    <d v="1985-03-23T00:00:00"/>
    <s v="No"/>
    <n v="3"/>
    <n v="90054"/>
    <n v="93000"/>
    <n v="553"/>
    <n v="907"/>
    <n v="17"/>
    <n v="164"/>
    <s v="Very Satisfied"/>
    <s v="Referral"/>
  </r>
  <r>
    <n v="1560457"/>
    <s v="Male"/>
    <x v="0"/>
    <d v="1989-12-07T00:00:00"/>
    <s v="Yes"/>
    <n v="3"/>
    <n v="90015"/>
    <n v="46000"/>
    <n v="789"/>
    <n v="745"/>
    <n v="15"/>
    <n v="318"/>
    <s v="Somewhat Dissatisfied"/>
    <s v="SM"/>
  </r>
  <r>
    <n v="1560632"/>
    <s v="Female"/>
    <x v="0"/>
    <d v="1952-11-15T00:00:00"/>
    <s v="Yes"/>
    <n v="2"/>
    <n v="90062"/>
    <n v="84000"/>
    <n v="532"/>
    <n v="467"/>
    <n v="11"/>
    <n v="108"/>
    <s v="Somewhat Satisfied"/>
    <s v="TV"/>
  </r>
  <r>
    <n v="1560809"/>
    <s v="Male"/>
    <x v="3"/>
    <d v="1983-08-26T00:00:00"/>
    <s v="Yes"/>
    <n v="4"/>
    <n v="90047"/>
    <n v="58000"/>
    <n v="542"/>
    <n v="673"/>
    <n v="15"/>
    <n v="149"/>
    <s v="Somewhat Satisfied"/>
    <s v="SM"/>
  </r>
  <r>
    <n v="1560830"/>
    <s v="Female"/>
    <x v="0"/>
    <d v="1974-02-04T00:00:00"/>
    <s v="Yes"/>
    <n v="3"/>
    <n v="90034"/>
    <n v="63000"/>
    <n v="463"/>
    <n v="383"/>
    <n v="9"/>
    <n v="145"/>
    <s v="Somewhat Satisfied"/>
    <s v="Web"/>
  </r>
  <r>
    <n v="1561447"/>
    <s v="Female"/>
    <x v="0"/>
    <d v="1974-11-27T00:00:00"/>
    <s v="Yes"/>
    <n v="3"/>
    <n v="90043"/>
    <n v="43000"/>
    <n v="447"/>
    <n v="626"/>
    <n v="13"/>
    <n v="296"/>
    <s v="Somewhat Satisfied"/>
    <s v="SM"/>
  </r>
  <r>
    <n v="1562348"/>
    <s v="Female"/>
    <x v="1"/>
    <d v="1963-12-02T00:00:00"/>
    <s v="Yes"/>
    <n v="3"/>
    <n v="90031"/>
    <n v="97000"/>
    <n v="877"/>
    <n v="860"/>
    <n v="7"/>
    <n v="115"/>
    <s v="Neutral"/>
    <s v="TV"/>
  </r>
  <r>
    <n v="1562398"/>
    <s v="Male"/>
    <x v="1"/>
    <d v="1987-11-07T00:00:00"/>
    <s v="No"/>
    <n v="5"/>
    <n v="90047"/>
    <n v="70000"/>
    <n v="280"/>
    <n v="233"/>
    <n v="2"/>
    <n v="117"/>
    <s v="Somewhat Satisfied"/>
    <s v="Web"/>
  </r>
  <r>
    <n v="1562550"/>
    <s v="Female"/>
    <x v="1"/>
    <d v="1977-09-19T00:00:00"/>
    <s v="Yes"/>
    <n v="4"/>
    <n v="90035"/>
    <n v="48000"/>
    <n v="1514"/>
    <n v="1106"/>
    <n v="26"/>
    <n v="342"/>
    <s v="Very Satisfied"/>
    <s v="TV"/>
  </r>
  <r>
    <n v="1562867"/>
    <s v="Female"/>
    <x v="0"/>
    <d v="1971-07-02T00:00:00"/>
    <s v="Yes"/>
    <n v="5"/>
    <n v="90064"/>
    <n v="97000"/>
    <n v="660"/>
    <n v="739"/>
    <n v="5"/>
    <n v="76"/>
    <s v="Somewhat Satisfied"/>
    <s v="TV"/>
  </r>
  <r>
    <n v="1563068"/>
    <s v="Female"/>
    <x v="1"/>
    <d v="1993-10-24T00:00:00"/>
    <s v="No"/>
    <n v="5"/>
    <n v="90029"/>
    <n v="38000"/>
    <n v="369"/>
    <n v="267"/>
    <n v="6"/>
    <n v="308"/>
    <s v="Somewhat Satisfied"/>
    <s v="TV"/>
  </r>
  <r>
    <n v="1563186"/>
    <s v="Male"/>
    <x v="0"/>
    <d v="1964-03-22T00:00:00"/>
    <s v="Yes"/>
    <n v="5"/>
    <n v="90020"/>
    <n v="70000"/>
    <n v="779"/>
    <n v="871"/>
    <n v="13"/>
    <n v="76"/>
    <s v="Somewhat Satisfied"/>
    <s v="Web"/>
  </r>
  <r>
    <n v="1563296"/>
    <s v="Male"/>
    <x v="1"/>
    <d v="1999-08-12T00:00:00"/>
    <s v="Yes"/>
    <n v="3"/>
    <n v="90027"/>
    <n v="95000"/>
    <n v="474"/>
    <n v="407"/>
    <n v="9"/>
    <n v="30"/>
    <s v="Very Satisfied"/>
    <s v="SM"/>
  </r>
  <r>
    <n v="1563548"/>
    <s v="Male"/>
    <x v="5"/>
    <d v="1988-10-02T00:00:00"/>
    <s v="Yes"/>
    <n v="5"/>
    <n v="90043"/>
    <n v="167000"/>
    <n v="1019"/>
    <n v="692"/>
    <n v="12"/>
    <n v="221"/>
    <s v="Very Satisfied"/>
    <s v="SM"/>
  </r>
  <r>
    <n v="1563690"/>
    <s v="Male"/>
    <x v="1"/>
    <d v="1964-05-11T00:00:00"/>
    <s v="Yes"/>
    <n v="4"/>
    <n v="90057"/>
    <n v="100000"/>
    <n v="281"/>
    <n v="221"/>
    <n v="4"/>
    <n v="354"/>
    <s v="Very Satisfied"/>
    <s v="Web"/>
  </r>
  <r>
    <n v="1563805"/>
    <s v="Female"/>
    <x v="1"/>
    <d v="1979-05-21T00:00:00"/>
    <s v="Yes"/>
    <n v="5"/>
    <n v="90032"/>
    <n v="54000"/>
    <n v="194"/>
    <n v="151"/>
    <n v="2"/>
    <n v="234"/>
    <s v="Somewhat Satisfied"/>
    <s v="Web"/>
  </r>
  <r>
    <n v="1563935"/>
    <s v="Male"/>
    <x v="2"/>
    <d v="1974-03-14T00:00:00"/>
    <s v="Yes"/>
    <n v="1"/>
    <n v="90063"/>
    <n v="74000"/>
    <n v="1062"/>
    <n v="1075"/>
    <n v="28"/>
    <n v="145"/>
    <s v="Somewhat Satisfied"/>
    <s v="Web"/>
  </r>
  <r>
    <n v="1563995"/>
    <s v="Male"/>
    <x v="3"/>
    <d v="1958-12-10T00:00:00"/>
    <s v="Yes"/>
    <n v="2"/>
    <n v="90010"/>
    <n v="109000"/>
    <n v="178"/>
    <n v="127"/>
    <n v="1"/>
    <n v="319"/>
    <s v="Very Satisfied"/>
    <s v="Web"/>
  </r>
  <r>
    <n v="1564191"/>
    <s v="Male"/>
    <x v="1"/>
    <d v="1995-11-17T00:00:00"/>
    <s v="No"/>
    <n v="3"/>
    <n v="90059"/>
    <n v="38000"/>
    <n v="794"/>
    <n v="555"/>
    <n v="6"/>
    <n v="14"/>
    <s v="Somewhat Satisfied"/>
    <s v="Referral"/>
  </r>
  <r>
    <n v="1564329"/>
    <s v="Female"/>
    <x v="2"/>
    <d v="1982-01-10T00:00:00"/>
    <s v="Yes"/>
    <n v="4"/>
    <n v="90029"/>
    <n v="102000"/>
    <n v="522"/>
    <n v="449"/>
    <n v="6"/>
    <n v="296"/>
    <s v="Somewhat Satisfied"/>
    <s v="Web"/>
  </r>
  <r>
    <n v="1565323"/>
    <s v="Female"/>
    <x v="1"/>
    <d v="1966-07-28T00:00:00"/>
    <s v="Yes"/>
    <n v="3"/>
    <n v="90059"/>
    <n v="73000"/>
    <n v="451"/>
    <n v="421"/>
    <n v="10"/>
    <n v="180"/>
    <s v="Somewhat Satisfied"/>
    <s v="SM"/>
  </r>
  <r>
    <n v="1565499"/>
    <s v="Male"/>
    <x v="1"/>
    <d v="1983-11-14T00:00:00"/>
    <s v="Yes"/>
    <n v="1"/>
    <n v="90018"/>
    <n v="69000"/>
    <n v="424"/>
    <n v="499"/>
    <n v="9"/>
    <n v="279"/>
    <s v="Somewhat Satisfied"/>
    <s v="Referral"/>
  </r>
  <r>
    <n v="1565587"/>
    <s v="Male"/>
    <x v="0"/>
    <d v="1985-05-27T00:00:00"/>
    <s v="Yes"/>
    <n v="4"/>
    <n v="90063"/>
    <n v="91000"/>
    <n v="657"/>
    <n v="842"/>
    <n v="7"/>
    <n v="103"/>
    <s v="Somewhat Satisfied"/>
    <s v="TV"/>
  </r>
  <r>
    <n v="1565651"/>
    <s v="Male"/>
    <x v="2"/>
    <d v="1952-02-01T00:00:00"/>
    <s v="Yes"/>
    <n v="3"/>
    <n v="90032"/>
    <n v="65000"/>
    <n v="1646"/>
    <n v="1110"/>
    <n v="7"/>
    <n v="250"/>
    <s v="Neutral"/>
    <s v="SM"/>
  </r>
  <r>
    <n v="1565786"/>
    <s v="Male"/>
    <x v="3"/>
    <d v="1960-02-23T00:00:00"/>
    <s v="Yes"/>
    <n v="3"/>
    <n v="90031"/>
    <n v="80000"/>
    <n v="415"/>
    <n v="300"/>
    <n v="4"/>
    <n v="139"/>
    <s v="Neutral"/>
    <s v="Referral"/>
  </r>
  <r>
    <n v="1566013"/>
    <s v="Female"/>
    <x v="0"/>
    <d v="1999-08-12T00:00:00"/>
    <s v="Yes"/>
    <n v="1"/>
    <n v="90022"/>
    <n v="34000"/>
    <n v="960"/>
    <n v="761"/>
    <n v="12"/>
    <n v="296"/>
    <s v="Somewhat Satisfied"/>
    <s v="SM"/>
  </r>
  <r>
    <n v="1566051"/>
    <s v="Male"/>
    <x v="2"/>
    <d v="1995-09-25T00:00:00"/>
    <s v="Yes"/>
    <n v="1"/>
    <n v="90029"/>
    <n v="47000"/>
    <n v="274"/>
    <n v="517"/>
    <n v="10"/>
    <n v="345"/>
    <s v="Neutral"/>
    <s v="TV"/>
  </r>
  <r>
    <n v="1566110"/>
    <s v="Male"/>
    <x v="2"/>
    <d v="1966-07-03T00:00:00"/>
    <s v="No"/>
    <n v="3"/>
    <n v="90055"/>
    <n v="51000"/>
    <n v="683"/>
    <n v="1092"/>
    <n v="22"/>
    <n v="358"/>
    <s v="Somewhat Satisfied"/>
    <s v="Web"/>
  </r>
  <r>
    <n v="1566529"/>
    <s v="Female"/>
    <x v="1"/>
    <d v="1992-03-03T00:00:00"/>
    <s v="Yes"/>
    <n v="3"/>
    <n v="90016"/>
    <n v="78000"/>
    <n v="1164"/>
    <n v="1105"/>
    <n v="13"/>
    <n v="280"/>
    <s v="Somewhat Dissatisfied"/>
    <s v="Web"/>
  </r>
  <r>
    <n v="1567124"/>
    <s v="Female"/>
    <x v="0"/>
    <d v="1956-12-09T00:00:00"/>
    <s v="No"/>
    <n v="5"/>
    <n v="90015"/>
    <n v="67000"/>
    <n v="610"/>
    <n v="1128"/>
    <n v="10"/>
    <n v="59"/>
    <s v="Neutral"/>
    <s v="Web"/>
  </r>
  <r>
    <n v="1567193"/>
    <s v="Female"/>
    <x v="1"/>
    <d v="1964-10-15T00:00:00"/>
    <s v="Yes"/>
    <n v="3"/>
    <n v="90010"/>
    <n v="61000"/>
    <n v="1157"/>
    <n v="962"/>
    <n v="22"/>
    <n v="168"/>
    <s v="Somewhat Dissatisfied"/>
    <s v="TV"/>
  </r>
  <r>
    <n v="1567195"/>
    <s v="Male"/>
    <x v="1"/>
    <d v="1958-07-13T00:00:00"/>
    <s v="Yes"/>
    <n v="2"/>
    <n v="90047"/>
    <n v="136000"/>
    <n v="333"/>
    <n v="563"/>
    <n v="14"/>
    <n v="15"/>
    <s v="Somewhat Satisfied"/>
    <s v="Web"/>
  </r>
  <r>
    <n v="1567250"/>
    <s v="Male"/>
    <x v="1"/>
    <d v="1977-03-13T00:00:00"/>
    <s v="Yes"/>
    <n v="4"/>
    <n v="90050"/>
    <n v="77000"/>
    <n v="275"/>
    <n v="288"/>
    <n v="2"/>
    <n v="174"/>
    <s v="Somewhat Satisfied"/>
    <s v="SM"/>
  </r>
  <r>
    <n v="1567389"/>
    <s v="Female"/>
    <x v="0"/>
    <d v="2000-12-09T00:00:00"/>
    <s v="Yes"/>
    <n v="2"/>
    <n v="90030"/>
    <n v="41000"/>
    <n v="1344"/>
    <n v="979"/>
    <n v="9"/>
    <n v="213"/>
    <s v="Very Satisfied"/>
    <s v="Web"/>
  </r>
  <r>
    <n v="1567469"/>
    <s v="Male"/>
    <x v="1"/>
    <d v="1960-02-18T00:00:00"/>
    <s v="Yes"/>
    <n v="1"/>
    <n v="90065"/>
    <n v="87000"/>
    <n v="157"/>
    <n v="247"/>
    <n v="4"/>
    <n v="129"/>
    <s v="Somewhat Satisfied"/>
    <s v="Referral"/>
  </r>
  <r>
    <n v="1567597"/>
    <s v="Male"/>
    <x v="1"/>
    <d v="1981-09-05T00:00:00"/>
    <s v="No"/>
    <n v="1"/>
    <n v="90032"/>
    <n v="71000"/>
    <n v="882"/>
    <n v="659"/>
    <n v="11"/>
    <n v="121"/>
    <s v="Very Satisfied"/>
    <s v="Referral"/>
  </r>
  <r>
    <n v="1567998"/>
    <s v="Female"/>
    <x v="1"/>
    <d v="1988-05-27T00:00:00"/>
    <s v="Yes"/>
    <n v="2"/>
    <n v="90014"/>
    <n v="40000"/>
    <n v="653"/>
    <n v="556"/>
    <n v="5"/>
    <n v="100"/>
    <s v="Somewhat Satisfied"/>
    <s v="Referral"/>
  </r>
  <r>
    <n v="1568380"/>
    <s v="Female"/>
    <x v="4"/>
    <d v="1956-08-19T00:00:00"/>
    <s v="Yes"/>
    <n v="2"/>
    <n v="90020"/>
    <n v="62000"/>
    <n v="1096"/>
    <n v="963"/>
    <n v="9"/>
    <n v="231"/>
    <s v="Neutral"/>
    <s v="TV"/>
  </r>
  <r>
    <n v="1568821"/>
    <s v="Female"/>
    <x v="1"/>
    <d v="1974-06-27T00:00:00"/>
    <s v="Yes"/>
    <n v="2"/>
    <n v="90034"/>
    <n v="52000"/>
    <n v="572"/>
    <n v="698"/>
    <n v="10"/>
    <n v="345"/>
    <s v="Somewhat Satisfied"/>
    <s v="TV"/>
  </r>
  <r>
    <n v="1569187"/>
    <s v="Male"/>
    <x v="0"/>
    <d v="1956-02-12T00:00:00"/>
    <s v="Yes"/>
    <n v="4"/>
    <n v="90054"/>
    <n v="68000"/>
    <n v="758"/>
    <n v="620"/>
    <n v="11"/>
    <n v="97"/>
    <s v="Somewhat Dissatisfied"/>
    <s v="Web"/>
  </r>
  <r>
    <n v="1569198"/>
    <s v="Male"/>
    <x v="2"/>
    <d v="1954-06-03T00:00:00"/>
    <s v="Yes"/>
    <n v="4"/>
    <n v="90064"/>
    <n v="54000"/>
    <n v="835"/>
    <n v="920"/>
    <n v="23"/>
    <n v="331"/>
    <s v="Somewhat Satisfied"/>
    <s v="Web"/>
  </r>
  <r>
    <n v="1569840"/>
    <s v="Female"/>
    <x v="1"/>
    <d v="1989-08-25T00:00:00"/>
    <s v="Yes"/>
    <n v="1"/>
    <n v="90007"/>
    <n v="44000"/>
    <n v="700"/>
    <n v="823"/>
    <n v="20"/>
    <n v="173"/>
    <s v="Somewhat Satisfied"/>
    <s v="Web"/>
  </r>
  <r>
    <n v="1570150"/>
    <s v="Female"/>
    <x v="1"/>
    <d v="1963-03-08T00:00:00"/>
    <s v="No"/>
    <n v="3"/>
    <n v="90054"/>
    <n v="53000"/>
    <n v="947"/>
    <n v="1155"/>
    <n v="27"/>
    <n v="352"/>
    <s v="Very Satisfied"/>
    <s v="TV"/>
  </r>
  <r>
    <n v="1571158"/>
    <s v="Male"/>
    <x v="0"/>
    <d v="1979-11-22T00:00:00"/>
    <s v="Yes"/>
    <n v="1"/>
    <n v="90052"/>
    <n v="74000"/>
    <n v="214"/>
    <n v="220"/>
    <n v="2"/>
    <n v="134"/>
    <s v="Somewhat Satisfied"/>
    <s v="Web"/>
  </r>
  <r>
    <n v="1571419"/>
    <s v="Female"/>
    <x v="0"/>
    <d v="1964-08-17T00:00:00"/>
    <s v="Yes"/>
    <n v="5"/>
    <n v="90064"/>
    <n v="41000"/>
    <n v="1285"/>
    <n v="1137"/>
    <n v="18"/>
    <n v="44"/>
    <s v="Very Satisfied"/>
    <s v="Web"/>
  </r>
  <r>
    <n v="1571455"/>
    <s v="Male"/>
    <x v="3"/>
    <d v="1960-03-05T00:00:00"/>
    <s v="Yes"/>
    <n v="4"/>
    <n v="90043"/>
    <n v="95000"/>
    <n v="585"/>
    <n v="1144"/>
    <n v="7"/>
    <n v="176"/>
    <s v="Very Satisfied"/>
    <s v="Web"/>
  </r>
  <r>
    <n v="1571457"/>
    <s v="Male"/>
    <x v="1"/>
    <d v="1996-02-19T00:00:00"/>
    <s v="Yes"/>
    <n v="1"/>
    <n v="90001"/>
    <n v="99000"/>
    <n v="963"/>
    <n v="1099"/>
    <n v="13"/>
    <n v="248"/>
    <s v="Somewhat Satisfied"/>
    <s v="SM"/>
  </r>
  <r>
    <n v="1571887"/>
    <s v="Male"/>
    <x v="0"/>
    <d v="1976-08-11T00:00:00"/>
    <s v="Yes"/>
    <n v="5"/>
    <n v="90013"/>
    <n v="99000"/>
    <n v="610"/>
    <n v="520"/>
    <n v="7"/>
    <n v="68"/>
    <s v="Neutral"/>
    <s v="SM"/>
  </r>
  <r>
    <n v="1571944"/>
    <s v="Male"/>
    <x v="1"/>
    <d v="1967-11-20T00:00:00"/>
    <s v="Yes"/>
    <n v="5"/>
    <n v="90001"/>
    <n v="86000"/>
    <n v="312"/>
    <n v="226"/>
    <n v="2"/>
    <n v="100"/>
    <s v="Somewhat Satisfied"/>
    <s v="TV"/>
  </r>
  <r>
    <n v="1572715"/>
    <s v="Female"/>
    <x v="0"/>
    <d v="1997-04-25T00:00:00"/>
    <s v="No"/>
    <n v="4"/>
    <n v="90026"/>
    <n v="43000"/>
    <n v="93"/>
    <n v="69"/>
    <n v="1"/>
    <n v="223"/>
    <s v="Somewhat Satisfied"/>
    <s v="TV"/>
  </r>
  <r>
    <n v="1572877"/>
    <s v="Female"/>
    <x v="1"/>
    <d v="1999-07-28T00:00:00"/>
    <s v="No"/>
    <n v="1"/>
    <n v="90032"/>
    <n v="42000"/>
    <n v="245"/>
    <n v="183"/>
    <n v="4"/>
    <n v="60"/>
    <s v="Somewhat Satisfied"/>
    <s v="TV"/>
  </r>
  <r>
    <n v="1573196"/>
    <s v="Female"/>
    <x v="0"/>
    <d v="2000-11-04T00:00:00"/>
    <s v="Yes"/>
    <n v="4"/>
    <n v="90012"/>
    <n v="70000"/>
    <n v="127"/>
    <n v="104"/>
    <n v="3"/>
    <n v="137"/>
    <s v="Neutral"/>
    <s v="Referral"/>
  </r>
  <r>
    <n v="1573273"/>
    <s v="Male"/>
    <x v="1"/>
    <d v="1975-09-09T00:00:00"/>
    <s v="Yes"/>
    <n v="5"/>
    <n v="90023"/>
    <n v="110000"/>
    <n v="1497"/>
    <n v="1157"/>
    <n v="28"/>
    <n v="220"/>
    <s v="Somewhat Satisfied"/>
    <s v="Web"/>
  </r>
  <r>
    <n v="1573758"/>
    <s v="Female"/>
    <x v="2"/>
    <d v="2000-06-07T00:00:00"/>
    <s v="No"/>
    <n v="3"/>
    <n v="90013"/>
    <n v="57000"/>
    <n v="531"/>
    <n v="986"/>
    <n v="15"/>
    <n v="13"/>
    <s v="Somewhat Satisfied"/>
    <s v="TV"/>
  </r>
  <r>
    <n v="1573908"/>
    <s v="Male"/>
    <x v="1"/>
    <d v="1990-09-10T00:00:00"/>
    <s v="No"/>
    <n v="4"/>
    <n v="90039"/>
    <n v="71000"/>
    <n v="213"/>
    <n v="293"/>
    <n v="2"/>
    <n v="42"/>
    <s v="Very Satisfied"/>
    <s v="Referral"/>
  </r>
  <r>
    <n v="1574015"/>
    <s v="Male"/>
    <x v="1"/>
    <d v="1988-04-25T00:00:00"/>
    <s v="No"/>
    <n v="2"/>
    <n v="90049"/>
    <n v="67000"/>
    <n v="708"/>
    <n v="549"/>
    <n v="12"/>
    <n v="133"/>
    <s v="Neutral"/>
    <s v="Web"/>
  </r>
  <r>
    <n v="1574042"/>
    <s v="Female"/>
    <x v="2"/>
    <d v="1974-10-19T00:00:00"/>
    <s v="Yes"/>
    <n v="3"/>
    <n v="90013"/>
    <n v="108000"/>
    <n v="593"/>
    <n v="1044"/>
    <n v="9"/>
    <n v="213"/>
    <s v="Somewhat Satisfied"/>
    <s v="TV"/>
  </r>
  <r>
    <n v="1574047"/>
    <s v="Female"/>
    <x v="0"/>
    <d v="1972-02-04T00:00:00"/>
    <s v="Yes"/>
    <n v="1"/>
    <n v="90010"/>
    <n v="49000"/>
    <n v="298"/>
    <n v="202"/>
    <n v="2"/>
    <n v="248"/>
    <s v="Somewhat Satisfied"/>
    <s v="TV"/>
  </r>
  <r>
    <n v="1574098"/>
    <s v="Male"/>
    <x v="2"/>
    <d v="1979-11-24T00:00:00"/>
    <s v="Yes"/>
    <n v="4"/>
    <n v="90050"/>
    <n v="86000"/>
    <n v="75"/>
    <n v="68"/>
    <n v="1"/>
    <n v="176"/>
    <s v="Somewhat Satisfied"/>
    <s v="Referral"/>
  </r>
  <r>
    <n v="1574151"/>
    <s v="Female"/>
    <x v="0"/>
    <d v="1980-01-28T00:00:00"/>
    <s v="Yes"/>
    <n v="5"/>
    <n v="90012"/>
    <n v="61000"/>
    <n v="778"/>
    <n v="1144"/>
    <n v="28"/>
    <n v="95"/>
    <s v="Somewhat Satisfied"/>
    <s v="TV"/>
  </r>
  <r>
    <n v="1574379"/>
    <s v="Male"/>
    <x v="0"/>
    <d v="1979-09-01T00:00:00"/>
    <s v="Yes"/>
    <n v="2"/>
    <n v="90047"/>
    <n v="60000"/>
    <n v="514"/>
    <n v="636"/>
    <n v="10"/>
    <n v="265"/>
    <s v="Neutral"/>
    <s v="Referral"/>
  </r>
  <r>
    <n v="1574687"/>
    <s v="Female"/>
    <x v="0"/>
    <d v="1968-10-12T00:00:00"/>
    <s v="Yes"/>
    <n v="1"/>
    <n v="90030"/>
    <n v="54000"/>
    <n v="266"/>
    <n v="338"/>
    <n v="5"/>
    <n v="281"/>
    <s v="Very Satisfied"/>
    <s v="Referral"/>
  </r>
  <r>
    <n v="1574764"/>
    <s v="Female"/>
    <x v="1"/>
    <d v="1980-02-19T00:00:00"/>
    <s v="Yes"/>
    <n v="4"/>
    <n v="90041"/>
    <n v="87000"/>
    <n v="841"/>
    <n v="689"/>
    <n v="7"/>
    <n v="181"/>
    <s v="Somewhat Satisfied"/>
    <s v="TV"/>
  </r>
  <r>
    <n v="1574841"/>
    <s v="Female"/>
    <x v="1"/>
    <d v="1981-11-06T00:00:00"/>
    <s v="Yes"/>
    <n v="2"/>
    <n v="90037"/>
    <n v="57000"/>
    <n v="1212"/>
    <n v="1122"/>
    <n v="28"/>
    <n v="228"/>
    <s v="Very Satisfied"/>
    <s v="Referral"/>
  </r>
  <r>
    <n v="1575294"/>
    <s v="Male"/>
    <x v="1"/>
    <d v="1963-08-25T00:00:00"/>
    <s v="Yes"/>
    <n v="3"/>
    <n v="90061"/>
    <n v="75000"/>
    <n v="175"/>
    <n v="172"/>
    <n v="2"/>
    <n v="211"/>
    <s v="Somewhat Satisfied"/>
    <s v="Referral"/>
  </r>
  <r>
    <n v="1575448"/>
    <s v="Male"/>
    <x v="2"/>
    <d v="1998-06-19T00:00:00"/>
    <s v="Yes"/>
    <n v="4"/>
    <n v="90050"/>
    <n v="100000"/>
    <n v="486"/>
    <n v="437"/>
    <n v="5"/>
    <n v="223"/>
    <s v="Somewhat Satisfied"/>
    <s v="Referral"/>
  </r>
  <r>
    <n v="1575538"/>
    <s v="Male"/>
    <x v="2"/>
    <d v="1996-11-02T00:00:00"/>
    <s v="Yes"/>
    <n v="5"/>
    <n v="90063"/>
    <n v="129000"/>
    <n v="813"/>
    <n v="949"/>
    <n v="24"/>
    <n v="140"/>
    <s v="Neutral"/>
    <s v="Web"/>
  </r>
  <r>
    <n v="1575993"/>
    <s v="Male"/>
    <x v="1"/>
    <d v="1986-11-10T00:00:00"/>
    <s v="Yes"/>
    <n v="3"/>
    <n v="90036"/>
    <n v="92000"/>
    <n v="406"/>
    <n v="409"/>
    <n v="3"/>
    <n v="294"/>
    <s v="Somewhat Satisfied"/>
    <s v="SM"/>
  </r>
  <r>
    <n v="1576211"/>
    <s v="Female"/>
    <x v="1"/>
    <d v="1985-08-14T00:00:00"/>
    <s v="No"/>
    <n v="1"/>
    <n v="90017"/>
    <n v="31000"/>
    <n v="1336"/>
    <n v="1244"/>
    <n v="15"/>
    <n v="280"/>
    <s v="Very Satisfied"/>
    <s v="Web"/>
  </r>
  <r>
    <n v="1576752"/>
    <s v="Male"/>
    <x v="0"/>
    <d v="1968-07-18T00:00:00"/>
    <s v="Yes"/>
    <n v="4"/>
    <n v="90044"/>
    <n v="82000"/>
    <n v="1322"/>
    <n v="1241"/>
    <n v="11"/>
    <n v="159"/>
    <s v="Very Satisfied"/>
    <s v="TV"/>
  </r>
  <r>
    <n v="1576984"/>
    <s v="Male"/>
    <x v="0"/>
    <d v="1966-02-20T00:00:00"/>
    <s v="Yes"/>
    <n v="4"/>
    <n v="90050"/>
    <n v="87000"/>
    <n v="152"/>
    <n v="247"/>
    <n v="6"/>
    <n v="148"/>
    <s v="Neutral"/>
    <s v="Web"/>
  </r>
  <r>
    <n v="1577095"/>
    <s v="Male"/>
    <x v="1"/>
    <d v="1997-12-04T00:00:00"/>
    <s v="Yes"/>
    <n v="2"/>
    <n v="90030"/>
    <n v="58000"/>
    <n v="471"/>
    <n v="319"/>
    <n v="2"/>
    <n v="128"/>
    <s v="Somewhat Satisfied"/>
    <s v="SM"/>
  </r>
  <r>
    <n v="1577691"/>
    <s v="Male"/>
    <x v="2"/>
    <d v="1976-03-27T00:00:00"/>
    <s v="Yes"/>
    <n v="5"/>
    <n v="90001"/>
    <n v="97000"/>
    <n v="70"/>
    <n v="89"/>
    <n v="2"/>
    <n v="205"/>
    <s v="Somewhat Satisfied"/>
    <s v="TV"/>
  </r>
  <r>
    <n v="1577940"/>
    <s v="Female"/>
    <x v="0"/>
    <d v="1973-02-27T00:00:00"/>
    <s v="Yes"/>
    <n v="5"/>
    <n v="90019"/>
    <n v="94000"/>
    <n v="634"/>
    <n v="1206"/>
    <n v="18"/>
    <n v="181"/>
    <s v="Somewhat Satisfied"/>
    <s v="Web"/>
  </r>
  <r>
    <n v="1578327"/>
    <s v="Male"/>
    <x v="2"/>
    <d v="1967-08-24T00:00:00"/>
    <s v="Yes"/>
    <n v="1"/>
    <n v="90024"/>
    <n v="49000"/>
    <n v="1015"/>
    <n v="760"/>
    <n v="11"/>
    <n v="136"/>
    <s v="Neutral"/>
    <s v="SM"/>
  </r>
  <r>
    <n v="1578472"/>
    <s v="Female"/>
    <x v="0"/>
    <d v="1962-07-04T00:00:00"/>
    <s v="Yes"/>
    <n v="2"/>
    <n v="90067"/>
    <n v="76000"/>
    <n v="385"/>
    <n v="322"/>
    <n v="7"/>
    <n v="344"/>
    <s v="Very Satisfied"/>
    <s v="Web"/>
  </r>
  <r>
    <n v="1578525"/>
    <s v="Male"/>
    <x v="2"/>
    <d v="1963-12-12T00:00:00"/>
    <s v="Yes"/>
    <n v="1"/>
    <n v="90005"/>
    <n v="82000"/>
    <n v="1521"/>
    <n v="1121"/>
    <n v="25"/>
    <n v="302"/>
    <s v="Somewhat Satisfied"/>
    <s v="Web"/>
  </r>
  <r>
    <n v="1579349"/>
    <s v="Male"/>
    <x v="3"/>
    <d v="1980-12-19T00:00:00"/>
    <s v="Yes"/>
    <n v="1"/>
    <n v="90010"/>
    <n v="49000"/>
    <n v="217"/>
    <n v="397"/>
    <n v="10"/>
    <n v="200"/>
    <s v="Somewhat Satisfied"/>
    <s v="Web"/>
  </r>
  <r>
    <n v="1579389"/>
    <s v="Female"/>
    <x v="5"/>
    <d v="2000-05-21T00:00:00"/>
    <s v="Yes"/>
    <n v="1"/>
    <n v="90009"/>
    <n v="50000"/>
    <n v="625"/>
    <n v="514"/>
    <n v="10"/>
    <n v="233"/>
    <s v="Somewhat Dissatisfied"/>
    <s v="Referral"/>
  </r>
  <r>
    <n v="1579857"/>
    <s v="Female"/>
    <x v="1"/>
    <d v="1991-01-26T00:00:00"/>
    <s v="Yes"/>
    <n v="1"/>
    <n v="90055"/>
    <n v="52000"/>
    <n v="325"/>
    <n v="586"/>
    <n v="13"/>
    <n v="219"/>
    <s v="Somewhat Dissatisfied"/>
    <s v="Referral"/>
  </r>
  <r>
    <n v="1579979"/>
    <s v="Male"/>
    <x v="1"/>
    <d v="1999-07-05T00:00:00"/>
    <s v="Yes"/>
    <n v="5"/>
    <n v="90043"/>
    <n v="102000"/>
    <n v="1080"/>
    <n v="926"/>
    <n v="10"/>
    <n v="113"/>
    <s v="Somewhat Satisfied"/>
    <s v="S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294CE-F5EB-4EC0-B407-B99CC8462091}" name="PivotTable2" cacheId="31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I15:AJ22" firstHeaderRow="1" firstDataRow="1" firstDataCol="1"/>
  <pivotFields count="14">
    <pivotField compact="0" outline="0" showAll="0"/>
    <pivotField compact="0" outline="0" showAll="0"/>
    <pivotField axis="axisRow" dataField="1" compact="0" outline="0" showAll="0">
      <items count="7">
        <item x="5"/>
        <item x="3"/>
        <item x="0"/>
        <item x="2"/>
        <item x="4"/>
        <item x="1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ace" fld="2" subtotal="count" baseField="0" baseItem="0"/>
  </dataFields>
  <formats count="6">
    <format dxfId="2">
      <pivotArea type="all" dataOnly="0" outline="0" fieldPosition="0"/>
    </format>
    <format dxfId="3">
      <pivotArea outline="0" collapsedLevelsAreSubtotals="1" fieldPosition="0"/>
    </format>
    <format dxfId="4">
      <pivotArea field="2" type="button" dataOnly="0" labelOnly="1" outline="0" axis="axisRow" fieldPosition="0"/>
    </format>
    <format dxfId="5">
      <pivotArea dataOnly="0" labelOnly="1" grandRow="1" outline="0" fieldPosition="0"/>
    </format>
    <format dxfId="6">
      <pivotArea dataOnly="0" labelOnly="1" outline="0" axis="axisValues" fieldPosition="0"/>
    </format>
    <format dxfId="7">
      <pivotArea outline="0" fieldPosition="0">
        <references count="1">
          <reference field="2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6B94-A9E6-4A47-AF7E-4053FED6ADB9}">
  <dimension ref="A1:AO201"/>
  <sheetViews>
    <sheetView tabSelected="1" topLeftCell="N1" workbookViewId="0">
      <selection activeCell="Y5" sqref="Y5"/>
    </sheetView>
  </sheetViews>
  <sheetFormatPr defaultColWidth="9.125" defaultRowHeight="14.1"/>
  <cols>
    <col min="1" max="3" width="9.125" style="1"/>
    <col min="4" max="4" width="12" style="1" bestFit="1" customWidth="1"/>
    <col min="5" max="5" width="12.375" style="1" customWidth="1"/>
    <col min="6" max="6" width="9.125" style="1"/>
    <col min="7" max="7" width="14.5" style="1" customWidth="1"/>
    <col min="8" max="8" width="10.5" style="1" customWidth="1"/>
    <col min="9" max="9" width="9.125" style="1"/>
    <col min="10" max="10" width="13.875" style="1" customWidth="1"/>
    <col min="11" max="11" width="13.5" style="1" customWidth="1"/>
    <col min="12" max="12" width="14" style="1" customWidth="1"/>
    <col min="13" max="13" width="14.375" style="1" customWidth="1"/>
    <col min="14" max="14" width="17.5" style="1" customWidth="1"/>
    <col min="15" max="15" width="7.625" style="1" bestFit="1" customWidth="1"/>
    <col min="16" max="16" width="14.375" style="1" customWidth="1"/>
    <col min="17" max="17" width="19.125" style="1" bestFit="1" customWidth="1"/>
    <col min="18" max="28" width="14.375" style="1" customWidth="1"/>
    <col min="29" max="30" width="11" style="1" customWidth="1"/>
    <col min="31" max="33" width="11" style="1" hidden="1" customWidth="1"/>
    <col min="34" max="34" width="9.125" style="1"/>
    <col min="35" max="35" width="15.125" bestFit="1" customWidth="1"/>
    <col min="36" max="36" width="13.375" style="1" bestFit="1" customWidth="1"/>
    <col min="37" max="37" width="5.5" style="1" bestFit="1" customWidth="1"/>
    <col min="38" max="38" width="8.5" style="1" bestFit="1" customWidth="1"/>
    <col min="39" max="39" width="14.375" style="1" bestFit="1" customWidth="1"/>
    <col min="40" max="40" width="6.375" style="1" bestFit="1" customWidth="1"/>
    <col min="41" max="41" width="11.5" style="1" bestFit="1" customWidth="1"/>
    <col min="42" max="16384" width="9.125" style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7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8</v>
      </c>
      <c r="Y1" s="1" t="s">
        <v>21</v>
      </c>
      <c r="Z1" s="1" t="s">
        <v>22</v>
      </c>
      <c r="AA1" s="1" t="s">
        <v>23</v>
      </c>
      <c r="AB1" s="1" t="s">
        <v>24</v>
      </c>
      <c r="AE1" s="13" t="s">
        <v>25</v>
      </c>
      <c r="AF1" s="13" t="s">
        <v>26</v>
      </c>
      <c r="AG1" s="13" t="s">
        <v>27</v>
      </c>
      <c r="AI1" t="s">
        <v>28</v>
      </c>
    </row>
    <row r="2" spans="1:41" ht="15">
      <c r="A2" s="1">
        <v>1530016</v>
      </c>
      <c r="B2" s="1" t="s">
        <v>29</v>
      </c>
      <c r="C2" s="1" t="s">
        <v>30</v>
      </c>
      <c r="D2" s="15" t="str">
        <f>IF(OR(C2="American Indian",C2="Pacific Islander"),"Other",C2)</f>
        <v>Black</v>
      </c>
      <c r="E2" s="2">
        <v>31762</v>
      </c>
      <c r="F2" s="1" t="s">
        <v>31</v>
      </c>
      <c r="G2" s="1">
        <v>5</v>
      </c>
      <c r="H2" s="1">
        <v>90047</v>
      </c>
      <c r="I2" s="1">
        <v>53000</v>
      </c>
      <c r="J2" s="1">
        <v>287</v>
      </c>
      <c r="K2" s="1">
        <v>241</v>
      </c>
      <c r="L2" s="1">
        <v>3</v>
      </c>
      <c r="M2" s="1">
        <v>101</v>
      </c>
      <c r="N2" s="1" t="s">
        <v>32</v>
      </c>
      <c r="O2" s="1" t="s">
        <v>33</v>
      </c>
      <c r="P2" s="1">
        <f>IF($N2="Very satisfied",5,IF($N2="Somewhat Satisfied",4,IF($N2="Neutral",3,IF($N2="Somewhat DisSatisfied",2,1))))</f>
        <v>1</v>
      </c>
      <c r="Q2" s="1">
        <f>-M2</f>
        <v>-101</v>
      </c>
      <c r="R2" s="15">
        <f>IF(Q2&lt;=Y$2,1,IF(Q2&lt;=Y$3,2,IF(Q2&lt;=Y$4,3,IF(Q2&lt;=Y5,4,5))))</f>
        <v>4</v>
      </c>
      <c r="S2" s="15">
        <f>IF(L2&lt;=Z$2,1,IF(L2&lt;=Z$3,2,IF(L2&lt;=Z$4,3,IF(L2&lt;=Z5,4,5))))</f>
        <v>1</v>
      </c>
      <c r="T2" s="15">
        <f>IF(K2&lt;=AA$2,1,IF(K2&lt;=AA$3,2,IF(K2&lt;=AA$4,3,IF(K2&lt;=AA5,4,5))))</f>
        <v>1</v>
      </c>
      <c r="U2" s="15" t="str">
        <f>_xlfn.CONCAT(R2,S2,T2,)</f>
        <v>411</v>
      </c>
      <c r="V2" s="15">
        <f>IF(I2&lt;=AA$2,1,IF(I2&lt;=AA$3,2,IF(I2&lt;=AA$4,3,IF(I2&lt;=AA5,4,5))))</f>
        <v>5</v>
      </c>
      <c r="X2" s="1" t="s">
        <v>34</v>
      </c>
      <c r="Y2" s="1">
        <f>PERCENTILE($Q$2:$Q$201,0.2)</f>
        <v>-294.2</v>
      </c>
      <c r="Z2" s="1">
        <f>PERCENTILE($L$2:$L$201,0.2)</f>
        <v>4</v>
      </c>
      <c r="AA2" s="1">
        <f>PERCENTILE($K$2:$K$201,0.2)</f>
        <v>300</v>
      </c>
      <c r="AB2" s="1">
        <f>PERCENTILE($I$2:$I$201,0.2)</f>
        <v>51000</v>
      </c>
      <c r="AC2" s="15"/>
      <c r="AE2" s="1">
        <f>IF($O2="TV",1,0)</f>
        <v>0</v>
      </c>
      <c r="AF2" s="1">
        <f>IF($O2="Referral",1,0)</f>
        <v>0</v>
      </c>
      <c r="AG2" s="1">
        <f>IF($O2="SM",1,0)</f>
        <v>1</v>
      </c>
      <c r="AI2" t="s">
        <v>35</v>
      </c>
    </row>
    <row r="3" spans="1:41" ht="15">
      <c r="A3" s="1">
        <v>1531136</v>
      </c>
      <c r="B3" s="1" t="s">
        <v>36</v>
      </c>
      <c r="C3" s="1" t="s">
        <v>37</v>
      </c>
      <c r="D3" s="15" t="str">
        <f t="shared" ref="D3:D66" si="0">IF(OR(C3="American Indian",C3="Pacific Islander"),"Other",C3)</f>
        <v>White</v>
      </c>
      <c r="E3" s="2">
        <v>34098</v>
      </c>
      <c r="F3" s="1" t="s">
        <v>31</v>
      </c>
      <c r="G3" s="1">
        <v>5</v>
      </c>
      <c r="H3" s="1">
        <v>90026</v>
      </c>
      <c r="I3" s="1">
        <v>94000</v>
      </c>
      <c r="J3" s="1">
        <v>1227</v>
      </c>
      <c r="K3" s="1">
        <v>843</v>
      </c>
      <c r="L3" s="1">
        <v>12</v>
      </c>
      <c r="M3" s="1">
        <v>262</v>
      </c>
      <c r="N3" s="1" t="s">
        <v>38</v>
      </c>
      <c r="O3" s="1" t="s">
        <v>39</v>
      </c>
      <c r="P3" s="1">
        <f t="shared" ref="P3:P66" si="1">IF($N3="Very satisfied",5,IF($N3="Somewhat Satisfied",4,IF($N3="Neutral",3,IF($N3="Somewhat DisSatisfied",2,1))))</f>
        <v>3</v>
      </c>
      <c r="Q3" s="1">
        <f t="shared" ref="Q3:Q66" si="2">-M3</f>
        <v>-262</v>
      </c>
      <c r="R3" s="15">
        <f t="shared" ref="R3:R66" si="3">IF(Q3&lt;=Y$2,1,IF(Q3&lt;=Y$3,2,IF(Q3&lt;=Y$4,3,IF(Q3&lt;=Y6,4,5))))</f>
        <v>2</v>
      </c>
      <c r="S3" s="15">
        <f t="shared" ref="S3:S66" si="4">IF(L3&lt;=Z$2,1,IF(L3&lt;=Z$3,2,IF(L3&lt;=Z$4,3,IF(L3&lt;=Z6,4,5))))</f>
        <v>5</v>
      </c>
      <c r="T3" s="15">
        <f t="shared" ref="T3:T66" si="5">IF(K3&lt;=AA$2,1,IF(K3&lt;=AA$3,2,IF(K3&lt;=AA$4,3,IF(K3&lt;=AA6,4,5))))</f>
        <v>5</v>
      </c>
      <c r="U3" s="15" t="str">
        <f t="shared" ref="U3:U66" si="6">_xlfn.CONCAT(R3,S3,T3,)</f>
        <v>255</v>
      </c>
      <c r="V3" s="15"/>
      <c r="X3" s="1" t="s">
        <v>40</v>
      </c>
      <c r="Y3" s="1">
        <f>PERCENTILE($Q$2:$Q$201,0.4)</f>
        <v>-218.39999999999998</v>
      </c>
      <c r="Z3" s="1">
        <f>PERCENTILE($L$2:$L$201,0.4)</f>
        <v>7</v>
      </c>
      <c r="AA3" s="1">
        <f>PERCENTILE($K$2:$K$201,0.4)</f>
        <v>552.6</v>
      </c>
      <c r="AE3" s="1">
        <f t="shared" ref="AE3:AE66" si="7">IF($O3="TV",1,0)</f>
        <v>1</v>
      </c>
      <c r="AF3" s="1">
        <f t="shared" ref="AF3:AF66" si="8">IF($O3="Referral",1,0)</f>
        <v>0</v>
      </c>
      <c r="AG3" s="1">
        <f t="shared" ref="AG3:AG66" si="9">IF($O3="SM",1,0)</f>
        <v>0</v>
      </c>
      <c r="AI3" t="s">
        <v>41</v>
      </c>
    </row>
    <row r="4" spans="1:41" ht="15">
      <c r="A4" s="1">
        <v>1532160</v>
      </c>
      <c r="B4" s="1" t="s">
        <v>36</v>
      </c>
      <c r="C4" s="1" t="s">
        <v>30</v>
      </c>
      <c r="D4" s="15" t="str">
        <f t="shared" si="0"/>
        <v>Black</v>
      </c>
      <c r="E4" s="2">
        <v>24249</v>
      </c>
      <c r="F4" s="1" t="s">
        <v>31</v>
      </c>
      <c r="G4" s="1">
        <v>2</v>
      </c>
      <c r="H4" s="1">
        <v>90027</v>
      </c>
      <c r="I4" s="1">
        <v>64000</v>
      </c>
      <c r="J4" s="1">
        <v>523</v>
      </c>
      <c r="K4" s="1">
        <v>719</v>
      </c>
      <c r="L4" s="1">
        <v>9</v>
      </c>
      <c r="M4" s="1">
        <v>122</v>
      </c>
      <c r="N4" s="1" t="s">
        <v>42</v>
      </c>
      <c r="O4" s="1" t="s">
        <v>39</v>
      </c>
      <c r="P4" s="1">
        <f t="shared" si="1"/>
        <v>5</v>
      </c>
      <c r="Q4" s="1">
        <f t="shared" si="2"/>
        <v>-122</v>
      </c>
      <c r="R4" s="15">
        <f t="shared" si="3"/>
        <v>4</v>
      </c>
      <c r="S4" s="15">
        <f t="shared" si="4"/>
        <v>3</v>
      </c>
      <c r="T4" s="15">
        <f t="shared" si="5"/>
        <v>3</v>
      </c>
      <c r="U4" s="15" t="str">
        <f t="shared" si="6"/>
        <v>433</v>
      </c>
      <c r="V4" s="15"/>
      <c r="X4" s="1" t="s">
        <v>43</v>
      </c>
      <c r="Y4" s="1">
        <f>PERCENTILE($Q$2:$Q$201,0.6)</f>
        <v>-146.80000000000001</v>
      </c>
      <c r="Z4" s="1">
        <f>PERCENTILE($L$2:$L$201,0.6)</f>
        <v>11</v>
      </c>
      <c r="AA4" s="1">
        <f>PERCENTILE($K$2:$K$201,0.6)</f>
        <v>765.19999999999993</v>
      </c>
      <c r="AE4" s="1">
        <f t="shared" si="7"/>
        <v>1</v>
      </c>
      <c r="AF4" s="1">
        <f t="shared" si="8"/>
        <v>0</v>
      </c>
      <c r="AG4" s="1">
        <f t="shared" si="9"/>
        <v>0</v>
      </c>
      <c r="AI4" t="s">
        <v>44</v>
      </c>
    </row>
    <row r="5" spans="1:41" ht="15">
      <c r="A5" s="1">
        <v>1532307</v>
      </c>
      <c r="B5" s="1" t="s">
        <v>36</v>
      </c>
      <c r="C5" s="1" t="s">
        <v>37</v>
      </c>
      <c r="D5" s="15" t="str">
        <f t="shared" si="0"/>
        <v>White</v>
      </c>
      <c r="E5" s="2">
        <v>23636</v>
      </c>
      <c r="F5" s="1" t="s">
        <v>31</v>
      </c>
      <c r="G5" s="1">
        <v>4</v>
      </c>
      <c r="H5" s="1">
        <v>90029</v>
      </c>
      <c r="I5" s="1">
        <v>60000</v>
      </c>
      <c r="J5" s="1">
        <v>516</v>
      </c>
      <c r="K5" s="1">
        <v>582</v>
      </c>
      <c r="L5" s="1">
        <v>13</v>
      </c>
      <c r="M5" s="1">
        <v>129</v>
      </c>
      <c r="N5" s="1" t="s">
        <v>32</v>
      </c>
      <c r="O5" s="1" t="s">
        <v>33</v>
      </c>
      <c r="P5" s="1">
        <f t="shared" si="1"/>
        <v>1</v>
      </c>
      <c r="Q5" s="1">
        <f t="shared" si="2"/>
        <v>-129</v>
      </c>
      <c r="R5" s="15">
        <f t="shared" si="3"/>
        <v>4</v>
      </c>
      <c r="S5" s="15">
        <f t="shared" si="4"/>
        <v>5</v>
      </c>
      <c r="T5" s="15">
        <f t="shared" si="5"/>
        <v>3</v>
      </c>
      <c r="U5" s="15" t="str">
        <f t="shared" si="6"/>
        <v>453</v>
      </c>
      <c r="V5" s="15"/>
      <c r="X5" s="1" t="s">
        <v>45</v>
      </c>
      <c r="Y5" s="1">
        <f>PERCENTILE($Q$2:$Q$201,0.8)</f>
        <v>-76</v>
      </c>
      <c r="Z5" s="1">
        <f>PERCENTILE($L$2:$L$201,0.8)</f>
        <v>16</v>
      </c>
      <c r="AA5" s="1">
        <f>PERCENTILE($K$2:$K$201,0.8)</f>
        <v>1044.4000000000001</v>
      </c>
      <c r="AE5" s="1">
        <f t="shared" si="7"/>
        <v>0</v>
      </c>
      <c r="AF5" s="1">
        <f t="shared" si="8"/>
        <v>0</v>
      </c>
      <c r="AG5" s="1">
        <f t="shared" si="9"/>
        <v>1</v>
      </c>
    </row>
    <row r="6" spans="1:41" ht="15">
      <c r="A6" s="1">
        <v>1532356</v>
      </c>
      <c r="B6" s="1" t="s">
        <v>29</v>
      </c>
      <c r="C6" s="1" t="s">
        <v>46</v>
      </c>
      <c r="D6" s="15" t="str">
        <f t="shared" si="0"/>
        <v>Hispanic</v>
      </c>
      <c r="E6" s="2">
        <v>23573</v>
      </c>
      <c r="F6" s="1" t="s">
        <v>47</v>
      </c>
      <c r="G6" s="1">
        <v>5</v>
      </c>
      <c r="H6" s="1">
        <v>90017</v>
      </c>
      <c r="I6" s="1">
        <v>47000</v>
      </c>
      <c r="J6" s="1">
        <v>555</v>
      </c>
      <c r="K6" s="1">
        <v>845</v>
      </c>
      <c r="L6" s="1">
        <v>7</v>
      </c>
      <c r="M6" s="1">
        <v>97</v>
      </c>
      <c r="N6" s="1" t="s">
        <v>32</v>
      </c>
      <c r="O6" s="1" t="s">
        <v>48</v>
      </c>
      <c r="P6" s="1">
        <f t="shared" si="1"/>
        <v>1</v>
      </c>
      <c r="Q6" s="1">
        <f t="shared" si="2"/>
        <v>-97</v>
      </c>
      <c r="R6" s="15">
        <f t="shared" si="3"/>
        <v>4</v>
      </c>
      <c r="S6" s="15">
        <f t="shared" si="4"/>
        <v>2</v>
      </c>
      <c r="T6" s="15">
        <f t="shared" si="5"/>
        <v>5</v>
      </c>
      <c r="U6" s="15" t="str">
        <f t="shared" si="6"/>
        <v>425</v>
      </c>
      <c r="V6" s="15"/>
      <c r="AE6" s="1">
        <f t="shared" si="7"/>
        <v>0</v>
      </c>
      <c r="AF6" s="1">
        <f t="shared" si="8"/>
        <v>0</v>
      </c>
      <c r="AG6" s="1">
        <f t="shared" si="9"/>
        <v>0</v>
      </c>
    </row>
    <row r="7" spans="1:41" ht="15">
      <c r="A7" s="1">
        <v>1532387</v>
      </c>
      <c r="B7" s="1" t="s">
        <v>36</v>
      </c>
      <c r="C7" s="1" t="s">
        <v>37</v>
      </c>
      <c r="D7" s="15" t="str">
        <f t="shared" si="0"/>
        <v>White</v>
      </c>
      <c r="E7" s="2">
        <v>21059</v>
      </c>
      <c r="F7" s="1" t="s">
        <v>31</v>
      </c>
      <c r="G7" s="1">
        <v>2</v>
      </c>
      <c r="H7" s="1">
        <v>90028</v>
      </c>
      <c r="I7" s="1">
        <v>67000</v>
      </c>
      <c r="J7" s="1">
        <v>631</v>
      </c>
      <c r="K7" s="1">
        <v>452</v>
      </c>
      <c r="L7" s="1">
        <v>9</v>
      </c>
      <c r="M7" s="1">
        <v>150</v>
      </c>
      <c r="N7" s="1" t="s">
        <v>38</v>
      </c>
      <c r="O7" s="1" t="s">
        <v>33</v>
      </c>
      <c r="P7" s="1">
        <f t="shared" si="1"/>
        <v>3</v>
      </c>
      <c r="Q7" s="1">
        <f t="shared" si="2"/>
        <v>-150</v>
      </c>
      <c r="R7" s="15">
        <f t="shared" si="3"/>
        <v>3</v>
      </c>
      <c r="S7" s="15">
        <f t="shared" si="4"/>
        <v>3</v>
      </c>
      <c r="T7" s="15">
        <f t="shared" si="5"/>
        <v>2</v>
      </c>
      <c r="U7" s="15" t="str">
        <f t="shared" si="6"/>
        <v>332</v>
      </c>
      <c r="V7" s="15"/>
      <c r="AE7" s="1">
        <f t="shared" si="7"/>
        <v>0</v>
      </c>
      <c r="AF7" s="1">
        <f t="shared" si="8"/>
        <v>0</v>
      </c>
      <c r="AG7" s="1">
        <f t="shared" si="9"/>
        <v>1</v>
      </c>
      <c r="AI7" t="s">
        <v>49</v>
      </c>
    </row>
    <row r="8" spans="1:41" ht="15">
      <c r="A8" s="1">
        <v>1533017</v>
      </c>
      <c r="B8" s="1" t="s">
        <v>29</v>
      </c>
      <c r="C8" s="1" t="s">
        <v>46</v>
      </c>
      <c r="D8" s="15" t="str">
        <f t="shared" si="0"/>
        <v>Hispanic</v>
      </c>
      <c r="E8" s="2">
        <v>31181</v>
      </c>
      <c r="F8" s="1" t="s">
        <v>31</v>
      </c>
      <c r="G8" s="1">
        <v>3</v>
      </c>
      <c r="H8" s="1">
        <v>90063</v>
      </c>
      <c r="I8" s="1">
        <v>84000</v>
      </c>
      <c r="J8" s="1">
        <v>229</v>
      </c>
      <c r="K8" s="1">
        <v>153</v>
      </c>
      <c r="L8" s="1">
        <v>2</v>
      </c>
      <c r="M8" s="1">
        <v>144</v>
      </c>
      <c r="N8" s="1" t="s">
        <v>42</v>
      </c>
      <c r="O8" s="1" t="s">
        <v>48</v>
      </c>
      <c r="P8" s="1">
        <f t="shared" si="1"/>
        <v>5</v>
      </c>
      <c r="Q8" s="1">
        <f t="shared" si="2"/>
        <v>-144</v>
      </c>
      <c r="R8" s="15">
        <f t="shared" si="3"/>
        <v>4</v>
      </c>
      <c r="S8" s="15">
        <f t="shared" si="4"/>
        <v>1</v>
      </c>
      <c r="T8" s="15">
        <f t="shared" si="5"/>
        <v>1</v>
      </c>
      <c r="U8" s="15" t="str">
        <f t="shared" si="6"/>
        <v>411</v>
      </c>
      <c r="V8" s="15"/>
      <c r="X8" s="1" t="s">
        <v>50</v>
      </c>
      <c r="Y8" s="1">
        <f>MAX(I:I)</f>
        <v>167000</v>
      </c>
      <c r="AE8" s="1">
        <f t="shared" si="7"/>
        <v>0</v>
      </c>
      <c r="AF8" s="1">
        <f t="shared" si="8"/>
        <v>0</v>
      </c>
      <c r="AG8" s="1">
        <f t="shared" si="9"/>
        <v>0</v>
      </c>
      <c r="AI8" t="s">
        <v>51</v>
      </c>
    </row>
    <row r="9" spans="1:41" ht="15">
      <c r="A9" s="1">
        <v>1533561</v>
      </c>
      <c r="B9" s="1" t="s">
        <v>36</v>
      </c>
      <c r="C9" s="1" t="s">
        <v>46</v>
      </c>
      <c r="D9" s="15" t="str">
        <f t="shared" si="0"/>
        <v>Hispanic</v>
      </c>
      <c r="E9" s="2">
        <v>29627</v>
      </c>
      <c r="F9" s="1" t="s">
        <v>31</v>
      </c>
      <c r="G9" s="1">
        <v>5</v>
      </c>
      <c r="H9" s="1">
        <v>90050</v>
      </c>
      <c r="I9" s="1">
        <v>76000</v>
      </c>
      <c r="J9" s="1">
        <v>1474</v>
      </c>
      <c r="K9" s="1">
        <v>1079</v>
      </c>
      <c r="L9" s="1">
        <v>23</v>
      </c>
      <c r="M9" s="1">
        <v>122</v>
      </c>
      <c r="N9" s="1" t="s">
        <v>42</v>
      </c>
      <c r="O9" s="1" t="s">
        <v>52</v>
      </c>
      <c r="P9" s="1">
        <f t="shared" si="1"/>
        <v>5</v>
      </c>
      <c r="Q9" s="1">
        <f t="shared" si="2"/>
        <v>-122</v>
      </c>
      <c r="R9" s="15">
        <f t="shared" si="3"/>
        <v>4</v>
      </c>
      <c r="S9" s="15">
        <f t="shared" si="4"/>
        <v>5</v>
      </c>
      <c r="T9" s="15">
        <f t="shared" si="5"/>
        <v>5</v>
      </c>
      <c r="U9" s="15" t="str">
        <f t="shared" si="6"/>
        <v>455</v>
      </c>
      <c r="V9" s="15"/>
      <c r="X9" s="1" t="s">
        <v>53</v>
      </c>
      <c r="Y9" s="1">
        <f>MIN(I:I)</f>
        <v>31000</v>
      </c>
      <c r="AE9" s="1">
        <f t="shared" si="7"/>
        <v>0</v>
      </c>
      <c r="AF9" s="1">
        <f t="shared" si="8"/>
        <v>1</v>
      </c>
      <c r="AG9" s="1">
        <f t="shared" si="9"/>
        <v>0</v>
      </c>
    </row>
    <row r="10" spans="1:41" ht="15">
      <c r="A10" s="1">
        <v>1533697</v>
      </c>
      <c r="B10" s="1" t="s">
        <v>29</v>
      </c>
      <c r="C10" s="1" t="s">
        <v>54</v>
      </c>
      <c r="D10" s="15" t="str">
        <f t="shared" si="0"/>
        <v>Asian</v>
      </c>
      <c r="E10" s="2">
        <v>27310</v>
      </c>
      <c r="F10" s="1" t="s">
        <v>31</v>
      </c>
      <c r="G10" s="1">
        <v>3</v>
      </c>
      <c r="H10" s="1">
        <v>90038</v>
      </c>
      <c r="I10" s="1">
        <v>42000</v>
      </c>
      <c r="J10" s="1">
        <v>300</v>
      </c>
      <c r="K10" s="1">
        <v>247</v>
      </c>
      <c r="L10" s="1">
        <v>3</v>
      </c>
      <c r="M10" s="1">
        <v>238</v>
      </c>
      <c r="N10" s="1" t="s">
        <v>42</v>
      </c>
      <c r="O10" s="1" t="s">
        <v>48</v>
      </c>
      <c r="P10" s="1">
        <f t="shared" si="1"/>
        <v>5</v>
      </c>
      <c r="Q10" s="1">
        <f t="shared" si="2"/>
        <v>-238</v>
      </c>
      <c r="R10" s="15">
        <f t="shared" si="3"/>
        <v>2</v>
      </c>
      <c r="S10" s="15">
        <f t="shared" si="4"/>
        <v>1</v>
      </c>
      <c r="T10" s="15">
        <f t="shared" si="5"/>
        <v>1</v>
      </c>
      <c r="U10" s="15" t="str">
        <f t="shared" si="6"/>
        <v>211</v>
      </c>
      <c r="V10" s="15"/>
      <c r="Y10" s="1">
        <f>Y8-Y9</f>
        <v>136000</v>
      </c>
      <c r="AE10" s="1">
        <f t="shared" si="7"/>
        <v>0</v>
      </c>
      <c r="AF10" s="1">
        <f t="shared" si="8"/>
        <v>0</v>
      </c>
      <c r="AG10" s="1">
        <f t="shared" si="9"/>
        <v>0</v>
      </c>
    </row>
    <row r="11" spans="1:41" ht="15">
      <c r="A11" s="1">
        <v>1533766</v>
      </c>
      <c r="B11" s="1" t="s">
        <v>36</v>
      </c>
      <c r="C11" s="1" t="s">
        <v>46</v>
      </c>
      <c r="D11" s="15" t="str">
        <f t="shared" si="0"/>
        <v>Hispanic</v>
      </c>
      <c r="E11" s="2">
        <v>26192</v>
      </c>
      <c r="F11" s="1" t="s">
        <v>31</v>
      </c>
      <c r="G11" s="1">
        <v>2</v>
      </c>
      <c r="H11" s="1">
        <v>90057</v>
      </c>
      <c r="I11" s="1">
        <v>71000</v>
      </c>
      <c r="J11" s="1">
        <v>925</v>
      </c>
      <c r="K11" s="1">
        <v>708</v>
      </c>
      <c r="L11" s="1">
        <v>4</v>
      </c>
      <c r="M11" s="1">
        <v>171</v>
      </c>
      <c r="N11" s="1" t="s">
        <v>38</v>
      </c>
      <c r="O11" s="1" t="s">
        <v>39</v>
      </c>
      <c r="P11" s="1">
        <f t="shared" si="1"/>
        <v>3</v>
      </c>
      <c r="Q11" s="1">
        <f t="shared" si="2"/>
        <v>-171</v>
      </c>
      <c r="R11" s="15">
        <f t="shared" si="3"/>
        <v>3</v>
      </c>
      <c r="S11" s="15">
        <f t="shared" si="4"/>
        <v>1</v>
      </c>
      <c r="T11" s="15">
        <f t="shared" si="5"/>
        <v>3</v>
      </c>
      <c r="U11" s="15" t="str">
        <f t="shared" si="6"/>
        <v>313</v>
      </c>
      <c r="V11" s="15"/>
      <c r="Y11" s="1">
        <f>Y10/5</f>
        <v>27200</v>
      </c>
      <c r="AE11" s="1">
        <f t="shared" si="7"/>
        <v>1</v>
      </c>
      <c r="AF11" s="1">
        <f t="shared" si="8"/>
        <v>0</v>
      </c>
      <c r="AG11" s="1">
        <f t="shared" si="9"/>
        <v>0</v>
      </c>
      <c r="AI11" t="s">
        <v>55</v>
      </c>
    </row>
    <row r="12" spans="1:41" ht="15">
      <c r="A12" s="1">
        <v>1533791</v>
      </c>
      <c r="B12" s="1" t="s">
        <v>36</v>
      </c>
      <c r="C12" s="1" t="s">
        <v>37</v>
      </c>
      <c r="D12" s="15" t="str">
        <f t="shared" si="0"/>
        <v>White</v>
      </c>
      <c r="E12" s="2">
        <v>36460</v>
      </c>
      <c r="F12" s="1" t="s">
        <v>31</v>
      </c>
      <c r="G12" s="1">
        <v>1</v>
      </c>
      <c r="H12" s="1">
        <v>90060</v>
      </c>
      <c r="I12" s="1">
        <v>97000</v>
      </c>
      <c r="J12" s="1">
        <v>828</v>
      </c>
      <c r="K12" s="1">
        <v>1028</v>
      </c>
      <c r="L12" s="1">
        <v>17</v>
      </c>
      <c r="M12" s="1">
        <v>110</v>
      </c>
      <c r="N12" s="1" t="s">
        <v>32</v>
      </c>
      <c r="O12" s="1" t="s">
        <v>48</v>
      </c>
      <c r="P12" s="1">
        <f t="shared" si="1"/>
        <v>1</v>
      </c>
      <c r="Q12" s="1">
        <f t="shared" si="2"/>
        <v>-110</v>
      </c>
      <c r="R12" s="15">
        <f t="shared" si="3"/>
        <v>4</v>
      </c>
      <c r="S12" s="15">
        <f t="shared" si="4"/>
        <v>5</v>
      </c>
      <c r="T12" s="15">
        <f t="shared" si="5"/>
        <v>5</v>
      </c>
      <c r="U12" s="15" t="str">
        <f t="shared" si="6"/>
        <v>455</v>
      </c>
      <c r="V12" s="15"/>
      <c r="AE12" s="1">
        <f t="shared" si="7"/>
        <v>0</v>
      </c>
      <c r="AF12" s="1">
        <f t="shared" si="8"/>
        <v>0</v>
      </c>
      <c r="AG12" s="1">
        <f t="shared" si="9"/>
        <v>0</v>
      </c>
      <c r="AI12" t="s">
        <v>56</v>
      </c>
    </row>
    <row r="13" spans="1:41" ht="15">
      <c r="A13" s="1">
        <v>1533917</v>
      </c>
      <c r="B13" s="1" t="s">
        <v>29</v>
      </c>
      <c r="C13" s="1" t="s">
        <v>30</v>
      </c>
      <c r="D13" s="15" t="str">
        <f t="shared" si="0"/>
        <v>Black</v>
      </c>
      <c r="E13" s="2">
        <v>34031</v>
      </c>
      <c r="F13" s="1" t="s">
        <v>31</v>
      </c>
      <c r="G13" s="1">
        <v>3</v>
      </c>
      <c r="H13" s="1">
        <v>90045</v>
      </c>
      <c r="I13" s="1">
        <v>64000</v>
      </c>
      <c r="J13" s="1">
        <v>768</v>
      </c>
      <c r="K13" s="1">
        <v>915</v>
      </c>
      <c r="L13" s="1">
        <v>15</v>
      </c>
      <c r="M13" s="1">
        <v>19</v>
      </c>
      <c r="N13" s="1" t="s">
        <v>42</v>
      </c>
      <c r="O13" s="1" t="s">
        <v>52</v>
      </c>
      <c r="P13" s="1">
        <f t="shared" si="1"/>
        <v>5</v>
      </c>
      <c r="Q13" s="1">
        <f t="shared" si="2"/>
        <v>-19</v>
      </c>
      <c r="R13" s="15">
        <f t="shared" si="3"/>
        <v>4</v>
      </c>
      <c r="S13" s="15">
        <f t="shared" si="4"/>
        <v>5</v>
      </c>
      <c r="T13" s="15">
        <f t="shared" si="5"/>
        <v>5</v>
      </c>
      <c r="U13" s="15" t="str">
        <f t="shared" si="6"/>
        <v>455</v>
      </c>
      <c r="V13" s="15"/>
      <c r="AE13" s="1">
        <f t="shared" si="7"/>
        <v>0</v>
      </c>
      <c r="AF13" s="1">
        <f t="shared" si="8"/>
        <v>1</v>
      </c>
      <c r="AG13" s="1">
        <f t="shared" si="9"/>
        <v>0</v>
      </c>
      <c r="AJ13"/>
    </row>
    <row r="14" spans="1:41" ht="15">
      <c r="A14" s="1">
        <v>1534502</v>
      </c>
      <c r="B14" s="1" t="s">
        <v>36</v>
      </c>
      <c r="C14" s="1" t="s">
        <v>46</v>
      </c>
      <c r="D14" s="15" t="str">
        <f t="shared" si="0"/>
        <v>Hispanic</v>
      </c>
      <c r="E14" s="2">
        <v>32868</v>
      </c>
      <c r="F14" s="1" t="s">
        <v>31</v>
      </c>
      <c r="G14" s="1">
        <v>2</v>
      </c>
      <c r="H14" s="1">
        <v>90056</v>
      </c>
      <c r="I14" s="1">
        <v>114000</v>
      </c>
      <c r="J14" s="1">
        <v>938</v>
      </c>
      <c r="K14" s="1">
        <v>665</v>
      </c>
      <c r="L14" s="1">
        <v>7</v>
      </c>
      <c r="M14" s="1">
        <v>262</v>
      </c>
      <c r="N14" s="1" t="s">
        <v>32</v>
      </c>
      <c r="O14" s="1" t="s">
        <v>39</v>
      </c>
      <c r="P14" s="1">
        <f t="shared" si="1"/>
        <v>1</v>
      </c>
      <c r="Q14" s="1">
        <f t="shared" si="2"/>
        <v>-262</v>
      </c>
      <c r="R14" s="15">
        <f t="shared" si="3"/>
        <v>2</v>
      </c>
      <c r="S14" s="15">
        <f t="shared" si="4"/>
        <v>2</v>
      </c>
      <c r="T14" s="15">
        <f t="shared" si="5"/>
        <v>3</v>
      </c>
      <c r="U14" s="15" t="str">
        <f t="shared" si="6"/>
        <v>223</v>
      </c>
      <c r="V14" s="15"/>
      <c r="AE14" s="1">
        <f t="shared" si="7"/>
        <v>1</v>
      </c>
      <c r="AF14" s="1">
        <f t="shared" si="8"/>
        <v>0</v>
      </c>
      <c r="AG14" s="1">
        <f t="shared" si="9"/>
        <v>0</v>
      </c>
    </row>
    <row r="15" spans="1:41" ht="15">
      <c r="A15" s="1">
        <v>1534928</v>
      </c>
      <c r="B15" s="1" t="s">
        <v>36</v>
      </c>
      <c r="C15" s="1" t="s">
        <v>46</v>
      </c>
      <c r="D15" s="15" t="str">
        <f t="shared" si="0"/>
        <v>Hispanic</v>
      </c>
      <c r="E15" s="2">
        <v>21568</v>
      </c>
      <c r="F15" s="1" t="s">
        <v>31</v>
      </c>
      <c r="G15" s="1">
        <v>5</v>
      </c>
      <c r="H15" s="1">
        <v>90033</v>
      </c>
      <c r="I15" s="1">
        <v>96000</v>
      </c>
      <c r="J15" s="1">
        <v>631</v>
      </c>
      <c r="K15" s="1">
        <v>796</v>
      </c>
      <c r="L15" s="1">
        <v>13</v>
      </c>
      <c r="M15" s="1">
        <v>68</v>
      </c>
      <c r="N15" s="1" t="s">
        <v>38</v>
      </c>
      <c r="O15" s="1" t="s">
        <v>52</v>
      </c>
      <c r="P15" s="1">
        <f t="shared" si="1"/>
        <v>3</v>
      </c>
      <c r="Q15" s="1">
        <f t="shared" si="2"/>
        <v>-68</v>
      </c>
      <c r="R15" s="15">
        <f t="shared" si="3"/>
        <v>4</v>
      </c>
      <c r="S15" s="15">
        <f t="shared" si="4"/>
        <v>5</v>
      </c>
      <c r="T15" s="15">
        <f t="shared" si="5"/>
        <v>5</v>
      </c>
      <c r="U15" s="15" t="str">
        <f t="shared" si="6"/>
        <v>455</v>
      </c>
      <c r="V15" s="15"/>
      <c r="AE15" s="1">
        <f t="shared" si="7"/>
        <v>0</v>
      </c>
      <c r="AF15" s="1">
        <f t="shared" si="8"/>
        <v>1</v>
      </c>
      <c r="AG15" s="1">
        <f t="shared" si="9"/>
        <v>0</v>
      </c>
      <c r="AI15" s="16" t="s">
        <v>2</v>
      </c>
      <c r="AJ15" t="s">
        <v>57</v>
      </c>
      <c r="AK15"/>
      <c r="AL15"/>
      <c r="AM15"/>
      <c r="AN15"/>
      <c r="AO15"/>
    </row>
    <row r="16" spans="1:41" ht="15">
      <c r="A16" s="1">
        <v>1535063</v>
      </c>
      <c r="B16" s="1" t="s">
        <v>29</v>
      </c>
      <c r="C16" s="1" t="s">
        <v>37</v>
      </c>
      <c r="D16" s="15" t="str">
        <f t="shared" si="0"/>
        <v>White</v>
      </c>
      <c r="E16" s="2">
        <v>30302</v>
      </c>
      <c r="F16" s="1" t="s">
        <v>31</v>
      </c>
      <c r="G16" s="1">
        <v>3</v>
      </c>
      <c r="H16" s="1">
        <v>90024</v>
      </c>
      <c r="I16" s="1">
        <v>42000</v>
      </c>
      <c r="J16" s="1">
        <v>341</v>
      </c>
      <c r="K16" s="1">
        <v>313</v>
      </c>
      <c r="L16" s="1">
        <v>4</v>
      </c>
      <c r="M16" s="1">
        <v>300</v>
      </c>
      <c r="N16" s="1" t="s">
        <v>32</v>
      </c>
      <c r="O16" s="1" t="s">
        <v>39</v>
      </c>
      <c r="P16" s="1">
        <f t="shared" si="1"/>
        <v>1</v>
      </c>
      <c r="Q16" s="1">
        <f t="shared" si="2"/>
        <v>-300</v>
      </c>
      <c r="R16" s="15">
        <f t="shared" si="3"/>
        <v>1</v>
      </c>
      <c r="S16" s="15">
        <f t="shared" si="4"/>
        <v>1</v>
      </c>
      <c r="T16" s="15">
        <f t="shared" si="5"/>
        <v>2</v>
      </c>
      <c r="U16" s="15" t="str">
        <f t="shared" si="6"/>
        <v>112</v>
      </c>
      <c r="V16" s="15"/>
      <c r="AE16" s="1">
        <f t="shared" si="7"/>
        <v>1</v>
      </c>
      <c r="AF16" s="1">
        <f t="shared" si="8"/>
        <v>0</v>
      </c>
      <c r="AG16" s="1">
        <f t="shared" si="9"/>
        <v>0</v>
      </c>
      <c r="AI16" t="s">
        <v>58</v>
      </c>
      <c r="AJ16">
        <v>5</v>
      </c>
      <c r="AK16"/>
      <c r="AL16"/>
      <c r="AM16"/>
      <c r="AN16"/>
      <c r="AO16"/>
    </row>
    <row r="17" spans="1:37" ht="15">
      <c r="A17" s="1">
        <v>1535406</v>
      </c>
      <c r="B17" s="1" t="s">
        <v>36</v>
      </c>
      <c r="C17" s="1" t="s">
        <v>37</v>
      </c>
      <c r="D17" s="15" t="str">
        <f t="shared" si="0"/>
        <v>White</v>
      </c>
      <c r="E17" s="2">
        <v>30716</v>
      </c>
      <c r="F17" s="1" t="s">
        <v>47</v>
      </c>
      <c r="G17" s="1">
        <v>5</v>
      </c>
      <c r="H17" s="1">
        <v>90051</v>
      </c>
      <c r="I17" s="1">
        <v>55000</v>
      </c>
      <c r="J17" s="1">
        <v>129</v>
      </c>
      <c r="K17" s="1">
        <v>100</v>
      </c>
      <c r="L17" s="1">
        <v>1</v>
      </c>
      <c r="M17" s="1">
        <v>80</v>
      </c>
      <c r="N17" s="1" t="s">
        <v>32</v>
      </c>
      <c r="O17" s="1" t="s">
        <v>48</v>
      </c>
      <c r="P17" s="1">
        <f t="shared" si="1"/>
        <v>1</v>
      </c>
      <c r="Q17" s="1">
        <f t="shared" si="2"/>
        <v>-80</v>
      </c>
      <c r="R17" s="15">
        <f t="shared" si="3"/>
        <v>4</v>
      </c>
      <c r="S17" s="15">
        <f t="shared" si="4"/>
        <v>1</v>
      </c>
      <c r="T17" s="15">
        <f t="shared" si="5"/>
        <v>1</v>
      </c>
      <c r="U17" s="15" t="str">
        <f t="shared" si="6"/>
        <v>411</v>
      </c>
      <c r="V17" s="15"/>
      <c r="AE17" s="1">
        <f t="shared" si="7"/>
        <v>0</v>
      </c>
      <c r="AF17" s="1">
        <f t="shared" si="8"/>
        <v>0</v>
      </c>
      <c r="AG17" s="1">
        <f t="shared" si="9"/>
        <v>0</v>
      </c>
      <c r="AI17" t="s">
        <v>54</v>
      </c>
      <c r="AJ17">
        <v>15</v>
      </c>
      <c r="AK17"/>
    </row>
    <row r="18" spans="1:37" ht="15">
      <c r="A18" s="1">
        <v>1535449</v>
      </c>
      <c r="B18" s="1" t="s">
        <v>36</v>
      </c>
      <c r="C18" s="1" t="s">
        <v>30</v>
      </c>
      <c r="D18" s="15" t="str">
        <f t="shared" si="0"/>
        <v>Black</v>
      </c>
      <c r="E18" s="2">
        <v>21449</v>
      </c>
      <c r="F18" s="1" t="s">
        <v>47</v>
      </c>
      <c r="G18" s="1">
        <v>2</v>
      </c>
      <c r="H18" s="1">
        <v>90062</v>
      </c>
      <c r="I18" s="1">
        <v>56000</v>
      </c>
      <c r="J18" s="1">
        <v>435</v>
      </c>
      <c r="K18" s="1">
        <v>384</v>
      </c>
      <c r="L18" s="1">
        <v>6</v>
      </c>
      <c r="M18" s="1">
        <v>180</v>
      </c>
      <c r="N18" s="1" t="s">
        <v>32</v>
      </c>
      <c r="O18" s="1" t="s">
        <v>39</v>
      </c>
      <c r="P18" s="1">
        <f t="shared" si="1"/>
        <v>1</v>
      </c>
      <c r="Q18" s="1">
        <f t="shared" si="2"/>
        <v>-180</v>
      </c>
      <c r="R18" s="15">
        <f t="shared" si="3"/>
        <v>3</v>
      </c>
      <c r="S18" s="15">
        <f t="shared" si="4"/>
        <v>2</v>
      </c>
      <c r="T18" s="15">
        <f t="shared" si="5"/>
        <v>2</v>
      </c>
      <c r="U18" s="15" t="str">
        <f t="shared" si="6"/>
        <v>322</v>
      </c>
      <c r="V18" s="15"/>
      <c r="AE18" s="1">
        <f t="shared" si="7"/>
        <v>1</v>
      </c>
      <c r="AF18" s="1">
        <f t="shared" si="8"/>
        <v>0</v>
      </c>
      <c r="AG18" s="1">
        <f t="shared" si="9"/>
        <v>0</v>
      </c>
      <c r="AI18" t="s">
        <v>30</v>
      </c>
      <c r="AJ18">
        <v>57</v>
      </c>
      <c r="AK18"/>
    </row>
    <row r="19" spans="1:37" ht="15">
      <c r="A19" s="1">
        <v>1535927</v>
      </c>
      <c r="B19" s="1" t="s">
        <v>36</v>
      </c>
      <c r="C19" s="1" t="s">
        <v>37</v>
      </c>
      <c r="D19" s="15" t="str">
        <f t="shared" si="0"/>
        <v>White</v>
      </c>
      <c r="E19" s="2">
        <v>28867</v>
      </c>
      <c r="F19" s="1" t="s">
        <v>31</v>
      </c>
      <c r="G19" s="1">
        <v>1</v>
      </c>
      <c r="H19" s="1">
        <v>90003</v>
      </c>
      <c r="I19" s="1">
        <v>66000</v>
      </c>
      <c r="J19" s="1">
        <v>1283</v>
      </c>
      <c r="K19" s="1">
        <v>879</v>
      </c>
      <c r="L19" s="1">
        <v>10</v>
      </c>
      <c r="M19" s="1">
        <v>35</v>
      </c>
      <c r="N19" s="1" t="s">
        <v>42</v>
      </c>
      <c r="O19" s="1" t="s">
        <v>52</v>
      </c>
      <c r="P19" s="1">
        <f t="shared" si="1"/>
        <v>5</v>
      </c>
      <c r="Q19" s="1">
        <f t="shared" si="2"/>
        <v>-35</v>
      </c>
      <c r="R19" s="15">
        <f t="shared" si="3"/>
        <v>4</v>
      </c>
      <c r="S19" s="15">
        <f t="shared" si="4"/>
        <v>3</v>
      </c>
      <c r="T19" s="15">
        <f t="shared" si="5"/>
        <v>5</v>
      </c>
      <c r="U19" s="15" t="str">
        <f t="shared" si="6"/>
        <v>435</v>
      </c>
      <c r="V19" s="15"/>
      <c r="AE19" s="1">
        <f t="shared" si="7"/>
        <v>0</v>
      </c>
      <c r="AF19" s="1">
        <f t="shared" si="8"/>
        <v>1</v>
      </c>
      <c r="AG19" s="1">
        <f t="shared" si="9"/>
        <v>0</v>
      </c>
      <c r="AI19" t="s">
        <v>46</v>
      </c>
      <c r="AJ19">
        <v>41</v>
      </c>
      <c r="AK19"/>
    </row>
    <row r="20" spans="1:37" ht="15">
      <c r="A20" s="1">
        <v>1536475</v>
      </c>
      <c r="B20" s="1" t="s">
        <v>36</v>
      </c>
      <c r="C20" s="1" t="s">
        <v>59</v>
      </c>
      <c r="D20" s="15" t="str">
        <f t="shared" si="0"/>
        <v>Other</v>
      </c>
      <c r="E20" s="2">
        <v>21322</v>
      </c>
      <c r="F20" s="1" t="s">
        <v>31</v>
      </c>
      <c r="G20" s="1">
        <v>2</v>
      </c>
      <c r="H20" s="1">
        <v>90019</v>
      </c>
      <c r="I20" s="1">
        <v>73000</v>
      </c>
      <c r="J20" s="1">
        <v>1276</v>
      </c>
      <c r="K20" s="1">
        <v>1108</v>
      </c>
      <c r="L20" s="1">
        <v>20</v>
      </c>
      <c r="M20" s="1">
        <v>56</v>
      </c>
      <c r="N20" s="1" t="s">
        <v>38</v>
      </c>
      <c r="O20" s="1" t="s">
        <v>48</v>
      </c>
      <c r="P20" s="1">
        <f t="shared" si="1"/>
        <v>3</v>
      </c>
      <c r="Q20" s="1">
        <f t="shared" si="2"/>
        <v>-56</v>
      </c>
      <c r="R20" s="15">
        <f t="shared" si="3"/>
        <v>4</v>
      </c>
      <c r="S20" s="15">
        <f t="shared" si="4"/>
        <v>5</v>
      </c>
      <c r="T20" s="15">
        <f t="shared" si="5"/>
        <v>5</v>
      </c>
      <c r="U20" s="15" t="str">
        <f t="shared" si="6"/>
        <v>455</v>
      </c>
      <c r="V20" s="15"/>
      <c r="AE20" s="1">
        <f t="shared" si="7"/>
        <v>0</v>
      </c>
      <c r="AF20" s="1">
        <f t="shared" si="8"/>
        <v>0</v>
      </c>
      <c r="AG20" s="1">
        <f t="shared" si="9"/>
        <v>0</v>
      </c>
      <c r="AI20" t="s">
        <v>59</v>
      </c>
      <c r="AJ20">
        <v>3</v>
      </c>
      <c r="AK20"/>
    </row>
    <row r="21" spans="1:37" ht="15">
      <c r="A21" s="1">
        <v>1536814</v>
      </c>
      <c r="B21" s="1" t="s">
        <v>36</v>
      </c>
      <c r="C21" s="1" t="s">
        <v>30</v>
      </c>
      <c r="D21" s="15" t="str">
        <f t="shared" si="0"/>
        <v>Black</v>
      </c>
      <c r="E21" s="2">
        <v>22852</v>
      </c>
      <c r="F21" s="1" t="s">
        <v>31</v>
      </c>
      <c r="G21" s="1">
        <v>5</v>
      </c>
      <c r="H21" s="1">
        <v>90036</v>
      </c>
      <c r="I21" s="1">
        <v>86000</v>
      </c>
      <c r="J21" s="1">
        <v>478</v>
      </c>
      <c r="K21" s="1">
        <v>401</v>
      </c>
      <c r="L21" s="1">
        <v>3</v>
      </c>
      <c r="M21" s="1">
        <v>80</v>
      </c>
      <c r="N21" s="1" t="s">
        <v>32</v>
      </c>
      <c r="O21" s="1" t="s">
        <v>48</v>
      </c>
      <c r="P21" s="1">
        <f t="shared" si="1"/>
        <v>1</v>
      </c>
      <c r="Q21" s="1">
        <f t="shared" si="2"/>
        <v>-80</v>
      </c>
      <c r="R21" s="15">
        <f t="shared" si="3"/>
        <v>4</v>
      </c>
      <c r="S21" s="15">
        <f t="shared" si="4"/>
        <v>1</v>
      </c>
      <c r="T21" s="15">
        <f t="shared" si="5"/>
        <v>2</v>
      </c>
      <c r="U21" s="15" t="str">
        <f t="shared" si="6"/>
        <v>412</v>
      </c>
      <c r="V21" s="15"/>
      <c r="AE21" s="1">
        <f t="shared" si="7"/>
        <v>0</v>
      </c>
      <c r="AF21" s="1">
        <f t="shared" si="8"/>
        <v>0</v>
      </c>
      <c r="AG21" s="1">
        <f t="shared" si="9"/>
        <v>0</v>
      </c>
      <c r="AI21" t="s">
        <v>37</v>
      </c>
      <c r="AJ21">
        <v>79</v>
      </c>
      <c r="AK21"/>
    </row>
    <row r="22" spans="1:37" ht="15">
      <c r="A22" s="1">
        <v>1537373</v>
      </c>
      <c r="B22" s="1" t="s">
        <v>29</v>
      </c>
      <c r="C22" s="1" t="s">
        <v>30</v>
      </c>
      <c r="D22" s="15" t="str">
        <f t="shared" si="0"/>
        <v>Black</v>
      </c>
      <c r="E22" s="2">
        <v>26318</v>
      </c>
      <c r="F22" s="1" t="s">
        <v>47</v>
      </c>
      <c r="G22" s="1">
        <v>5</v>
      </c>
      <c r="H22" s="1">
        <v>90035</v>
      </c>
      <c r="I22" s="1">
        <v>44000</v>
      </c>
      <c r="J22" s="1">
        <v>615</v>
      </c>
      <c r="K22" s="1">
        <v>748</v>
      </c>
      <c r="L22" s="1">
        <v>15</v>
      </c>
      <c r="M22" s="1">
        <v>295</v>
      </c>
      <c r="N22" s="1" t="s">
        <v>42</v>
      </c>
      <c r="O22" s="1" t="s">
        <v>48</v>
      </c>
      <c r="P22" s="1">
        <f t="shared" si="1"/>
        <v>5</v>
      </c>
      <c r="Q22" s="1">
        <f t="shared" si="2"/>
        <v>-295</v>
      </c>
      <c r="R22" s="15">
        <f t="shared" si="3"/>
        <v>1</v>
      </c>
      <c r="S22" s="15">
        <f t="shared" si="4"/>
        <v>5</v>
      </c>
      <c r="T22" s="15">
        <f t="shared" si="5"/>
        <v>3</v>
      </c>
      <c r="U22" s="15" t="str">
        <f t="shared" si="6"/>
        <v>153</v>
      </c>
      <c r="V22" s="15"/>
      <c r="AE22" s="1">
        <f t="shared" si="7"/>
        <v>0</v>
      </c>
      <c r="AF22" s="1">
        <f t="shared" si="8"/>
        <v>0</v>
      </c>
      <c r="AG22" s="1">
        <f t="shared" si="9"/>
        <v>0</v>
      </c>
      <c r="AI22" t="s">
        <v>60</v>
      </c>
      <c r="AJ22">
        <v>200</v>
      </c>
      <c r="AK22"/>
    </row>
    <row r="23" spans="1:37" ht="15">
      <c r="A23" s="1">
        <v>1537553</v>
      </c>
      <c r="B23" s="1" t="s">
        <v>29</v>
      </c>
      <c r="C23" s="1" t="s">
        <v>37</v>
      </c>
      <c r="D23" s="15" t="str">
        <f t="shared" si="0"/>
        <v>White</v>
      </c>
      <c r="E23" s="2">
        <v>22469</v>
      </c>
      <c r="F23" s="1" t="s">
        <v>47</v>
      </c>
      <c r="G23" s="1">
        <v>4</v>
      </c>
      <c r="H23" s="1">
        <v>90060</v>
      </c>
      <c r="I23" s="1">
        <v>36000</v>
      </c>
      <c r="J23" s="1">
        <v>153</v>
      </c>
      <c r="K23" s="1">
        <v>141</v>
      </c>
      <c r="L23" s="1">
        <v>2</v>
      </c>
      <c r="M23" s="1">
        <v>360</v>
      </c>
      <c r="N23" s="1" t="s">
        <v>42</v>
      </c>
      <c r="O23" s="1" t="s">
        <v>39</v>
      </c>
      <c r="P23" s="1">
        <f t="shared" si="1"/>
        <v>5</v>
      </c>
      <c r="Q23" s="1">
        <f t="shared" si="2"/>
        <v>-360</v>
      </c>
      <c r="R23" s="15">
        <f t="shared" si="3"/>
        <v>1</v>
      </c>
      <c r="S23" s="15">
        <f t="shared" si="4"/>
        <v>1</v>
      </c>
      <c r="T23" s="15">
        <f t="shared" si="5"/>
        <v>1</v>
      </c>
      <c r="U23" s="15" t="str">
        <f t="shared" si="6"/>
        <v>111</v>
      </c>
      <c r="V23" s="15"/>
      <c r="AE23" s="1">
        <f t="shared" si="7"/>
        <v>1</v>
      </c>
      <c r="AF23" s="1">
        <f t="shared" si="8"/>
        <v>0</v>
      </c>
      <c r="AG23" s="1">
        <f t="shared" si="9"/>
        <v>0</v>
      </c>
      <c r="AJ23"/>
      <c r="AK23"/>
    </row>
    <row r="24" spans="1:37" ht="15">
      <c r="A24" s="1">
        <v>1538886</v>
      </c>
      <c r="B24" s="1" t="s">
        <v>36</v>
      </c>
      <c r="C24" s="1" t="s">
        <v>58</v>
      </c>
      <c r="D24" s="15" t="str">
        <f t="shared" si="0"/>
        <v>Other</v>
      </c>
      <c r="E24" s="2">
        <v>35323</v>
      </c>
      <c r="F24" s="1" t="s">
        <v>31</v>
      </c>
      <c r="G24" s="1">
        <v>2</v>
      </c>
      <c r="H24" s="1">
        <v>90014</v>
      </c>
      <c r="I24" s="1">
        <v>94000</v>
      </c>
      <c r="J24" s="1">
        <v>590</v>
      </c>
      <c r="K24" s="1">
        <v>524</v>
      </c>
      <c r="L24" s="1">
        <v>7</v>
      </c>
      <c r="M24" s="1">
        <v>177</v>
      </c>
      <c r="N24" s="1" t="s">
        <v>61</v>
      </c>
      <c r="O24" s="1" t="s">
        <v>52</v>
      </c>
      <c r="P24" s="1">
        <f t="shared" si="1"/>
        <v>4</v>
      </c>
      <c r="Q24" s="1">
        <f t="shared" si="2"/>
        <v>-177</v>
      </c>
      <c r="R24" s="15">
        <f t="shared" si="3"/>
        <v>3</v>
      </c>
      <c r="S24" s="15">
        <f t="shared" si="4"/>
        <v>2</v>
      </c>
      <c r="T24" s="15">
        <f t="shared" si="5"/>
        <v>2</v>
      </c>
      <c r="U24" s="15" t="str">
        <f t="shared" si="6"/>
        <v>322</v>
      </c>
      <c r="V24" s="15"/>
      <c r="AE24" s="1">
        <f t="shared" si="7"/>
        <v>0</v>
      </c>
      <c r="AF24" s="1">
        <f t="shared" si="8"/>
        <v>1</v>
      </c>
      <c r="AG24" s="1">
        <f t="shared" si="9"/>
        <v>0</v>
      </c>
      <c r="AJ24"/>
      <c r="AK24"/>
    </row>
    <row r="25" spans="1:37" ht="15">
      <c r="A25" s="1">
        <v>1539494</v>
      </c>
      <c r="B25" s="1" t="s">
        <v>36</v>
      </c>
      <c r="C25" s="1" t="s">
        <v>37</v>
      </c>
      <c r="D25" s="15" t="str">
        <f t="shared" si="0"/>
        <v>White</v>
      </c>
      <c r="E25" s="2">
        <v>26985</v>
      </c>
      <c r="F25" s="1" t="s">
        <v>31</v>
      </c>
      <c r="G25" s="1">
        <v>4</v>
      </c>
      <c r="H25" s="1">
        <v>90038</v>
      </c>
      <c r="I25" s="1">
        <v>54000</v>
      </c>
      <c r="J25" s="1">
        <v>451</v>
      </c>
      <c r="K25" s="1">
        <v>307</v>
      </c>
      <c r="L25" s="1">
        <v>6</v>
      </c>
      <c r="M25" s="1">
        <v>35</v>
      </c>
      <c r="N25" s="1" t="s">
        <v>38</v>
      </c>
      <c r="O25" s="1" t="s">
        <v>48</v>
      </c>
      <c r="P25" s="1">
        <f t="shared" si="1"/>
        <v>3</v>
      </c>
      <c r="Q25" s="1">
        <f t="shared" si="2"/>
        <v>-35</v>
      </c>
      <c r="R25" s="15">
        <f t="shared" si="3"/>
        <v>4</v>
      </c>
      <c r="S25" s="15">
        <f t="shared" si="4"/>
        <v>2</v>
      </c>
      <c r="T25" s="15">
        <f t="shared" si="5"/>
        <v>2</v>
      </c>
      <c r="U25" s="15" t="str">
        <f t="shared" si="6"/>
        <v>422</v>
      </c>
      <c r="V25" s="15"/>
      <c r="AE25" s="1">
        <f t="shared" si="7"/>
        <v>0</v>
      </c>
      <c r="AF25" s="1">
        <f t="shared" si="8"/>
        <v>0</v>
      </c>
      <c r="AG25" s="1">
        <f t="shared" si="9"/>
        <v>0</v>
      </c>
      <c r="AJ25"/>
      <c r="AK25"/>
    </row>
    <row r="26" spans="1:37" ht="15">
      <c r="A26" s="1">
        <v>1539808</v>
      </c>
      <c r="B26" s="1" t="s">
        <v>36</v>
      </c>
      <c r="C26" s="1" t="s">
        <v>30</v>
      </c>
      <c r="D26" s="15" t="str">
        <f t="shared" si="0"/>
        <v>Black</v>
      </c>
      <c r="E26" s="2">
        <v>19938</v>
      </c>
      <c r="F26" s="1" t="s">
        <v>31</v>
      </c>
      <c r="G26" s="1">
        <v>5</v>
      </c>
      <c r="H26" s="1">
        <v>90024</v>
      </c>
      <c r="I26" s="1">
        <v>82000</v>
      </c>
      <c r="J26" s="1">
        <v>389</v>
      </c>
      <c r="K26" s="1">
        <v>486</v>
      </c>
      <c r="L26" s="1">
        <v>6</v>
      </c>
      <c r="M26" s="1">
        <v>167</v>
      </c>
      <c r="N26" s="1" t="s">
        <v>38</v>
      </c>
      <c r="O26" s="1" t="s">
        <v>48</v>
      </c>
      <c r="P26" s="1">
        <f t="shared" si="1"/>
        <v>3</v>
      </c>
      <c r="Q26" s="1">
        <f t="shared" si="2"/>
        <v>-167</v>
      </c>
      <c r="R26" s="15">
        <f t="shared" si="3"/>
        <v>3</v>
      </c>
      <c r="S26" s="15">
        <f t="shared" si="4"/>
        <v>2</v>
      </c>
      <c r="T26" s="15">
        <f t="shared" si="5"/>
        <v>2</v>
      </c>
      <c r="U26" s="15" t="str">
        <f t="shared" si="6"/>
        <v>322</v>
      </c>
      <c r="V26" s="15"/>
      <c r="AE26" s="1">
        <f t="shared" si="7"/>
        <v>0</v>
      </c>
      <c r="AF26" s="1">
        <f t="shared" si="8"/>
        <v>0</v>
      </c>
      <c r="AG26" s="1">
        <f t="shared" si="9"/>
        <v>0</v>
      </c>
      <c r="AJ26"/>
      <c r="AK26"/>
    </row>
    <row r="27" spans="1:37" ht="15">
      <c r="A27" s="1">
        <v>1539941</v>
      </c>
      <c r="B27" s="1" t="s">
        <v>36</v>
      </c>
      <c r="C27" s="1" t="s">
        <v>46</v>
      </c>
      <c r="D27" s="15" t="str">
        <f t="shared" si="0"/>
        <v>Hispanic</v>
      </c>
      <c r="E27" s="2">
        <v>34507</v>
      </c>
      <c r="F27" s="1" t="s">
        <v>47</v>
      </c>
      <c r="G27" s="1">
        <v>1</v>
      </c>
      <c r="H27" s="1">
        <v>90033</v>
      </c>
      <c r="I27" s="1">
        <v>42000</v>
      </c>
      <c r="J27" s="1">
        <v>697</v>
      </c>
      <c r="K27" s="1">
        <v>1150</v>
      </c>
      <c r="L27" s="1">
        <v>22</v>
      </c>
      <c r="M27" s="1">
        <v>267</v>
      </c>
      <c r="N27" s="1" t="s">
        <v>42</v>
      </c>
      <c r="O27" s="1" t="s">
        <v>52</v>
      </c>
      <c r="P27" s="1">
        <f t="shared" si="1"/>
        <v>5</v>
      </c>
      <c r="Q27" s="1">
        <f t="shared" si="2"/>
        <v>-267</v>
      </c>
      <c r="R27" s="15">
        <f t="shared" si="3"/>
        <v>2</v>
      </c>
      <c r="S27" s="15">
        <f t="shared" si="4"/>
        <v>5</v>
      </c>
      <c r="T27" s="15">
        <f t="shared" si="5"/>
        <v>5</v>
      </c>
      <c r="U27" s="15" t="str">
        <f t="shared" si="6"/>
        <v>255</v>
      </c>
      <c r="V27" s="15"/>
      <c r="AE27" s="1">
        <f t="shared" si="7"/>
        <v>0</v>
      </c>
      <c r="AF27" s="1">
        <f t="shared" si="8"/>
        <v>1</v>
      </c>
      <c r="AG27" s="1">
        <f t="shared" si="9"/>
        <v>0</v>
      </c>
      <c r="AJ27"/>
      <c r="AK27"/>
    </row>
    <row r="28" spans="1:37" ht="15">
      <c r="A28" s="1">
        <v>1539995</v>
      </c>
      <c r="B28" s="1" t="s">
        <v>29</v>
      </c>
      <c r="C28" s="1" t="s">
        <v>46</v>
      </c>
      <c r="D28" s="15" t="str">
        <f t="shared" si="0"/>
        <v>Hispanic</v>
      </c>
      <c r="E28" s="2">
        <v>20740</v>
      </c>
      <c r="F28" s="1" t="s">
        <v>31</v>
      </c>
      <c r="G28" s="1">
        <v>2</v>
      </c>
      <c r="H28" s="1">
        <v>90067</v>
      </c>
      <c r="I28" s="1">
        <v>96000</v>
      </c>
      <c r="J28" s="1">
        <v>631</v>
      </c>
      <c r="K28" s="1">
        <v>802</v>
      </c>
      <c r="L28" s="1">
        <v>17</v>
      </c>
      <c r="M28" s="1">
        <v>354</v>
      </c>
      <c r="N28" s="1" t="s">
        <v>61</v>
      </c>
      <c r="O28" s="1" t="s">
        <v>39</v>
      </c>
      <c r="P28" s="1">
        <f t="shared" si="1"/>
        <v>4</v>
      </c>
      <c r="Q28" s="1">
        <f t="shared" si="2"/>
        <v>-354</v>
      </c>
      <c r="R28" s="15">
        <f t="shared" si="3"/>
        <v>1</v>
      </c>
      <c r="S28" s="15">
        <f t="shared" si="4"/>
        <v>5</v>
      </c>
      <c r="T28" s="15">
        <f t="shared" si="5"/>
        <v>5</v>
      </c>
      <c r="U28" s="15" t="str">
        <f t="shared" si="6"/>
        <v>155</v>
      </c>
      <c r="V28" s="15"/>
      <c r="AE28" s="1">
        <f t="shared" si="7"/>
        <v>1</v>
      </c>
      <c r="AF28" s="1">
        <f t="shared" si="8"/>
        <v>0</v>
      </c>
      <c r="AG28" s="1">
        <f t="shared" si="9"/>
        <v>0</v>
      </c>
      <c r="AJ28"/>
      <c r="AK28"/>
    </row>
    <row r="29" spans="1:37" ht="15">
      <c r="A29" s="1">
        <v>1540076</v>
      </c>
      <c r="B29" s="1" t="s">
        <v>36</v>
      </c>
      <c r="C29" s="1" t="s">
        <v>58</v>
      </c>
      <c r="D29" s="15" t="str">
        <f t="shared" si="0"/>
        <v>Other</v>
      </c>
      <c r="E29" s="2">
        <v>28514</v>
      </c>
      <c r="F29" s="1" t="s">
        <v>31</v>
      </c>
      <c r="G29" s="1">
        <v>5</v>
      </c>
      <c r="H29" s="1">
        <v>90012</v>
      </c>
      <c r="I29" s="1">
        <v>60000</v>
      </c>
      <c r="J29" s="1">
        <v>63</v>
      </c>
      <c r="K29" s="1">
        <v>113</v>
      </c>
      <c r="L29" s="1">
        <v>1</v>
      </c>
      <c r="M29" s="1">
        <v>178</v>
      </c>
      <c r="N29" s="1" t="s">
        <v>42</v>
      </c>
      <c r="O29" s="1" t="s">
        <v>39</v>
      </c>
      <c r="P29" s="1">
        <f t="shared" si="1"/>
        <v>5</v>
      </c>
      <c r="Q29" s="1">
        <f t="shared" si="2"/>
        <v>-178</v>
      </c>
      <c r="R29" s="15">
        <f t="shared" si="3"/>
        <v>3</v>
      </c>
      <c r="S29" s="15">
        <f t="shared" si="4"/>
        <v>1</v>
      </c>
      <c r="T29" s="15">
        <f t="shared" si="5"/>
        <v>1</v>
      </c>
      <c r="U29" s="15" t="str">
        <f t="shared" si="6"/>
        <v>311</v>
      </c>
      <c r="V29" s="15"/>
      <c r="AE29" s="1">
        <f t="shared" si="7"/>
        <v>1</v>
      </c>
      <c r="AF29" s="1">
        <f t="shared" si="8"/>
        <v>0</v>
      </c>
      <c r="AG29" s="1">
        <f t="shared" si="9"/>
        <v>0</v>
      </c>
      <c r="AJ29"/>
      <c r="AK29"/>
    </row>
    <row r="30" spans="1:37" ht="15">
      <c r="A30" s="1">
        <v>1540183</v>
      </c>
      <c r="B30" s="1" t="s">
        <v>36</v>
      </c>
      <c r="C30" s="1" t="s">
        <v>37</v>
      </c>
      <c r="D30" s="15" t="str">
        <f t="shared" si="0"/>
        <v>White</v>
      </c>
      <c r="E30" s="2">
        <v>33296</v>
      </c>
      <c r="F30" s="1" t="s">
        <v>31</v>
      </c>
      <c r="G30" s="1">
        <v>1</v>
      </c>
      <c r="H30" s="1">
        <v>90066</v>
      </c>
      <c r="I30" s="1">
        <v>91000</v>
      </c>
      <c r="J30" s="1">
        <v>1018</v>
      </c>
      <c r="K30" s="1">
        <v>800</v>
      </c>
      <c r="L30" s="1">
        <v>10</v>
      </c>
      <c r="M30" s="1">
        <v>6</v>
      </c>
      <c r="N30" s="1" t="s">
        <v>61</v>
      </c>
      <c r="O30" s="1" t="s">
        <v>48</v>
      </c>
      <c r="P30" s="1">
        <f t="shared" si="1"/>
        <v>4</v>
      </c>
      <c r="Q30" s="1">
        <f t="shared" si="2"/>
        <v>-6</v>
      </c>
      <c r="R30" s="15">
        <f t="shared" si="3"/>
        <v>4</v>
      </c>
      <c r="S30" s="15">
        <f t="shared" si="4"/>
        <v>3</v>
      </c>
      <c r="T30" s="15">
        <f t="shared" si="5"/>
        <v>5</v>
      </c>
      <c r="U30" s="15" t="str">
        <f t="shared" si="6"/>
        <v>435</v>
      </c>
      <c r="V30" s="15"/>
      <c r="AE30" s="1">
        <f t="shared" si="7"/>
        <v>0</v>
      </c>
      <c r="AF30" s="1">
        <f t="shared" si="8"/>
        <v>0</v>
      </c>
      <c r="AG30" s="1">
        <f t="shared" si="9"/>
        <v>0</v>
      </c>
      <c r="AJ30"/>
      <c r="AK30"/>
    </row>
    <row r="31" spans="1:37" ht="15">
      <c r="A31" s="1">
        <v>1540217</v>
      </c>
      <c r="B31" s="1" t="s">
        <v>36</v>
      </c>
      <c r="C31" s="1" t="s">
        <v>46</v>
      </c>
      <c r="D31" s="15" t="str">
        <f t="shared" si="0"/>
        <v>Hispanic</v>
      </c>
      <c r="E31" s="2">
        <v>25498</v>
      </c>
      <c r="F31" s="1" t="s">
        <v>31</v>
      </c>
      <c r="G31" s="1">
        <v>1</v>
      </c>
      <c r="H31" s="1">
        <v>90011</v>
      </c>
      <c r="I31" s="1">
        <v>76000</v>
      </c>
      <c r="J31" s="1">
        <v>546</v>
      </c>
      <c r="K31" s="1">
        <v>1037</v>
      </c>
      <c r="L31" s="1">
        <v>26</v>
      </c>
      <c r="M31" s="1">
        <v>271</v>
      </c>
      <c r="N31" s="1" t="s">
        <v>61</v>
      </c>
      <c r="O31" s="1" t="s">
        <v>33</v>
      </c>
      <c r="P31" s="1">
        <f t="shared" si="1"/>
        <v>4</v>
      </c>
      <c r="Q31" s="1">
        <f t="shared" si="2"/>
        <v>-271</v>
      </c>
      <c r="R31" s="15">
        <f t="shared" si="3"/>
        <v>2</v>
      </c>
      <c r="S31" s="15">
        <f t="shared" si="4"/>
        <v>5</v>
      </c>
      <c r="T31" s="15">
        <f t="shared" si="5"/>
        <v>5</v>
      </c>
      <c r="U31" s="15" t="str">
        <f t="shared" si="6"/>
        <v>255</v>
      </c>
      <c r="V31" s="15"/>
      <c r="AE31" s="1">
        <f t="shared" si="7"/>
        <v>0</v>
      </c>
      <c r="AF31" s="1">
        <f t="shared" si="8"/>
        <v>0</v>
      </c>
      <c r="AG31" s="1">
        <f t="shared" si="9"/>
        <v>1</v>
      </c>
      <c r="AJ31"/>
      <c r="AK31"/>
    </row>
    <row r="32" spans="1:37" ht="15">
      <c r="A32" s="1">
        <v>1540539</v>
      </c>
      <c r="B32" s="1" t="s">
        <v>36</v>
      </c>
      <c r="C32" s="1" t="s">
        <v>37</v>
      </c>
      <c r="D32" s="15" t="str">
        <f t="shared" si="0"/>
        <v>White</v>
      </c>
      <c r="E32" s="2">
        <v>22064</v>
      </c>
      <c r="F32" s="1" t="s">
        <v>31</v>
      </c>
      <c r="G32" s="1">
        <v>5</v>
      </c>
      <c r="H32" s="1">
        <v>90049</v>
      </c>
      <c r="I32" s="1">
        <v>100000</v>
      </c>
      <c r="J32" s="1">
        <v>50</v>
      </c>
      <c r="K32" s="1">
        <v>50</v>
      </c>
      <c r="L32" s="1">
        <v>1</v>
      </c>
      <c r="M32" s="1">
        <v>240</v>
      </c>
      <c r="N32" s="1" t="s">
        <v>61</v>
      </c>
      <c r="O32" s="1" t="s">
        <v>48</v>
      </c>
      <c r="P32" s="1">
        <f t="shared" si="1"/>
        <v>4</v>
      </c>
      <c r="Q32" s="1">
        <f t="shared" si="2"/>
        <v>-240</v>
      </c>
      <c r="R32" s="15">
        <f t="shared" si="3"/>
        <v>2</v>
      </c>
      <c r="S32" s="15">
        <f t="shared" si="4"/>
        <v>1</v>
      </c>
      <c r="T32" s="15">
        <f t="shared" si="5"/>
        <v>1</v>
      </c>
      <c r="U32" s="15" t="str">
        <f t="shared" si="6"/>
        <v>211</v>
      </c>
      <c r="V32" s="15"/>
      <c r="AE32" s="1">
        <f t="shared" si="7"/>
        <v>0</v>
      </c>
      <c r="AF32" s="1">
        <f t="shared" si="8"/>
        <v>0</v>
      </c>
      <c r="AG32" s="1">
        <f t="shared" si="9"/>
        <v>0</v>
      </c>
      <c r="AJ32"/>
      <c r="AK32"/>
    </row>
    <row r="33" spans="1:33" ht="15">
      <c r="A33" s="1">
        <v>1540604</v>
      </c>
      <c r="B33" s="1" t="s">
        <v>29</v>
      </c>
      <c r="C33" s="1" t="s">
        <v>37</v>
      </c>
      <c r="D33" s="15" t="str">
        <f t="shared" si="0"/>
        <v>White</v>
      </c>
      <c r="E33" s="2">
        <v>25680</v>
      </c>
      <c r="F33" s="1" t="s">
        <v>31</v>
      </c>
      <c r="G33" s="1">
        <v>3</v>
      </c>
      <c r="H33" s="1">
        <v>90011</v>
      </c>
      <c r="I33" s="1">
        <v>73000</v>
      </c>
      <c r="J33" s="1">
        <v>428</v>
      </c>
      <c r="K33" s="1">
        <v>539</v>
      </c>
      <c r="L33" s="1">
        <v>5</v>
      </c>
      <c r="M33" s="1">
        <v>12</v>
      </c>
      <c r="N33" s="1" t="s">
        <v>42</v>
      </c>
      <c r="O33" s="1" t="s">
        <v>48</v>
      </c>
      <c r="P33" s="1">
        <f t="shared" si="1"/>
        <v>5</v>
      </c>
      <c r="Q33" s="1">
        <f t="shared" si="2"/>
        <v>-12</v>
      </c>
      <c r="R33" s="15">
        <f t="shared" si="3"/>
        <v>4</v>
      </c>
      <c r="S33" s="15">
        <f t="shared" si="4"/>
        <v>2</v>
      </c>
      <c r="T33" s="15">
        <f t="shared" si="5"/>
        <v>2</v>
      </c>
      <c r="U33" s="15" t="str">
        <f t="shared" si="6"/>
        <v>422</v>
      </c>
      <c r="V33" s="15"/>
      <c r="AE33" s="1">
        <f t="shared" si="7"/>
        <v>0</v>
      </c>
      <c r="AF33" s="1">
        <f t="shared" si="8"/>
        <v>0</v>
      </c>
      <c r="AG33" s="1">
        <f t="shared" si="9"/>
        <v>0</v>
      </c>
    </row>
    <row r="34" spans="1:33" ht="15">
      <c r="A34" s="1">
        <v>1541742</v>
      </c>
      <c r="B34" s="1" t="s">
        <v>36</v>
      </c>
      <c r="C34" s="1" t="s">
        <v>30</v>
      </c>
      <c r="D34" s="15" t="str">
        <f t="shared" si="0"/>
        <v>Black</v>
      </c>
      <c r="E34" s="2">
        <v>21990</v>
      </c>
      <c r="F34" s="1" t="s">
        <v>31</v>
      </c>
      <c r="G34" s="1">
        <v>2</v>
      </c>
      <c r="H34" s="1">
        <v>90052</v>
      </c>
      <c r="I34" s="1">
        <v>106000</v>
      </c>
      <c r="J34" s="1">
        <v>775</v>
      </c>
      <c r="K34" s="1">
        <v>536</v>
      </c>
      <c r="L34" s="1">
        <v>12</v>
      </c>
      <c r="M34" s="1">
        <v>140</v>
      </c>
      <c r="N34" s="1" t="s">
        <v>62</v>
      </c>
      <c r="O34" s="1" t="s">
        <v>52</v>
      </c>
      <c r="P34" s="1">
        <f t="shared" si="1"/>
        <v>2</v>
      </c>
      <c r="Q34" s="1">
        <f t="shared" si="2"/>
        <v>-140</v>
      </c>
      <c r="R34" s="15">
        <f t="shared" si="3"/>
        <v>4</v>
      </c>
      <c r="S34" s="15">
        <f t="shared" si="4"/>
        <v>5</v>
      </c>
      <c r="T34" s="15">
        <f t="shared" si="5"/>
        <v>2</v>
      </c>
      <c r="U34" s="15" t="str">
        <f t="shared" si="6"/>
        <v>452</v>
      </c>
      <c r="V34" s="15"/>
      <c r="AE34" s="1">
        <f t="shared" si="7"/>
        <v>0</v>
      </c>
      <c r="AF34" s="1">
        <f t="shared" si="8"/>
        <v>1</v>
      </c>
      <c r="AG34" s="1">
        <f t="shared" si="9"/>
        <v>0</v>
      </c>
    </row>
    <row r="35" spans="1:33" ht="15">
      <c r="A35" s="1">
        <v>1541931</v>
      </c>
      <c r="B35" s="1" t="s">
        <v>36</v>
      </c>
      <c r="C35" s="1" t="s">
        <v>30</v>
      </c>
      <c r="D35" s="15" t="str">
        <f t="shared" si="0"/>
        <v>Black</v>
      </c>
      <c r="E35" s="2">
        <v>20458</v>
      </c>
      <c r="F35" s="1" t="s">
        <v>31</v>
      </c>
      <c r="G35" s="1">
        <v>3</v>
      </c>
      <c r="H35" s="1">
        <v>90011</v>
      </c>
      <c r="I35" s="1">
        <v>55000</v>
      </c>
      <c r="J35" s="1">
        <v>561</v>
      </c>
      <c r="K35" s="1">
        <v>587</v>
      </c>
      <c r="L35" s="1">
        <v>11</v>
      </c>
      <c r="M35" s="1">
        <v>302</v>
      </c>
      <c r="N35" s="1" t="s">
        <v>61</v>
      </c>
      <c r="O35" s="1" t="s">
        <v>39</v>
      </c>
      <c r="P35" s="1">
        <f t="shared" si="1"/>
        <v>4</v>
      </c>
      <c r="Q35" s="1">
        <f t="shared" si="2"/>
        <v>-302</v>
      </c>
      <c r="R35" s="15">
        <f t="shared" si="3"/>
        <v>1</v>
      </c>
      <c r="S35" s="15">
        <f t="shared" si="4"/>
        <v>3</v>
      </c>
      <c r="T35" s="15">
        <f t="shared" si="5"/>
        <v>3</v>
      </c>
      <c r="U35" s="15" t="str">
        <f t="shared" si="6"/>
        <v>133</v>
      </c>
      <c r="V35" s="15"/>
      <c r="AE35" s="1">
        <f t="shared" si="7"/>
        <v>1</v>
      </c>
      <c r="AF35" s="1">
        <f t="shared" si="8"/>
        <v>0</v>
      </c>
      <c r="AG35" s="1">
        <f t="shared" si="9"/>
        <v>0</v>
      </c>
    </row>
    <row r="36" spans="1:33" ht="15">
      <c r="A36" s="1">
        <v>1542099</v>
      </c>
      <c r="B36" s="1" t="s">
        <v>36</v>
      </c>
      <c r="C36" s="1" t="s">
        <v>54</v>
      </c>
      <c r="D36" s="15" t="str">
        <f t="shared" si="0"/>
        <v>Asian</v>
      </c>
      <c r="E36" s="2">
        <v>30869</v>
      </c>
      <c r="F36" s="1" t="s">
        <v>31</v>
      </c>
      <c r="G36" s="1">
        <v>2</v>
      </c>
      <c r="H36" s="1">
        <v>90038</v>
      </c>
      <c r="I36" s="1">
        <v>86000</v>
      </c>
      <c r="J36" s="1">
        <v>234</v>
      </c>
      <c r="K36" s="1">
        <v>314</v>
      </c>
      <c r="L36" s="1">
        <v>7</v>
      </c>
      <c r="M36" s="1">
        <v>96</v>
      </c>
      <c r="N36" s="1" t="s">
        <v>62</v>
      </c>
      <c r="O36" s="1" t="s">
        <v>33</v>
      </c>
      <c r="P36" s="1">
        <f t="shared" si="1"/>
        <v>2</v>
      </c>
      <c r="Q36" s="1">
        <f t="shared" si="2"/>
        <v>-96</v>
      </c>
      <c r="R36" s="15">
        <f t="shared" si="3"/>
        <v>4</v>
      </c>
      <c r="S36" s="15">
        <f t="shared" si="4"/>
        <v>2</v>
      </c>
      <c r="T36" s="15">
        <f t="shared" si="5"/>
        <v>2</v>
      </c>
      <c r="U36" s="15" t="str">
        <f t="shared" si="6"/>
        <v>422</v>
      </c>
      <c r="V36" s="15"/>
      <c r="AE36" s="1">
        <f t="shared" si="7"/>
        <v>0</v>
      </c>
      <c r="AF36" s="1">
        <f t="shared" si="8"/>
        <v>0</v>
      </c>
      <c r="AG36" s="1">
        <f t="shared" si="9"/>
        <v>1</v>
      </c>
    </row>
    <row r="37" spans="1:33" ht="15">
      <c r="A37" s="1">
        <v>1542147</v>
      </c>
      <c r="B37" s="1" t="s">
        <v>36</v>
      </c>
      <c r="C37" s="1" t="s">
        <v>30</v>
      </c>
      <c r="D37" s="15" t="str">
        <f t="shared" si="0"/>
        <v>Black</v>
      </c>
      <c r="E37" s="2">
        <v>32594</v>
      </c>
      <c r="F37" s="1" t="s">
        <v>31</v>
      </c>
      <c r="G37" s="1">
        <v>5</v>
      </c>
      <c r="H37" s="1">
        <v>90030</v>
      </c>
      <c r="I37" s="1">
        <v>51000</v>
      </c>
      <c r="J37" s="1">
        <v>398</v>
      </c>
      <c r="K37" s="1">
        <v>573</v>
      </c>
      <c r="L37" s="1">
        <v>8</v>
      </c>
      <c r="M37" s="1">
        <v>218</v>
      </c>
      <c r="N37" s="1" t="s">
        <v>61</v>
      </c>
      <c r="O37" s="1" t="s">
        <v>33</v>
      </c>
      <c r="P37" s="1">
        <f t="shared" si="1"/>
        <v>4</v>
      </c>
      <c r="Q37" s="1">
        <f t="shared" si="2"/>
        <v>-218</v>
      </c>
      <c r="R37" s="15">
        <f t="shared" si="3"/>
        <v>3</v>
      </c>
      <c r="S37" s="15">
        <f t="shared" si="4"/>
        <v>3</v>
      </c>
      <c r="T37" s="15">
        <f t="shared" si="5"/>
        <v>3</v>
      </c>
      <c r="U37" s="15" t="str">
        <f t="shared" si="6"/>
        <v>333</v>
      </c>
      <c r="V37" s="15"/>
      <c r="AE37" s="1">
        <f t="shared" si="7"/>
        <v>0</v>
      </c>
      <c r="AF37" s="1">
        <f t="shared" si="8"/>
        <v>0</v>
      </c>
      <c r="AG37" s="1">
        <f t="shared" si="9"/>
        <v>1</v>
      </c>
    </row>
    <row r="38" spans="1:33" ht="15">
      <c r="A38" s="1">
        <v>1542352</v>
      </c>
      <c r="B38" s="1" t="s">
        <v>36</v>
      </c>
      <c r="C38" s="1" t="s">
        <v>37</v>
      </c>
      <c r="D38" s="15" t="str">
        <f t="shared" si="0"/>
        <v>White</v>
      </c>
      <c r="E38" s="2">
        <v>28583</v>
      </c>
      <c r="F38" s="1" t="s">
        <v>31</v>
      </c>
      <c r="G38" s="1">
        <v>4</v>
      </c>
      <c r="H38" s="1">
        <v>90048</v>
      </c>
      <c r="I38" s="1">
        <v>60000</v>
      </c>
      <c r="J38" s="1">
        <v>84</v>
      </c>
      <c r="K38" s="1">
        <v>132</v>
      </c>
      <c r="L38" s="1">
        <v>3</v>
      </c>
      <c r="M38" s="1">
        <v>349</v>
      </c>
      <c r="N38" s="1" t="s">
        <v>38</v>
      </c>
      <c r="O38" s="1" t="s">
        <v>33</v>
      </c>
      <c r="P38" s="1">
        <f t="shared" si="1"/>
        <v>3</v>
      </c>
      <c r="Q38" s="1">
        <f t="shared" si="2"/>
        <v>-349</v>
      </c>
      <c r="R38" s="15">
        <f t="shared" si="3"/>
        <v>1</v>
      </c>
      <c r="S38" s="15">
        <f t="shared" si="4"/>
        <v>1</v>
      </c>
      <c r="T38" s="15">
        <f t="shared" si="5"/>
        <v>1</v>
      </c>
      <c r="U38" s="15" t="str">
        <f t="shared" si="6"/>
        <v>111</v>
      </c>
      <c r="V38" s="15"/>
      <c r="AE38" s="1">
        <f t="shared" si="7"/>
        <v>0</v>
      </c>
      <c r="AF38" s="1">
        <f t="shared" si="8"/>
        <v>0</v>
      </c>
      <c r="AG38" s="1">
        <f t="shared" si="9"/>
        <v>1</v>
      </c>
    </row>
    <row r="39" spans="1:33" ht="15">
      <c r="A39" s="1">
        <v>1542818</v>
      </c>
      <c r="B39" s="1" t="s">
        <v>29</v>
      </c>
      <c r="C39" s="1" t="s">
        <v>37</v>
      </c>
      <c r="D39" s="15" t="str">
        <f t="shared" si="0"/>
        <v>White</v>
      </c>
      <c r="E39" s="2">
        <v>22260</v>
      </c>
      <c r="F39" s="1" t="s">
        <v>31</v>
      </c>
      <c r="G39" s="1">
        <v>1</v>
      </c>
      <c r="H39" s="1">
        <v>90048</v>
      </c>
      <c r="I39" s="1">
        <v>63000</v>
      </c>
      <c r="J39" s="1">
        <v>969</v>
      </c>
      <c r="K39" s="1">
        <v>814</v>
      </c>
      <c r="L39" s="1">
        <v>14</v>
      </c>
      <c r="M39" s="1">
        <v>58</v>
      </c>
      <c r="N39" s="1" t="s">
        <v>38</v>
      </c>
      <c r="O39" s="1" t="s">
        <v>39</v>
      </c>
      <c r="P39" s="1">
        <f t="shared" si="1"/>
        <v>3</v>
      </c>
      <c r="Q39" s="1">
        <f t="shared" si="2"/>
        <v>-58</v>
      </c>
      <c r="R39" s="15">
        <f t="shared" si="3"/>
        <v>4</v>
      </c>
      <c r="S39" s="15">
        <f t="shared" si="4"/>
        <v>5</v>
      </c>
      <c r="T39" s="15">
        <f t="shared" si="5"/>
        <v>5</v>
      </c>
      <c r="U39" s="15" t="str">
        <f t="shared" si="6"/>
        <v>455</v>
      </c>
      <c r="V39" s="15"/>
      <c r="AE39" s="1">
        <f t="shared" si="7"/>
        <v>1</v>
      </c>
      <c r="AF39" s="1">
        <f t="shared" si="8"/>
        <v>0</v>
      </c>
      <c r="AG39" s="1">
        <f t="shared" si="9"/>
        <v>0</v>
      </c>
    </row>
    <row r="40" spans="1:33" ht="15">
      <c r="A40" s="1">
        <v>1543502</v>
      </c>
      <c r="B40" s="1" t="s">
        <v>36</v>
      </c>
      <c r="C40" s="1" t="s">
        <v>46</v>
      </c>
      <c r="D40" s="15" t="str">
        <f t="shared" si="0"/>
        <v>Hispanic</v>
      </c>
      <c r="E40" s="2">
        <v>30047</v>
      </c>
      <c r="F40" s="1" t="s">
        <v>31</v>
      </c>
      <c r="G40" s="1">
        <v>2</v>
      </c>
      <c r="H40" s="1">
        <v>90007</v>
      </c>
      <c r="I40" s="1">
        <v>55000</v>
      </c>
      <c r="J40" s="1">
        <v>461</v>
      </c>
      <c r="K40" s="1">
        <v>563</v>
      </c>
      <c r="L40" s="1">
        <v>12</v>
      </c>
      <c r="M40" s="1">
        <v>17</v>
      </c>
      <c r="N40" s="1" t="s">
        <v>61</v>
      </c>
      <c r="O40" s="1" t="s">
        <v>33</v>
      </c>
      <c r="P40" s="1">
        <f t="shared" si="1"/>
        <v>4</v>
      </c>
      <c r="Q40" s="1">
        <f t="shared" si="2"/>
        <v>-17</v>
      </c>
      <c r="R40" s="15">
        <f t="shared" si="3"/>
        <v>4</v>
      </c>
      <c r="S40" s="15">
        <f t="shared" si="4"/>
        <v>5</v>
      </c>
      <c r="T40" s="15">
        <f t="shared" si="5"/>
        <v>3</v>
      </c>
      <c r="U40" s="15" t="str">
        <f t="shared" si="6"/>
        <v>453</v>
      </c>
      <c r="V40" s="15"/>
      <c r="AE40" s="1">
        <f t="shared" si="7"/>
        <v>0</v>
      </c>
      <c r="AF40" s="1">
        <f t="shared" si="8"/>
        <v>0</v>
      </c>
      <c r="AG40" s="1">
        <f t="shared" si="9"/>
        <v>1</v>
      </c>
    </row>
    <row r="41" spans="1:33" ht="15">
      <c r="A41" s="1">
        <v>1543582</v>
      </c>
      <c r="B41" s="1" t="s">
        <v>36</v>
      </c>
      <c r="C41" s="1" t="s">
        <v>37</v>
      </c>
      <c r="D41" s="15" t="str">
        <f t="shared" si="0"/>
        <v>White</v>
      </c>
      <c r="E41" s="2">
        <v>26777</v>
      </c>
      <c r="F41" s="1" t="s">
        <v>31</v>
      </c>
      <c r="G41" s="1">
        <v>3</v>
      </c>
      <c r="H41" s="1">
        <v>90047</v>
      </c>
      <c r="I41" s="1">
        <v>101000</v>
      </c>
      <c r="J41" s="1">
        <v>1166</v>
      </c>
      <c r="K41" s="1">
        <v>1064</v>
      </c>
      <c r="L41" s="1">
        <v>13</v>
      </c>
      <c r="M41" s="1">
        <v>108</v>
      </c>
      <c r="N41" s="1" t="s">
        <v>62</v>
      </c>
      <c r="O41" s="1" t="s">
        <v>48</v>
      </c>
      <c r="P41" s="1">
        <f t="shared" si="1"/>
        <v>2</v>
      </c>
      <c r="Q41" s="1">
        <f t="shared" si="2"/>
        <v>-108</v>
      </c>
      <c r="R41" s="15">
        <f t="shared" si="3"/>
        <v>4</v>
      </c>
      <c r="S41" s="15">
        <f t="shared" si="4"/>
        <v>5</v>
      </c>
      <c r="T41" s="15">
        <f t="shared" si="5"/>
        <v>5</v>
      </c>
      <c r="U41" s="15" t="str">
        <f t="shared" si="6"/>
        <v>455</v>
      </c>
      <c r="V41" s="15"/>
      <c r="AE41" s="1">
        <f t="shared" si="7"/>
        <v>0</v>
      </c>
      <c r="AF41" s="1">
        <f t="shared" si="8"/>
        <v>0</v>
      </c>
      <c r="AG41" s="1">
        <f t="shared" si="9"/>
        <v>0</v>
      </c>
    </row>
    <row r="42" spans="1:33" ht="15">
      <c r="A42" s="1">
        <v>1543734</v>
      </c>
      <c r="B42" s="1" t="s">
        <v>36</v>
      </c>
      <c r="C42" s="1" t="s">
        <v>59</v>
      </c>
      <c r="D42" s="15" t="str">
        <f t="shared" si="0"/>
        <v>Other</v>
      </c>
      <c r="E42" s="2">
        <v>32938</v>
      </c>
      <c r="F42" s="1" t="s">
        <v>31</v>
      </c>
      <c r="G42" s="1">
        <v>5</v>
      </c>
      <c r="H42" s="1">
        <v>90042</v>
      </c>
      <c r="I42" s="1">
        <v>69000</v>
      </c>
      <c r="J42" s="1">
        <v>390</v>
      </c>
      <c r="K42" s="1">
        <v>442</v>
      </c>
      <c r="L42" s="1">
        <v>3</v>
      </c>
      <c r="M42" s="1">
        <v>265</v>
      </c>
      <c r="N42" s="1" t="s">
        <v>61</v>
      </c>
      <c r="O42" s="1" t="s">
        <v>39</v>
      </c>
      <c r="P42" s="1">
        <f t="shared" si="1"/>
        <v>4</v>
      </c>
      <c r="Q42" s="1">
        <f t="shared" si="2"/>
        <v>-265</v>
      </c>
      <c r="R42" s="15">
        <f t="shared" si="3"/>
        <v>2</v>
      </c>
      <c r="S42" s="15">
        <f t="shared" si="4"/>
        <v>1</v>
      </c>
      <c r="T42" s="15">
        <f t="shared" si="5"/>
        <v>2</v>
      </c>
      <c r="U42" s="15" t="str">
        <f t="shared" si="6"/>
        <v>212</v>
      </c>
      <c r="V42" s="15"/>
      <c r="AE42" s="1">
        <f t="shared" si="7"/>
        <v>1</v>
      </c>
      <c r="AF42" s="1">
        <f t="shared" si="8"/>
        <v>0</v>
      </c>
      <c r="AG42" s="1">
        <f t="shared" si="9"/>
        <v>0</v>
      </c>
    </row>
    <row r="43" spans="1:33" ht="15">
      <c r="A43" s="1">
        <v>1543850</v>
      </c>
      <c r="B43" s="1" t="s">
        <v>36</v>
      </c>
      <c r="C43" s="1" t="s">
        <v>37</v>
      </c>
      <c r="D43" s="15" t="str">
        <f t="shared" si="0"/>
        <v>White</v>
      </c>
      <c r="E43" s="2">
        <v>19700</v>
      </c>
      <c r="F43" s="1" t="s">
        <v>31</v>
      </c>
      <c r="G43" s="1">
        <v>1</v>
      </c>
      <c r="H43" s="1">
        <v>90008</v>
      </c>
      <c r="I43" s="1">
        <v>66000</v>
      </c>
      <c r="J43" s="1">
        <v>1851</v>
      </c>
      <c r="K43" s="1">
        <v>1241</v>
      </c>
      <c r="L43" s="1">
        <v>21</v>
      </c>
      <c r="M43" s="1">
        <v>315</v>
      </c>
      <c r="N43" s="1" t="s">
        <v>42</v>
      </c>
      <c r="O43" s="1" t="s">
        <v>33</v>
      </c>
      <c r="P43" s="1">
        <f t="shared" si="1"/>
        <v>5</v>
      </c>
      <c r="Q43" s="1">
        <f t="shared" si="2"/>
        <v>-315</v>
      </c>
      <c r="R43" s="15">
        <f t="shared" si="3"/>
        <v>1</v>
      </c>
      <c r="S43" s="15">
        <f t="shared" si="4"/>
        <v>5</v>
      </c>
      <c r="T43" s="15">
        <f t="shared" si="5"/>
        <v>5</v>
      </c>
      <c r="U43" s="15" t="str">
        <f t="shared" si="6"/>
        <v>155</v>
      </c>
      <c r="V43" s="15"/>
      <c r="AE43" s="1">
        <f t="shared" si="7"/>
        <v>0</v>
      </c>
      <c r="AF43" s="1">
        <f t="shared" si="8"/>
        <v>0</v>
      </c>
      <c r="AG43" s="1">
        <f t="shared" si="9"/>
        <v>1</v>
      </c>
    </row>
    <row r="44" spans="1:33" ht="15">
      <c r="A44" s="1">
        <v>1543988</v>
      </c>
      <c r="B44" s="1" t="s">
        <v>36</v>
      </c>
      <c r="C44" s="1" t="s">
        <v>46</v>
      </c>
      <c r="D44" s="15" t="str">
        <f t="shared" si="0"/>
        <v>Hispanic</v>
      </c>
      <c r="E44" s="2">
        <v>23181</v>
      </c>
      <c r="F44" s="1" t="s">
        <v>31</v>
      </c>
      <c r="G44" s="1">
        <v>3</v>
      </c>
      <c r="H44" s="1">
        <v>90060</v>
      </c>
      <c r="I44" s="1">
        <v>83000</v>
      </c>
      <c r="J44" s="1">
        <v>449</v>
      </c>
      <c r="K44" s="1">
        <v>813</v>
      </c>
      <c r="L44" s="1">
        <v>11</v>
      </c>
      <c r="M44" s="1">
        <v>263</v>
      </c>
      <c r="N44" s="1" t="s">
        <v>61</v>
      </c>
      <c r="O44" s="1" t="s">
        <v>48</v>
      </c>
      <c r="P44" s="1">
        <f t="shared" si="1"/>
        <v>4</v>
      </c>
      <c r="Q44" s="1">
        <f t="shared" si="2"/>
        <v>-263</v>
      </c>
      <c r="R44" s="15">
        <f t="shared" si="3"/>
        <v>2</v>
      </c>
      <c r="S44" s="15">
        <f t="shared" si="4"/>
        <v>3</v>
      </c>
      <c r="T44" s="15">
        <f t="shared" si="5"/>
        <v>5</v>
      </c>
      <c r="U44" s="15" t="str">
        <f t="shared" si="6"/>
        <v>235</v>
      </c>
      <c r="V44" s="15"/>
      <c r="AE44" s="1">
        <f t="shared" si="7"/>
        <v>0</v>
      </c>
      <c r="AF44" s="1">
        <f t="shared" si="8"/>
        <v>0</v>
      </c>
      <c r="AG44" s="1">
        <f t="shared" si="9"/>
        <v>0</v>
      </c>
    </row>
    <row r="45" spans="1:33" ht="15">
      <c r="A45" s="1">
        <v>1544003</v>
      </c>
      <c r="B45" s="1" t="s">
        <v>36</v>
      </c>
      <c r="C45" s="1" t="s">
        <v>46</v>
      </c>
      <c r="D45" s="15" t="str">
        <f t="shared" si="0"/>
        <v>Hispanic</v>
      </c>
      <c r="E45" s="2">
        <v>30810</v>
      </c>
      <c r="F45" s="1" t="s">
        <v>31</v>
      </c>
      <c r="G45" s="1">
        <v>4</v>
      </c>
      <c r="H45" s="1">
        <v>90010</v>
      </c>
      <c r="I45" s="1">
        <v>68000</v>
      </c>
      <c r="J45" s="1">
        <v>1357</v>
      </c>
      <c r="K45" s="1">
        <v>1214</v>
      </c>
      <c r="L45" s="1">
        <v>31</v>
      </c>
      <c r="M45" s="1">
        <v>95</v>
      </c>
      <c r="N45" s="1" t="s">
        <v>61</v>
      </c>
      <c r="O45" s="1" t="s">
        <v>52</v>
      </c>
      <c r="P45" s="1">
        <f t="shared" si="1"/>
        <v>4</v>
      </c>
      <c r="Q45" s="1">
        <f t="shared" si="2"/>
        <v>-95</v>
      </c>
      <c r="R45" s="15">
        <f t="shared" si="3"/>
        <v>4</v>
      </c>
      <c r="S45" s="15">
        <f t="shared" si="4"/>
        <v>5</v>
      </c>
      <c r="T45" s="15">
        <f t="shared" si="5"/>
        <v>5</v>
      </c>
      <c r="U45" s="15" t="str">
        <f t="shared" si="6"/>
        <v>455</v>
      </c>
      <c r="V45" s="15"/>
      <c r="AE45" s="1">
        <f t="shared" si="7"/>
        <v>0</v>
      </c>
      <c r="AF45" s="1">
        <f t="shared" si="8"/>
        <v>1</v>
      </c>
      <c r="AG45" s="1">
        <f t="shared" si="9"/>
        <v>0</v>
      </c>
    </row>
    <row r="46" spans="1:33" ht="15">
      <c r="A46" s="1">
        <v>1544391</v>
      </c>
      <c r="B46" s="1" t="s">
        <v>36</v>
      </c>
      <c r="C46" s="1" t="s">
        <v>37</v>
      </c>
      <c r="D46" s="15" t="str">
        <f t="shared" si="0"/>
        <v>White</v>
      </c>
      <c r="E46" s="2">
        <v>35662</v>
      </c>
      <c r="F46" s="1" t="s">
        <v>31</v>
      </c>
      <c r="G46" s="1">
        <v>2</v>
      </c>
      <c r="H46" s="1">
        <v>90005</v>
      </c>
      <c r="I46" s="1">
        <v>68000</v>
      </c>
      <c r="J46" s="1">
        <v>1314</v>
      </c>
      <c r="K46" s="1">
        <v>1027</v>
      </c>
      <c r="L46" s="1">
        <v>25</v>
      </c>
      <c r="M46" s="1">
        <v>92</v>
      </c>
      <c r="N46" s="1" t="s">
        <v>61</v>
      </c>
      <c r="O46" s="1" t="s">
        <v>39</v>
      </c>
      <c r="P46" s="1">
        <f t="shared" si="1"/>
        <v>4</v>
      </c>
      <c r="Q46" s="1">
        <f t="shared" si="2"/>
        <v>-92</v>
      </c>
      <c r="R46" s="15">
        <f t="shared" si="3"/>
        <v>4</v>
      </c>
      <c r="S46" s="15">
        <f t="shared" si="4"/>
        <v>5</v>
      </c>
      <c r="T46" s="15">
        <f t="shared" si="5"/>
        <v>5</v>
      </c>
      <c r="U46" s="15" t="str">
        <f t="shared" si="6"/>
        <v>455</v>
      </c>
      <c r="V46" s="15"/>
      <c r="AE46" s="1">
        <f t="shared" si="7"/>
        <v>1</v>
      </c>
      <c r="AF46" s="1">
        <f t="shared" si="8"/>
        <v>0</v>
      </c>
      <c r="AG46" s="1">
        <f t="shared" si="9"/>
        <v>0</v>
      </c>
    </row>
    <row r="47" spans="1:33" ht="15">
      <c r="A47" s="1">
        <v>1544417</v>
      </c>
      <c r="B47" s="1" t="s">
        <v>36</v>
      </c>
      <c r="C47" s="1" t="s">
        <v>46</v>
      </c>
      <c r="D47" s="15" t="str">
        <f t="shared" si="0"/>
        <v>Hispanic</v>
      </c>
      <c r="E47" s="2">
        <v>29294</v>
      </c>
      <c r="F47" s="1" t="s">
        <v>31</v>
      </c>
      <c r="G47" s="1">
        <v>4</v>
      </c>
      <c r="H47" s="1">
        <v>90040</v>
      </c>
      <c r="I47" s="1">
        <v>46000</v>
      </c>
      <c r="J47" s="1">
        <v>299</v>
      </c>
      <c r="K47" s="1">
        <v>369</v>
      </c>
      <c r="L47" s="1">
        <v>3</v>
      </c>
      <c r="M47" s="1">
        <v>281</v>
      </c>
      <c r="N47" s="1" t="s">
        <v>61</v>
      </c>
      <c r="O47" s="1" t="s">
        <v>39</v>
      </c>
      <c r="P47" s="1">
        <f t="shared" si="1"/>
        <v>4</v>
      </c>
      <c r="Q47" s="1">
        <f t="shared" si="2"/>
        <v>-281</v>
      </c>
      <c r="R47" s="15">
        <f t="shared" si="3"/>
        <v>2</v>
      </c>
      <c r="S47" s="15">
        <f t="shared" si="4"/>
        <v>1</v>
      </c>
      <c r="T47" s="15">
        <f t="shared" si="5"/>
        <v>2</v>
      </c>
      <c r="U47" s="15" t="str">
        <f t="shared" si="6"/>
        <v>212</v>
      </c>
      <c r="V47" s="15"/>
      <c r="AE47" s="1">
        <f t="shared" si="7"/>
        <v>1</v>
      </c>
      <c r="AF47" s="1">
        <f t="shared" si="8"/>
        <v>0</v>
      </c>
      <c r="AG47" s="1">
        <f t="shared" si="9"/>
        <v>0</v>
      </c>
    </row>
    <row r="48" spans="1:33" ht="15">
      <c r="A48" s="1">
        <v>1544461</v>
      </c>
      <c r="B48" s="1" t="s">
        <v>29</v>
      </c>
      <c r="C48" s="1" t="s">
        <v>30</v>
      </c>
      <c r="D48" s="15" t="str">
        <f t="shared" si="0"/>
        <v>Black</v>
      </c>
      <c r="E48" s="2">
        <v>26514</v>
      </c>
      <c r="F48" s="1" t="s">
        <v>47</v>
      </c>
      <c r="G48" s="1">
        <v>5</v>
      </c>
      <c r="H48" s="1">
        <v>90033</v>
      </c>
      <c r="I48" s="1">
        <v>47000</v>
      </c>
      <c r="J48" s="1">
        <v>328</v>
      </c>
      <c r="K48" s="1">
        <v>300</v>
      </c>
      <c r="L48" s="1">
        <v>4</v>
      </c>
      <c r="M48" s="1">
        <v>66</v>
      </c>
      <c r="N48" s="1" t="s">
        <v>38</v>
      </c>
      <c r="O48" s="1" t="s">
        <v>33</v>
      </c>
      <c r="P48" s="1">
        <f t="shared" si="1"/>
        <v>3</v>
      </c>
      <c r="Q48" s="1">
        <f t="shared" si="2"/>
        <v>-66</v>
      </c>
      <c r="R48" s="15">
        <f t="shared" si="3"/>
        <v>4</v>
      </c>
      <c r="S48" s="15">
        <f t="shared" si="4"/>
        <v>1</v>
      </c>
      <c r="T48" s="15">
        <f t="shared" si="5"/>
        <v>1</v>
      </c>
      <c r="U48" s="15" t="str">
        <f t="shared" si="6"/>
        <v>411</v>
      </c>
      <c r="V48" s="15"/>
      <c r="AE48" s="1">
        <f t="shared" si="7"/>
        <v>0</v>
      </c>
      <c r="AF48" s="1">
        <f t="shared" si="8"/>
        <v>0</v>
      </c>
      <c r="AG48" s="1">
        <f t="shared" si="9"/>
        <v>1</v>
      </c>
    </row>
    <row r="49" spans="1:33" ht="15">
      <c r="A49" s="1">
        <v>1544588</v>
      </c>
      <c r="B49" s="1" t="s">
        <v>36</v>
      </c>
      <c r="C49" s="1" t="s">
        <v>37</v>
      </c>
      <c r="D49" s="15" t="str">
        <f t="shared" si="0"/>
        <v>White</v>
      </c>
      <c r="E49" s="2">
        <v>34943</v>
      </c>
      <c r="F49" s="1" t="s">
        <v>31</v>
      </c>
      <c r="G49" s="1">
        <v>3</v>
      </c>
      <c r="H49" s="1">
        <v>90028</v>
      </c>
      <c r="I49" s="1">
        <v>78000</v>
      </c>
      <c r="J49" s="1">
        <v>562</v>
      </c>
      <c r="K49" s="1">
        <v>1057</v>
      </c>
      <c r="L49" s="1">
        <v>16</v>
      </c>
      <c r="M49" s="1">
        <v>224</v>
      </c>
      <c r="N49" s="1" t="s">
        <v>38</v>
      </c>
      <c r="O49" s="1" t="s">
        <v>33</v>
      </c>
      <c r="P49" s="1">
        <f t="shared" si="1"/>
        <v>3</v>
      </c>
      <c r="Q49" s="1">
        <f t="shared" si="2"/>
        <v>-224</v>
      </c>
      <c r="R49" s="15">
        <f t="shared" si="3"/>
        <v>2</v>
      </c>
      <c r="S49" s="15">
        <f t="shared" si="4"/>
        <v>5</v>
      </c>
      <c r="T49" s="15">
        <f t="shared" si="5"/>
        <v>5</v>
      </c>
      <c r="U49" s="15" t="str">
        <f t="shared" si="6"/>
        <v>255</v>
      </c>
      <c r="V49" s="15"/>
      <c r="AE49" s="1">
        <f t="shared" si="7"/>
        <v>0</v>
      </c>
      <c r="AF49" s="1">
        <f t="shared" si="8"/>
        <v>0</v>
      </c>
      <c r="AG49" s="1">
        <f t="shared" si="9"/>
        <v>1</v>
      </c>
    </row>
    <row r="50" spans="1:33" ht="15">
      <c r="A50" s="1">
        <v>1544628</v>
      </c>
      <c r="B50" s="1" t="s">
        <v>36</v>
      </c>
      <c r="C50" s="1" t="s">
        <v>37</v>
      </c>
      <c r="D50" s="15" t="str">
        <f t="shared" si="0"/>
        <v>White</v>
      </c>
      <c r="E50" s="2">
        <v>30574</v>
      </c>
      <c r="F50" s="1" t="s">
        <v>31</v>
      </c>
      <c r="G50" s="1">
        <v>3</v>
      </c>
      <c r="H50" s="1">
        <v>90021</v>
      </c>
      <c r="I50" s="1">
        <v>69000</v>
      </c>
      <c r="J50" s="1">
        <v>215</v>
      </c>
      <c r="K50" s="1">
        <v>173</v>
      </c>
      <c r="L50" s="1">
        <v>3</v>
      </c>
      <c r="M50" s="1">
        <v>11</v>
      </c>
      <c r="N50" s="1" t="s">
        <v>61</v>
      </c>
      <c r="O50" s="1" t="s">
        <v>48</v>
      </c>
      <c r="P50" s="1">
        <f t="shared" si="1"/>
        <v>4</v>
      </c>
      <c r="Q50" s="1">
        <f t="shared" si="2"/>
        <v>-11</v>
      </c>
      <c r="R50" s="15">
        <f t="shared" si="3"/>
        <v>4</v>
      </c>
      <c r="S50" s="15">
        <f t="shared" si="4"/>
        <v>1</v>
      </c>
      <c r="T50" s="15">
        <f t="shared" si="5"/>
        <v>1</v>
      </c>
      <c r="U50" s="15" t="str">
        <f t="shared" si="6"/>
        <v>411</v>
      </c>
      <c r="V50" s="15"/>
      <c r="AE50" s="1">
        <f t="shared" si="7"/>
        <v>0</v>
      </c>
      <c r="AF50" s="1">
        <f t="shared" si="8"/>
        <v>0</v>
      </c>
      <c r="AG50" s="1">
        <f t="shared" si="9"/>
        <v>0</v>
      </c>
    </row>
    <row r="51" spans="1:33" ht="15">
      <c r="A51" s="1">
        <v>1544649</v>
      </c>
      <c r="B51" s="1" t="s">
        <v>36</v>
      </c>
      <c r="C51" s="1" t="s">
        <v>37</v>
      </c>
      <c r="D51" s="15" t="str">
        <f t="shared" si="0"/>
        <v>White</v>
      </c>
      <c r="E51" s="2">
        <v>22969</v>
      </c>
      <c r="F51" s="1" t="s">
        <v>47</v>
      </c>
      <c r="G51" s="1">
        <v>4</v>
      </c>
      <c r="H51" s="1">
        <v>90055</v>
      </c>
      <c r="I51" s="1">
        <v>55000</v>
      </c>
      <c r="J51" s="1">
        <v>1081</v>
      </c>
      <c r="K51" s="1">
        <v>1116</v>
      </c>
      <c r="L51" s="1">
        <v>28</v>
      </c>
      <c r="M51" s="1">
        <v>328</v>
      </c>
      <c r="N51" s="1" t="s">
        <v>62</v>
      </c>
      <c r="O51" s="1" t="s">
        <v>39</v>
      </c>
      <c r="P51" s="1">
        <f t="shared" si="1"/>
        <v>2</v>
      </c>
      <c r="Q51" s="1">
        <f t="shared" si="2"/>
        <v>-328</v>
      </c>
      <c r="R51" s="15">
        <f t="shared" si="3"/>
        <v>1</v>
      </c>
      <c r="S51" s="15">
        <f t="shared" si="4"/>
        <v>5</v>
      </c>
      <c r="T51" s="15">
        <f t="shared" si="5"/>
        <v>5</v>
      </c>
      <c r="U51" s="15" t="str">
        <f t="shared" si="6"/>
        <v>155</v>
      </c>
      <c r="V51" s="15"/>
      <c r="AE51" s="1">
        <f t="shared" si="7"/>
        <v>1</v>
      </c>
      <c r="AF51" s="1">
        <f t="shared" si="8"/>
        <v>0</v>
      </c>
      <c r="AG51" s="1">
        <f t="shared" si="9"/>
        <v>0</v>
      </c>
    </row>
    <row r="52" spans="1:33" ht="15">
      <c r="A52" s="1">
        <v>1544764</v>
      </c>
      <c r="B52" s="1" t="s">
        <v>29</v>
      </c>
      <c r="C52" s="1" t="s">
        <v>30</v>
      </c>
      <c r="D52" s="15" t="str">
        <f t="shared" si="0"/>
        <v>Black</v>
      </c>
      <c r="E52" s="2">
        <v>35049</v>
      </c>
      <c r="F52" s="1" t="s">
        <v>31</v>
      </c>
      <c r="G52" s="1">
        <v>5</v>
      </c>
      <c r="H52" s="1">
        <v>90045</v>
      </c>
      <c r="I52" s="1">
        <v>97000</v>
      </c>
      <c r="J52" s="1">
        <v>1272</v>
      </c>
      <c r="K52" s="1">
        <v>911</v>
      </c>
      <c r="L52" s="1">
        <v>16</v>
      </c>
      <c r="M52" s="1">
        <v>59</v>
      </c>
      <c r="N52" s="1" t="s">
        <v>61</v>
      </c>
      <c r="O52" s="1" t="s">
        <v>48</v>
      </c>
      <c r="P52" s="1">
        <f t="shared" si="1"/>
        <v>4</v>
      </c>
      <c r="Q52" s="1">
        <f t="shared" si="2"/>
        <v>-59</v>
      </c>
      <c r="R52" s="15">
        <f t="shared" si="3"/>
        <v>4</v>
      </c>
      <c r="S52" s="15">
        <f t="shared" si="4"/>
        <v>5</v>
      </c>
      <c r="T52" s="15">
        <f t="shared" si="5"/>
        <v>5</v>
      </c>
      <c r="U52" s="15" t="str">
        <f t="shared" si="6"/>
        <v>455</v>
      </c>
      <c r="V52" s="15"/>
      <c r="AE52" s="1">
        <f t="shared" si="7"/>
        <v>0</v>
      </c>
      <c r="AF52" s="1">
        <f t="shared" si="8"/>
        <v>0</v>
      </c>
      <c r="AG52" s="1">
        <f t="shared" si="9"/>
        <v>0</v>
      </c>
    </row>
    <row r="53" spans="1:33" ht="15">
      <c r="A53" s="1">
        <v>1545054</v>
      </c>
      <c r="B53" s="1" t="s">
        <v>36</v>
      </c>
      <c r="C53" s="1" t="s">
        <v>46</v>
      </c>
      <c r="D53" s="15" t="str">
        <f t="shared" si="0"/>
        <v>Hispanic</v>
      </c>
      <c r="E53" s="2">
        <v>30813</v>
      </c>
      <c r="F53" s="1" t="s">
        <v>31</v>
      </c>
      <c r="G53" s="1">
        <v>5</v>
      </c>
      <c r="H53" s="1">
        <v>90014</v>
      </c>
      <c r="I53" s="1">
        <v>102000</v>
      </c>
      <c r="J53" s="1">
        <v>356</v>
      </c>
      <c r="K53" s="1">
        <v>626</v>
      </c>
      <c r="L53" s="1">
        <v>9</v>
      </c>
      <c r="M53" s="1">
        <v>320</v>
      </c>
      <c r="N53" s="1" t="s">
        <v>42</v>
      </c>
      <c r="O53" s="1" t="s">
        <v>52</v>
      </c>
      <c r="P53" s="1">
        <f t="shared" si="1"/>
        <v>5</v>
      </c>
      <c r="Q53" s="1">
        <f t="shared" si="2"/>
        <v>-320</v>
      </c>
      <c r="R53" s="15">
        <f t="shared" si="3"/>
        <v>1</v>
      </c>
      <c r="S53" s="15">
        <f t="shared" si="4"/>
        <v>3</v>
      </c>
      <c r="T53" s="15">
        <f t="shared" si="5"/>
        <v>3</v>
      </c>
      <c r="U53" s="15" t="str">
        <f t="shared" si="6"/>
        <v>133</v>
      </c>
      <c r="V53" s="15"/>
      <c r="AE53" s="1">
        <f t="shared" si="7"/>
        <v>0</v>
      </c>
      <c r="AF53" s="1">
        <f t="shared" si="8"/>
        <v>1</v>
      </c>
      <c r="AG53" s="1">
        <f t="shared" si="9"/>
        <v>0</v>
      </c>
    </row>
    <row r="54" spans="1:33" ht="15">
      <c r="A54" s="1">
        <v>1545822</v>
      </c>
      <c r="B54" s="1" t="s">
        <v>36</v>
      </c>
      <c r="C54" s="1" t="s">
        <v>46</v>
      </c>
      <c r="D54" s="15" t="str">
        <f t="shared" si="0"/>
        <v>Hispanic</v>
      </c>
      <c r="E54" s="2">
        <v>23667</v>
      </c>
      <c r="F54" s="1" t="s">
        <v>31</v>
      </c>
      <c r="G54" s="1">
        <v>4</v>
      </c>
      <c r="H54" s="1">
        <v>90023</v>
      </c>
      <c r="I54" s="1">
        <v>96000</v>
      </c>
      <c r="J54" s="1">
        <v>613</v>
      </c>
      <c r="K54" s="1">
        <v>1196</v>
      </c>
      <c r="L54" s="1">
        <v>9</v>
      </c>
      <c r="M54" s="1">
        <v>240</v>
      </c>
      <c r="N54" s="1" t="s">
        <v>42</v>
      </c>
      <c r="O54" s="1" t="s">
        <v>48</v>
      </c>
      <c r="P54" s="1">
        <f t="shared" si="1"/>
        <v>5</v>
      </c>
      <c r="Q54" s="1">
        <f t="shared" si="2"/>
        <v>-240</v>
      </c>
      <c r="R54" s="15">
        <f t="shared" si="3"/>
        <v>2</v>
      </c>
      <c r="S54" s="15">
        <f t="shared" si="4"/>
        <v>3</v>
      </c>
      <c r="T54" s="15">
        <f t="shared" si="5"/>
        <v>5</v>
      </c>
      <c r="U54" s="15" t="str">
        <f t="shared" si="6"/>
        <v>235</v>
      </c>
      <c r="V54" s="15"/>
      <c r="AE54" s="1">
        <f t="shared" si="7"/>
        <v>0</v>
      </c>
      <c r="AF54" s="1">
        <f t="shared" si="8"/>
        <v>0</v>
      </c>
      <c r="AG54" s="1">
        <f t="shared" si="9"/>
        <v>0</v>
      </c>
    </row>
    <row r="55" spans="1:33" ht="15">
      <c r="A55" s="1">
        <v>1546050</v>
      </c>
      <c r="B55" s="1" t="s">
        <v>36</v>
      </c>
      <c r="C55" s="1" t="s">
        <v>30</v>
      </c>
      <c r="D55" s="15" t="str">
        <f t="shared" si="0"/>
        <v>Black</v>
      </c>
      <c r="E55" s="2">
        <v>23804</v>
      </c>
      <c r="F55" s="1" t="s">
        <v>31</v>
      </c>
      <c r="G55" s="1">
        <v>2</v>
      </c>
      <c r="H55" s="1">
        <v>90050</v>
      </c>
      <c r="I55" s="1">
        <v>148000</v>
      </c>
      <c r="J55" s="1">
        <v>1172</v>
      </c>
      <c r="K55" s="1">
        <v>892</v>
      </c>
      <c r="L55" s="1">
        <v>19</v>
      </c>
      <c r="M55" s="1">
        <v>9</v>
      </c>
      <c r="N55" s="1" t="s">
        <v>61</v>
      </c>
      <c r="O55" s="1" t="s">
        <v>39</v>
      </c>
      <c r="P55" s="1">
        <f t="shared" si="1"/>
        <v>4</v>
      </c>
      <c r="Q55" s="1">
        <f t="shared" si="2"/>
        <v>-9</v>
      </c>
      <c r="R55" s="15">
        <f t="shared" si="3"/>
        <v>4</v>
      </c>
      <c r="S55" s="15">
        <f t="shared" si="4"/>
        <v>5</v>
      </c>
      <c r="T55" s="15">
        <f t="shared" si="5"/>
        <v>5</v>
      </c>
      <c r="U55" s="15" t="str">
        <f t="shared" si="6"/>
        <v>455</v>
      </c>
      <c r="V55" s="15"/>
      <c r="AE55" s="1">
        <f t="shared" si="7"/>
        <v>1</v>
      </c>
      <c r="AF55" s="1">
        <f t="shared" si="8"/>
        <v>0</v>
      </c>
      <c r="AG55" s="1">
        <f t="shared" si="9"/>
        <v>0</v>
      </c>
    </row>
    <row r="56" spans="1:33" ht="15">
      <c r="A56" s="1">
        <v>1546105</v>
      </c>
      <c r="B56" s="1" t="s">
        <v>36</v>
      </c>
      <c r="C56" s="1" t="s">
        <v>30</v>
      </c>
      <c r="D56" s="15" t="str">
        <f t="shared" si="0"/>
        <v>Black</v>
      </c>
      <c r="E56" s="2">
        <v>22110</v>
      </c>
      <c r="F56" s="1" t="s">
        <v>31</v>
      </c>
      <c r="G56" s="1">
        <v>2</v>
      </c>
      <c r="H56" s="1">
        <v>90033</v>
      </c>
      <c r="I56" s="1">
        <v>123000</v>
      </c>
      <c r="J56" s="1">
        <v>1000</v>
      </c>
      <c r="K56" s="1">
        <v>799</v>
      </c>
      <c r="L56" s="1">
        <v>8</v>
      </c>
      <c r="M56" s="1">
        <v>360</v>
      </c>
      <c r="N56" s="1" t="s">
        <v>61</v>
      </c>
      <c r="O56" s="1" t="s">
        <v>52</v>
      </c>
      <c r="P56" s="1">
        <f t="shared" si="1"/>
        <v>4</v>
      </c>
      <c r="Q56" s="1">
        <f t="shared" si="2"/>
        <v>-360</v>
      </c>
      <c r="R56" s="15">
        <f t="shared" si="3"/>
        <v>1</v>
      </c>
      <c r="S56" s="15">
        <f t="shared" si="4"/>
        <v>3</v>
      </c>
      <c r="T56" s="15">
        <f t="shared" si="5"/>
        <v>5</v>
      </c>
      <c r="U56" s="15" t="str">
        <f t="shared" si="6"/>
        <v>135</v>
      </c>
      <c r="V56" s="15"/>
      <c r="AE56" s="1">
        <f t="shared" si="7"/>
        <v>0</v>
      </c>
      <c r="AF56" s="1">
        <f t="shared" si="8"/>
        <v>1</v>
      </c>
      <c r="AG56" s="1">
        <f t="shared" si="9"/>
        <v>0</v>
      </c>
    </row>
    <row r="57" spans="1:33" ht="15">
      <c r="A57" s="1">
        <v>1546138</v>
      </c>
      <c r="B57" s="1" t="s">
        <v>29</v>
      </c>
      <c r="C57" s="1" t="s">
        <v>30</v>
      </c>
      <c r="D57" s="15" t="str">
        <f t="shared" si="0"/>
        <v>Black</v>
      </c>
      <c r="E57" s="2">
        <v>29653</v>
      </c>
      <c r="F57" s="1" t="s">
        <v>31</v>
      </c>
      <c r="G57" s="1">
        <v>1</v>
      </c>
      <c r="H57" s="1">
        <v>90024</v>
      </c>
      <c r="I57" s="1">
        <v>72000</v>
      </c>
      <c r="J57" s="1">
        <v>1170</v>
      </c>
      <c r="K57" s="1">
        <v>1125</v>
      </c>
      <c r="L57" s="1">
        <v>26</v>
      </c>
      <c r="M57" s="1">
        <v>100</v>
      </c>
      <c r="N57" s="1" t="s">
        <v>61</v>
      </c>
      <c r="O57" s="1" t="s">
        <v>33</v>
      </c>
      <c r="P57" s="1">
        <f t="shared" si="1"/>
        <v>4</v>
      </c>
      <c r="Q57" s="1">
        <f t="shared" si="2"/>
        <v>-100</v>
      </c>
      <c r="R57" s="15">
        <f t="shared" si="3"/>
        <v>4</v>
      </c>
      <c r="S57" s="15">
        <f t="shared" si="4"/>
        <v>5</v>
      </c>
      <c r="T57" s="15">
        <f t="shared" si="5"/>
        <v>5</v>
      </c>
      <c r="U57" s="15" t="str">
        <f t="shared" si="6"/>
        <v>455</v>
      </c>
      <c r="V57" s="15"/>
      <c r="AE57" s="1">
        <f t="shared" si="7"/>
        <v>0</v>
      </c>
      <c r="AF57" s="1">
        <f t="shared" si="8"/>
        <v>0</v>
      </c>
      <c r="AG57" s="1">
        <f t="shared" si="9"/>
        <v>1</v>
      </c>
    </row>
    <row r="58" spans="1:33" ht="15">
      <c r="A58" s="1">
        <v>1546179</v>
      </c>
      <c r="B58" s="1" t="s">
        <v>29</v>
      </c>
      <c r="C58" s="1" t="s">
        <v>30</v>
      </c>
      <c r="D58" s="15" t="str">
        <f t="shared" si="0"/>
        <v>Black</v>
      </c>
      <c r="E58" s="2">
        <v>27294</v>
      </c>
      <c r="F58" s="1" t="s">
        <v>31</v>
      </c>
      <c r="G58" s="1">
        <v>4</v>
      </c>
      <c r="H58" s="1">
        <v>90034</v>
      </c>
      <c r="I58" s="1">
        <v>50000</v>
      </c>
      <c r="J58" s="1">
        <v>911</v>
      </c>
      <c r="K58" s="1">
        <v>850</v>
      </c>
      <c r="L58" s="1">
        <v>10</v>
      </c>
      <c r="M58" s="1">
        <v>47</v>
      </c>
      <c r="N58" s="1" t="s">
        <v>61</v>
      </c>
      <c r="O58" s="1" t="s">
        <v>33</v>
      </c>
      <c r="P58" s="1">
        <f t="shared" si="1"/>
        <v>4</v>
      </c>
      <c r="Q58" s="1">
        <f t="shared" si="2"/>
        <v>-47</v>
      </c>
      <c r="R58" s="15">
        <f t="shared" si="3"/>
        <v>4</v>
      </c>
      <c r="S58" s="15">
        <f t="shared" si="4"/>
        <v>3</v>
      </c>
      <c r="T58" s="15">
        <f t="shared" si="5"/>
        <v>5</v>
      </c>
      <c r="U58" s="15" t="str">
        <f t="shared" si="6"/>
        <v>435</v>
      </c>
      <c r="V58" s="15"/>
      <c r="AE58" s="1">
        <f t="shared" si="7"/>
        <v>0</v>
      </c>
      <c r="AF58" s="1">
        <f t="shared" si="8"/>
        <v>0</v>
      </c>
      <c r="AG58" s="1">
        <f t="shared" si="9"/>
        <v>1</v>
      </c>
    </row>
    <row r="59" spans="1:33" ht="15">
      <c r="A59" s="1">
        <v>1546224</v>
      </c>
      <c r="B59" s="1" t="s">
        <v>29</v>
      </c>
      <c r="C59" s="1" t="s">
        <v>54</v>
      </c>
      <c r="D59" s="15" t="str">
        <f t="shared" si="0"/>
        <v>Asian</v>
      </c>
      <c r="E59" s="2">
        <v>29489</v>
      </c>
      <c r="F59" s="1" t="s">
        <v>31</v>
      </c>
      <c r="G59" s="1">
        <v>5</v>
      </c>
      <c r="H59" s="1">
        <v>90043</v>
      </c>
      <c r="I59" s="1">
        <v>99000</v>
      </c>
      <c r="J59" s="1">
        <v>228</v>
      </c>
      <c r="K59" s="1">
        <v>417</v>
      </c>
      <c r="L59" s="1">
        <v>9</v>
      </c>
      <c r="M59" s="1">
        <v>76</v>
      </c>
      <c r="N59" s="1" t="s">
        <v>61</v>
      </c>
      <c r="O59" s="1" t="s">
        <v>48</v>
      </c>
      <c r="P59" s="1">
        <f t="shared" si="1"/>
        <v>4</v>
      </c>
      <c r="Q59" s="1">
        <f t="shared" si="2"/>
        <v>-76</v>
      </c>
      <c r="R59" s="15">
        <f t="shared" si="3"/>
        <v>4</v>
      </c>
      <c r="S59" s="15">
        <f t="shared" si="4"/>
        <v>3</v>
      </c>
      <c r="T59" s="15">
        <f t="shared" si="5"/>
        <v>2</v>
      </c>
      <c r="U59" s="15" t="str">
        <f t="shared" si="6"/>
        <v>432</v>
      </c>
      <c r="V59" s="15"/>
      <c r="AE59" s="1">
        <f t="shared" si="7"/>
        <v>0</v>
      </c>
      <c r="AF59" s="1">
        <f t="shared" si="8"/>
        <v>0</v>
      </c>
      <c r="AG59" s="1">
        <f t="shared" si="9"/>
        <v>0</v>
      </c>
    </row>
    <row r="60" spans="1:33" ht="15">
      <c r="A60" s="1">
        <v>1546623</v>
      </c>
      <c r="B60" s="1" t="s">
        <v>29</v>
      </c>
      <c r="C60" s="1" t="s">
        <v>46</v>
      </c>
      <c r="D60" s="15" t="str">
        <f t="shared" si="0"/>
        <v>Hispanic</v>
      </c>
      <c r="E60" s="2">
        <v>29365</v>
      </c>
      <c r="F60" s="1" t="s">
        <v>31</v>
      </c>
      <c r="G60" s="1">
        <v>2</v>
      </c>
      <c r="H60" s="1">
        <v>90029</v>
      </c>
      <c r="I60" s="1">
        <v>56000</v>
      </c>
      <c r="J60" s="1">
        <v>723</v>
      </c>
      <c r="K60" s="1">
        <v>1038</v>
      </c>
      <c r="L60" s="1">
        <v>22</v>
      </c>
      <c r="M60" s="1">
        <v>188</v>
      </c>
      <c r="N60" s="1" t="s">
        <v>61</v>
      </c>
      <c r="O60" s="1" t="s">
        <v>52</v>
      </c>
      <c r="P60" s="1">
        <f t="shared" si="1"/>
        <v>4</v>
      </c>
      <c r="Q60" s="1">
        <f t="shared" si="2"/>
        <v>-188</v>
      </c>
      <c r="R60" s="15">
        <f t="shared" si="3"/>
        <v>3</v>
      </c>
      <c r="S60" s="15">
        <f t="shared" si="4"/>
        <v>5</v>
      </c>
      <c r="T60" s="15">
        <f t="shared" si="5"/>
        <v>5</v>
      </c>
      <c r="U60" s="15" t="str">
        <f t="shared" si="6"/>
        <v>355</v>
      </c>
      <c r="V60" s="15"/>
      <c r="AE60" s="1">
        <f t="shared" si="7"/>
        <v>0</v>
      </c>
      <c r="AF60" s="1">
        <f t="shared" si="8"/>
        <v>1</v>
      </c>
      <c r="AG60" s="1">
        <f t="shared" si="9"/>
        <v>0</v>
      </c>
    </row>
    <row r="61" spans="1:33" ht="15">
      <c r="A61" s="1">
        <v>1546870</v>
      </c>
      <c r="B61" s="1" t="s">
        <v>29</v>
      </c>
      <c r="C61" s="1" t="s">
        <v>30</v>
      </c>
      <c r="D61" s="15" t="str">
        <f t="shared" si="0"/>
        <v>Black</v>
      </c>
      <c r="E61" s="2">
        <v>23155</v>
      </c>
      <c r="F61" s="1" t="s">
        <v>31</v>
      </c>
      <c r="G61" s="1">
        <v>4</v>
      </c>
      <c r="H61" s="1">
        <v>90062</v>
      </c>
      <c r="I61" s="1">
        <v>71000</v>
      </c>
      <c r="J61" s="1">
        <v>870</v>
      </c>
      <c r="K61" s="1">
        <v>1127</v>
      </c>
      <c r="L61" s="1">
        <v>19</v>
      </c>
      <c r="M61" s="1">
        <v>40</v>
      </c>
      <c r="N61" s="1" t="s">
        <v>42</v>
      </c>
      <c r="O61" s="1" t="s">
        <v>52</v>
      </c>
      <c r="P61" s="1">
        <f t="shared" si="1"/>
        <v>5</v>
      </c>
      <c r="Q61" s="1">
        <f t="shared" si="2"/>
        <v>-40</v>
      </c>
      <c r="R61" s="15">
        <f t="shared" si="3"/>
        <v>4</v>
      </c>
      <c r="S61" s="15">
        <f t="shared" si="4"/>
        <v>5</v>
      </c>
      <c r="T61" s="15">
        <f t="shared" si="5"/>
        <v>5</v>
      </c>
      <c r="U61" s="15" t="str">
        <f t="shared" si="6"/>
        <v>455</v>
      </c>
      <c r="V61" s="15"/>
      <c r="AE61" s="1">
        <f t="shared" si="7"/>
        <v>0</v>
      </c>
      <c r="AF61" s="1">
        <f t="shared" si="8"/>
        <v>1</v>
      </c>
      <c r="AG61" s="1">
        <f t="shared" si="9"/>
        <v>0</v>
      </c>
    </row>
    <row r="62" spans="1:33" ht="15">
      <c r="A62" s="1">
        <v>1547473</v>
      </c>
      <c r="B62" s="1" t="s">
        <v>36</v>
      </c>
      <c r="C62" s="1" t="s">
        <v>37</v>
      </c>
      <c r="D62" s="15" t="str">
        <f t="shared" si="0"/>
        <v>White</v>
      </c>
      <c r="E62" s="2">
        <v>33934</v>
      </c>
      <c r="F62" s="1" t="s">
        <v>31</v>
      </c>
      <c r="G62" s="1">
        <v>4</v>
      </c>
      <c r="H62" s="1">
        <v>90027</v>
      </c>
      <c r="I62" s="1">
        <v>65000</v>
      </c>
      <c r="J62" s="1">
        <v>42</v>
      </c>
      <c r="K62" s="1">
        <v>78</v>
      </c>
      <c r="L62" s="1">
        <v>2</v>
      </c>
      <c r="M62" s="1">
        <v>11</v>
      </c>
      <c r="N62" s="1" t="s">
        <v>61</v>
      </c>
      <c r="O62" s="1" t="s">
        <v>52</v>
      </c>
      <c r="P62" s="1">
        <f t="shared" si="1"/>
        <v>4</v>
      </c>
      <c r="Q62" s="1">
        <f t="shared" si="2"/>
        <v>-11</v>
      </c>
      <c r="R62" s="15">
        <f t="shared" si="3"/>
        <v>4</v>
      </c>
      <c r="S62" s="15">
        <f t="shared" si="4"/>
        <v>1</v>
      </c>
      <c r="T62" s="15">
        <f t="shared" si="5"/>
        <v>1</v>
      </c>
      <c r="U62" s="15" t="str">
        <f t="shared" si="6"/>
        <v>411</v>
      </c>
      <c r="V62" s="15"/>
      <c r="AE62" s="1">
        <f t="shared" si="7"/>
        <v>0</v>
      </c>
      <c r="AF62" s="1">
        <f t="shared" si="8"/>
        <v>1</v>
      </c>
      <c r="AG62" s="1">
        <f t="shared" si="9"/>
        <v>0</v>
      </c>
    </row>
    <row r="63" spans="1:33" ht="15">
      <c r="A63" s="1">
        <v>1547620</v>
      </c>
      <c r="B63" s="1" t="s">
        <v>36</v>
      </c>
      <c r="C63" s="1" t="s">
        <v>37</v>
      </c>
      <c r="D63" s="15" t="str">
        <f t="shared" si="0"/>
        <v>White</v>
      </c>
      <c r="E63" s="2">
        <v>22955</v>
      </c>
      <c r="F63" s="1" t="s">
        <v>31</v>
      </c>
      <c r="G63" s="1">
        <v>2</v>
      </c>
      <c r="H63" s="1">
        <v>90001</v>
      </c>
      <c r="I63" s="1">
        <v>63000</v>
      </c>
      <c r="J63" s="1">
        <v>95</v>
      </c>
      <c r="K63" s="1">
        <v>113</v>
      </c>
      <c r="L63" s="1">
        <v>2</v>
      </c>
      <c r="M63" s="1">
        <v>241</v>
      </c>
      <c r="N63" s="1" t="s">
        <v>61</v>
      </c>
      <c r="O63" s="1" t="s">
        <v>39</v>
      </c>
      <c r="P63" s="1">
        <f t="shared" si="1"/>
        <v>4</v>
      </c>
      <c r="Q63" s="1">
        <f t="shared" si="2"/>
        <v>-241</v>
      </c>
      <c r="R63" s="15">
        <f t="shared" si="3"/>
        <v>2</v>
      </c>
      <c r="S63" s="15">
        <f t="shared" si="4"/>
        <v>1</v>
      </c>
      <c r="T63" s="15">
        <f t="shared" si="5"/>
        <v>1</v>
      </c>
      <c r="U63" s="15" t="str">
        <f t="shared" si="6"/>
        <v>211</v>
      </c>
      <c r="V63" s="15"/>
      <c r="AE63" s="1">
        <f t="shared" si="7"/>
        <v>1</v>
      </c>
      <c r="AF63" s="1">
        <f t="shared" si="8"/>
        <v>0</v>
      </c>
      <c r="AG63" s="1">
        <f t="shared" si="9"/>
        <v>0</v>
      </c>
    </row>
    <row r="64" spans="1:33" ht="15">
      <c r="A64" s="1">
        <v>1547771</v>
      </c>
      <c r="B64" s="1" t="s">
        <v>36</v>
      </c>
      <c r="C64" s="1" t="s">
        <v>54</v>
      </c>
      <c r="D64" s="15" t="str">
        <f t="shared" si="0"/>
        <v>Asian</v>
      </c>
      <c r="E64" s="2">
        <v>35134</v>
      </c>
      <c r="F64" s="1" t="s">
        <v>31</v>
      </c>
      <c r="G64" s="1">
        <v>3</v>
      </c>
      <c r="H64" s="1">
        <v>90023</v>
      </c>
      <c r="I64" s="1">
        <v>56000</v>
      </c>
      <c r="J64" s="1">
        <v>679</v>
      </c>
      <c r="K64" s="1">
        <v>790</v>
      </c>
      <c r="L64" s="1">
        <v>10</v>
      </c>
      <c r="M64" s="1">
        <v>352</v>
      </c>
      <c r="N64" s="1" t="s">
        <v>38</v>
      </c>
      <c r="O64" s="1" t="s">
        <v>48</v>
      </c>
      <c r="P64" s="1">
        <f t="shared" si="1"/>
        <v>3</v>
      </c>
      <c r="Q64" s="1">
        <f t="shared" si="2"/>
        <v>-352</v>
      </c>
      <c r="R64" s="15">
        <f t="shared" si="3"/>
        <v>1</v>
      </c>
      <c r="S64" s="15">
        <f t="shared" si="4"/>
        <v>3</v>
      </c>
      <c r="T64" s="15">
        <f t="shared" si="5"/>
        <v>5</v>
      </c>
      <c r="U64" s="15" t="str">
        <f t="shared" si="6"/>
        <v>135</v>
      </c>
      <c r="V64" s="15"/>
      <c r="AE64" s="1">
        <f t="shared" si="7"/>
        <v>0</v>
      </c>
      <c r="AF64" s="1">
        <f t="shared" si="8"/>
        <v>0</v>
      </c>
      <c r="AG64" s="1">
        <f t="shared" si="9"/>
        <v>0</v>
      </c>
    </row>
    <row r="65" spans="1:33" ht="15">
      <c r="A65" s="1">
        <v>1547864</v>
      </c>
      <c r="B65" s="1" t="s">
        <v>29</v>
      </c>
      <c r="C65" s="1" t="s">
        <v>46</v>
      </c>
      <c r="D65" s="15" t="str">
        <f t="shared" si="0"/>
        <v>Hispanic</v>
      </c>
      <c r="E65" s="2">
        <v>31943</v>
      </c>
      <c r="F65" s="1" t="s">
        <v>31</v>
      </c>
      <c r="G65" s="1">
        <v>2</v>
      </c>
      <c r="H65" s="1">
        <v>90050</v>
      </c>
      <c r="I65" s="1">
        <v>44000</v>
      </c>
      <c r="J65" s="1">
        <v>397</v>
      </c>
      <c r="K65" s="1">
        <v>500</v>
      </c>
      <c r="L65" s="1">
        <v>5</v>
      </c>
      <c r="M65" s="1">
        <v>333</v>
      </c>
      <c r="N65" s="1" t="s">
        <v>61</v>
      </c>
      <c r="O65" s="1" t="s">
        <v>39</v>
      </c>
      <c r="P65" s="1">
        <f t="shared" si="1"/>
        <v>4</v>
      </c>
      <c r="Q65" s="1">
        <f t="shared" si="2"/>
        <v>-333</v>
      </c>
      <c r="R65" s="15">
        <f t="shared" si="3"/>
        <v>1</v>
      </c>
      <c r="S65" s="15">
        <f t="shared" si="4"/>
        <v>2</v>
      </c>
      <c r="T65" s="15">
        <f t="shared" si="5"/>
        <v>2</v>
      </c>
      <c r="U65" s="15" t="str">
        <f t="shared" si="6"/>
        <v>122</v>
      </c>
      <c r="V65" s="15"/>
      <c r="AE65" s="1">
        <f t="shared" si="7"/>
        <v>1</v>
      </c>
      <c r="AF65" s="1">
        <f t="shared" si="8"/>
        <v>0</v>
      </c>
      <c r="AG65" s="1">
        <f t="shared" si="9"/>
        <v>0</v>
      </c>
    </row>
    <row r="66" spans="1:33" ht="15">
      <c r="A66" s="1">
        <v>1548038</v>
      </c>
      <c r="B66" s="1" t="s">
        <v>36</v>
      </c>
      <c r="C66" s="1" t="s">
        <v>46</v>
      </c>
      <c r="D66" s="15" t="str">
        <f t="shared" si="0"/>
        <v>Hispanic</v>
      </c>
      <c r="E66" s="2">
        <v>35351</v>
      </c>
      <c r="F66" s="1" t="s">
        <v>47</v>
      </c>
      <c r="G66" s="1">
        <v>3</v>
      </c>
      <c r="H66" s="1">
        <v>90014</v>
      </c>
      <c r="I66" s="1">
        <v>72000</v>
      </c>
      <c r="J66" s="1">
        <v>182</v>
      </c>
      <c r="K66" s="1">
        <v>163</v>
      </c>
      <c r="L66" s="1">
        <v>1</v>
      </c>
      <c r="M66" s="1">
        <v>52</v>
      </c>
      <c r="N66" s="1" t="s">
        <v>61</v>
      </c>
      <c r="O66" s="1" t="s">
        <v>48</v>
      </c>
      <c r="P66" s="1">
        <f t="shared" si="1"/>
        <v>4</v>
      </c>
      <c r="Q66" s="1">
        <f t="shared" si="2"/>
        <v>-52</v>
      </c>
      <c r="R66" s="15">
        <f t="shared" si="3"/>
        <v>4</v>
      </c>
      <c r="S66" s="15">
        <f t="shared" si="4"/>
        <v>1</v>
      </c>
      <c r="T66" s="15">
        <f t="shared" si="5"/>
        <v>1</v>
      </c>
      <c r="U66" s="15" t="str">
        <f t="shared" si="6"/>
        <v>411</v>
      </c>
      <c r="V66" s="15"/>
      <c r="AE66" s="1">
        <f t="shared" si="7"/>
        <v>0</v>
      </c>
      <c r="AF66" s="1">
        <f t="shared" si="8"/>
        <v>0</v>
      </c>
      <c r="AG66" s="1">
        <f t="shared" si="9"/>
        <v>0</v>
      </c>
    </row>
    <row r="67" spans="1:33" ht="15">
      <c r="A67" s="1">
        <v>1548419</v>
      </c>
      <c r="B67" s="1" t="s">
        <v>29</v>
      </c>
      <c r="C67" s="1" t="s">
        <v>46</v>
      </c>
      <c r="D67" s="15" t="str">
        <f t="shared" ref="D67:D130" si="10">IF(OR(C67="American Indian",C67="Pacific Islander"),"Other",C67)</f>
        <v>Hispanic</v>
      </c>
      <c r="E67" s="2">
        <v>19871</v>
      </c>
      <c r="F67" s="1" t="s">
        <v>47</v>
      </c>
      <c r="G67" s="1">
        <v>4</v>
      </c>
      <c r="H67" s="1">
        <v>90067</v>
      </c>
      <c r="I67" s="1">
        <v>42000</v>
      </c>
      <c r="J67" s="1">
        <v>476</v>
      </c>
      <c r="K67" s="1">
        <v>453</v>
      </c>
      <c r="L67" s="1">
        <v>4</v>
      </c>
      <c r="M67" s="1">
        <v>26</v>
      </c>
      <c r="N67" s="1" t="s">
        <v>42</v>
      </c>
      <c r="O67" s="1" t="s">
        <v>52</v>
      </c>
      <c r="P67" s="1">
        <f t="shared" ref="P67:P130" si="11">IF($N67="Very satisfied",5,IF($N67="Somewhat Satisfied",4,IF($N67="Neutral",3,IF($N67="Somewhat DisSatisfied",2,1))))</f>
        <v>5</v>
      </c>
      <c r="Q67" s="1">
        <f t="shared" ref="Q67:Q130" si="12">-M67</f>
        <v>-26</v>
      </c>
      <c r="R67" s="15">
        <f t="shared" ref="R67:R130" si="13">IF(Q67&lt;=Y$2,1,IF(Q67&lt;=Y$3,2,IF(Q67&lt;=Y$4,3,IF(Q67&lt;=Y70,4,5))))</f>
        <v>4</v>
      </c>
      <c r="S67" s="15">
        <f t="shared" ref="S67:S130" si="14">IF(L67&lt;=Z$2,1,IF(L67&lt;=Z$3,2,IF(L67&lt;=Z$4,3,IF(L67&lt;=Z70,4,5))))</f>
        <v>1</v>
      </c>
      <c r="T67" s="15">
        <f t="shared" ref="T67:T130" si="15">IF(K67&lt;=AA$2,1,IF(K67&lt;=AA$3,2,IF(K67&lt;=AA$4,3,IF(K67&lt;=AA70,4,5))))</f>
        <v>2</v>
      </c>
      <c r="U67" s="15" t="str">
        <f t="shared" ref="U67:U130" si="16">_xlfn.CONCAT(R67,S67,T67,)</f>
        <v>412</v>
      </c>
      <c r="V67" s="15"/>
      <c r="AE67" s="1">
        <f t="shared" ref="AE67:AE130" si="17">IF($O67="TV",1,0)</f>
        <v>0</v>
      </c>
      <c r="AF67" s="1">
        <f t="shared" ref="AF67:AF130" si="18">IF($O67="Referral",1,0)</f>
        <v>1</v>
      </c>
      <c r="AG67" s="1">
        <f t="shared" ref="AG67:AG130" si="19">IF($O67="SM",1,0)</f>
        <v>0</v>
      </c>
    </row>
    <row r="68" spans="1:33" ht="15">
      <c r="A68" s="1">
        <v>1549186</v>
      </c>
      <c r="B68" s="1" t="s">
        <v>36</v>
      </c>
      <c r="C68" s="1" t="s">
        <v>46</v>
      </c>
      <c r="D68" s="15" t="str">
        <f t="shared" si="10"/>
        <v>Hispanic</v>
      </c>
      <c r="E68" s="2">
        <v>20897</v>
      </c>
      <c r="F68" s="1" t="s">
        <v>31</v>
      </c>
      <c r="G68" s="1">
        <v>2</v>
      </c>
      <c r="H68" s="1">
        <v>90045</v>
      </c>
      <c r="I68" s="1">
        <v>94000</v>
      </c>
      <c r="J68" s="1">
        <v>967</v>
      </c>
      <c r="K68" s="1">
        <v>764</v>
      </c>
      <c r="L68" s="1">
        <v>7</v>
      </c>
      <c r="M68" s="1">
        <v>262</v>
      </c>
      <c r="N68" s="1" t="s">
        <v>38</v>
      </c>
      <c r="O68" s="1" t="s">
        <v>39</v>
      </c>
      <c r="P68" s="1">
        <f t="shared" si="11"/>
        <v>3</v>
      </c>
      <c r="Q68" s="1">
        <f t="shared" si="12"/>
        <v>-262</v>
      </c>
      <c r="R68" s="15">
        <f t="shared" si="13"/>
        <v>2</v>
      </c>
      <c r="S68" s="15">
        <f t="shared" si="14"/>
        <v>2</v>
      </c>
      <c r="T68" s="15">
        <f t="shared" si="15"/>
        <v>3</v>
      </c>
      <c r="U68" s="15" t="str">
        <f t="shared" si="16"/>
        <v>223</v>
      </c>
      <c r="V68" s="15"/>
      <c r="AE68" s="1">
        <f t="shared" si="17"/>
        <v>1</v>
      </c>
      <c r="AF68" s="1">
        <f t="shared" si="18"/>
        <v>0</v>
      </c>
      <c r="AG68" s="1">
        <f t="shared" si="19"/>
        <v>0</v>
      </c>
    </row>
    <row r="69" spans="1:33" ht="15">
      <c r="A69" s="1">
        <v>1549239</v>
      </c>
      <c r="B69" s="1" t="s">
        <v>36</v>
      </c>
      <c r="C69" s="1" t="s">
        <v>30</v>
      </c>
      <c r="D69" s="15" t="str">
        <f t="shared" si="10"/>
        <v>Black</v>
      </c>
      <c r="E69" s="2">
        <v>33062</v>
      </c>
      <c r="F69" s="1" t="s">
        <v>31</v>
      </c>
      <c r="G69" s="1">
        <v>1</v>
      </c>
      <c r="H69" s="1">
        <v>90010</v>
      </c>
      <c r="I69" s="1">
        <v>151000</v>
      </c>
      <c r="J69" s="1">
        <v>667</v>
      </c>
      <c r="K69" s="1">
        <v>688</v>
      </c>
      <c r="L69" s="1">
        <v>17</v>
      </c>
      <c r="M69" s="1">
        <v>296</v>
      </c>
      <c r="N69" s="1" t="s">
        <v>42</v>
      </c>
      <c r="O69" s="1" t="s">
        <v>33</v>
      </c>
      <c r="P69" s="1">
        <f t="shared" si="11"/>
        <v>5</v>
      </c>
      <c r="Q69" s="1">
        <f t="shared" si="12"/>
        <v>-296</v>
      </c>
      <c r="R69" s="15">
        <f t="shared" si="13"/>
        <v>1</v>
      </c>
      <c r="S69" s="15">
        <f t="shared" si="14"/>
        <v>5</v>
      </c>
      <c r="T69" s="15">
        <f t="shared" si="15"/>
        <v>3</v>
      </c>
      <c r="U69" s="15" t="str">
        <f t="shared" si="16"/>
        <v>153</v>
      </c>
      <c r="V69" s="15"/>
      <c r="AE69" s="1">
        <f t="shared" si="17"/>
        <v>0</v>
      </c>
      <c r="AF69" s="1">
        <f t="shared" si="18"/>
        <v>0</v>
      </c>
      <c r="AG69" s="1">
        <f t="shared" si="19"/>
        <v>1</v>
      </c>
    </row>
    <row r="70" spans="1:33" ht="15">
      <c r="A70" s="1">
        <v>1549430</v>
      </c>
      <c r="B70" s="1" t="s">
        <v>36</v>
      </c>
      <c r="C70" s="1" t="s">
        <v>37</v>
      </c>
      <c r="D70" s="15" t="str">
        <f t="shared" si="10"/>
        <v>White</v>
      </c>
      <c r="E70" s="2">
        <v>35880</v>
      </c>
      <c r="F70" s="1" t="s">
        <v>31</v>
      </c>
      <c r="G70" s="1">
        <v>2</v>
      </c>
      <c r="H70" s="1">
        <v>90066</v>
      </c>
      <c r="I70" s="1">
        <v>97000</v>
      </c>
      <c r="J70" s="1">
        <v>1334</v>
      </c>
      <c r="K70" s="1">
        <v>1020</v>
      </c>
      <c r="L70" s="1">
        <v>24</v>
      </c>
      <c r="M70" s="1">
        <v>176</v>
      </c>
      <c r="N70" s="1" t="s">
        <v>61</v>
      </c>
      <c r="O70" s="1" t="s">
        <v>39</v>
      </c>
      <c r="P70" s="1">
        <f t="shared" si="11"/>
        <v>4</v>
      </c>
      <c r="Q70" s="1">
        <f t="shared" si="12"/>
        <v>-176</v>
      </c>
      <c r="R70" s="15">
        <f t="shared" si="13"/>
        <v>3</v>
      </c>
      <c r="S70" s="15">
        <f t="shared" si="14"/>
        <v>5</v>
      </c>
      <c r="T70" s="15">
        <f t="shared" si="15"/>
        <v>5</v>
      </c>
      <c r="U70" s="15" t="str">
        <f t="shared" si="16"/>
        <v>355</v>
      </c>
      <c r="V70" s="15"/>
      <c r="AE70" s="1">
        <f t="shared" si="17"/>
        <v>1</v>
      </c>
      <c r="AF70" s="1">
        <f t="shared" si="18"/>
        <v>0</v>
      </c>
      <c r="AG70" s="1">
        <f t="shared" si="19"/>
        <v>0</v>
      </c>
    </row>
    <row r="71" spans="1:33" ht="15">
      <c r="A71" s="1">
        <v>1549535</v>
      </c>
      <c r="B71" s="1" t="s">
        <v>36</v>
      </c>
      <c r="C71" s="1" t="s">
        <v>46</v>
      </c>
      <c r="D71" s="15" t="str">
        <f t="shared" si="10"/>
        <v>Hispanic</v>
      </c>
      <c r="E71" s="2">
        <v>22559</v>
      </c>
      <c r="F71" s="1" t="s">
        <v>31</v>
      </c>
      <c r="G71" s="1">
        <v>4</v>
      </c>
      <c r="H71" s="1">
        <v>90008</v>
      </c>
      <c r="I71" s="1">
        <v>87000</v>
      </c>
      <c r="J71" s="1">
        <v>438</v>
      </c>
      <c r="K71" s="1">
        <v>538</v>
      </c>
      <c r="L71" s="1">
        <v>8</v>
      </c>
      <c r="M71" s="1">
        <v>320</v>
      </c>
      <c r="N71" s="1" t="s">
        <v>61</v>
      </c>
      <c r="O71" s="1" t="s">
        <v>48</v>
      </c>
      <c r="P71" s="1">
        <f t="shared" si="11"/>
        <v>4</v>
      </c>
      <c r="Q71" s="1">
        <f t="shared" si="12"/>
        <v>-320</v>
      </c>
      <c r="R71" s="15">
        <f t="shared" si="13"/>
        <v>1</v>
      </c>
      <c r="S71" s="15">
        <f t="shared" si="14"/>
        <v>3</v>
      </c>
      <c r="T71" s="15">
        <f t="shared" si="15"/>
        <v>2</v>
      </c>
      <c r="U71" s="15" t="str">
        <f t="shared" si="16"/>
        <v>132</v>
      </c>
      <c r="V71" s="15"/>
      <c r="AE71" s="1">
        <f t="shared" si="17"/>
        <v>0</v>
      </c>
      <c r="AF71" s="1">
        <f t="shared" si="18"/>
        <v>0</v>
      </c>
      <c r="AG71" s="1">
        <f t="shared" si="19"/>
        <v>0</v>
      </c>
    </row>
    <row r="72" spans="1:33" ht="15">
      <c r="A72" s="1">
        <v>1549652</v>
      </c>
      <c r="B72" s="1" t="s">
        <v>29</v>
      </c>
      <c r="C72" s="1" t="s">
        <v>30</v>
      </c>
      <c r="D72" s="15" t="str">
        <f t="shared" si="10"/>
        <v>Black</v>
      </c>
      <c r="E72" s="2">
        <v>21157</v>
      </c>
      <c r="F72" s="1" t="s">
        <v>31</v>
      </c>
      <c r="G72" s="1">
        <v>4</v>
      </c>
      <c r="H72" s="1">
        <v>90025</v>
      </c>
      <c r="I72" s="1">
        <v>94000</v>
      </c>
      <c r="J72" s="1">
        <v>572</v>
      </c>
      <c r="K72" s="1">
        <v>767</v>
      </c>
      <c r="L72" s="1">
        <v>7</v>
      </c>
      <c r="M72" s="1">
        <v>227</v>
      </c>
      <c r="N72" s="1" t="s">
        <v>62</v>
      </c>
      <c r="O72" s="1" t="s">
        <v>39</v>
      </c>
      <c r="P72" s="1">
        <f t="shared" si="11"/>
        <v>2</v>
      </c>
      <c r="Q72" s="1">
        <f t="shared" si="12"/>
        <v>-227</v>
      </c>
      <c r="R72" s="15">
        <f t="shared" si="13"/>
        <v>2</v>
      </c>
      <c r="S72" s="15">
        <f t="shared" si="14"/>
        <v>2</v>
      </c>
      <c r="T72" s="15">
        <f t="shared" si="15"/>
        <v>5</v>
      </c>
      <c r="U72" s="15" t="str">
        <f t="shared" si="16"/>
        <v>225</v>
      </c>
      <c r="V72" s="15"/>
      <c r="AE72" s="1">
        <f t="shared" si="17"/>
        <v>1</v>
      </c>
      <c r="AF72" s="1">
        <f t="shared" si="18"/>
        <v>0</v>
      </c>
      <c r="AG72" s="1">
        <f t="shared" si="19"/>
        <v>0</v>
      </c>
    </row>
    <row r="73" spans="1:33" ht="15">
      <c r="A73" s="1">
        <v>1549708</v>
      </c>
      <c r="B73" s="1" t="s">
        <v>36</v>
      </c>
      <c r="C73" s="1" t="s">
        <v>37</v>
      </c>
      <c r="D73" s="15" t="str">
        <f t="shared" si="10"/>
        <v>White</v>
      </c>
      <c r="E73" s="2">
        <v>23529</v>
      </c>
      <c r="F73" s="1" t="s">
        <v>31</v>
      </c>
      <c r="G73" s="1">
        <v>3</v>
      </c>
      <c r="H73" s="1">
        <v>90032</v>
      </c>
      <c r="I73" s="1">
        <v>78000</v>
      </c>
      <c r="J73" s="1">
        <v>516</v>
      </c>
      <c r="K73" s="1">
        <v>388</v>
      </c>
      <c r="L73" s="1">
        <v>8</v>
      </c>
      <c r="M73" s="1">
        <v>330</v>
      </c>
      <c r="N73" s="1" t="s">
        <v>42</v>
      </c>
      <c r="O73" s="1" t="s">
        <v>48</v>
      </c>
      <c r="P73" s="1">
        <f t="shared" si="11"/>
        <v>5</v>
      </c>
      <c r="Q73" s="1">
        <f t="shared" si="12"/>
        <v>-330</v>
      </c>
      <c r="R73" s="15">
        <f t="shared" si="13"/>
        <v>1</v>
      </c>
      <c r="S73" s="15">
        <f t="shared" si="14"/>
        <v>3</v>
      </c>
      <c r="T73" s="15">
        <f t="shared" si="15"/>
        <v>2</v>
      </c>
      <c r="U73" s="15" t="str">
        <f t="shared" si="16"/>
        <v>132</v>
      </c>
      <c r="V73" s="15"/>
      <c r="AE73" s="1">
        <f t="shared" si="17"/>
        <v>0</v>
      </c>
      <c r="AF73" s="1">
        <f t="shared" si="18"/>
        <v>0</v>
      </c>
      <c r="AG73" s="1">
        <f t="shared" si="19"/>
        <v>0</v>
      </c>
    </row>
    <row r="74" spans="1:33" ht="15">
      <c r="A74" s="1">
        <v>1550134</v>
      </c>
      <c r="B74" s="1" t="s">
        <v>36</v>
      </c>
      <c r="C74" s="1" t="s">
        <v>54</v>
      </c>
      <c r="D74" s="15" t="str">
        <f t="shared" si="10"/>
        <v>Asian</v>
      </c>
      <c r="E74" s="2">
        <v>35437</v>
      </c>
      <c r="F74" s="1" t="s">
        <v>31</v>
      </c>
      <c r="G74" s="1">
        <v>4</v>
      </c>
      <c r="H74" s="1">
        <v>90021</v>
      </c>
      <c r="I74" s="1">
        <v>91000</v>
      </c>
      <c r="J74" s="1">
        <v>571</v>
      </c>
      <c r="K74" s="1">
        <v>423</v>
      </c>
      <c r="L74" s="1">
        <v>6</v>
      </c>
      <c r="M74" s="1">
        <v>18</v>
      </c>
      <c r="N74" s="1" t="s">
        <v>61</v>
      </c>
      <c r="O74" s="1" t="s">
        <v>39</v>
      </c>
      <c r="P74" s="1">
        <f t="shared" si="11"/>
        <v>4</v>
      </c>
      <c r="Q74" s="1">
        <f t="shared" si="12"/>
        <v>-18</v>
      </c>
      <c r="R74" s="15">
        <f t="shared" si="13"/>
        <v>4</v>
      </c>
      <c r="S74" s="15">
        <f t="shared" si="14"/>
        <v>2</v>
      </c>
      <c r="T74" s="15">
        <f t="shared" si="15"/>
        <v>2</v>
      </c>
      <c r="U74" s="15" t="str">
        <f t="shared" si="16"/>
        <v>422</v>
      </c>
      <c r="V74" s="15"/>
      <c r="AE74" s="1">
        <f t="shared" si="17"/>
        <v>1</v>
      </c>
      <c r="AF74" s="1">
        <f t="shared" si="18"/>
        <v>0</v>
      </c>
      <c r="AG74" s="1">
        <f t="shared" si="19"/>
        <v>0</v>
      </c>
    </row>
    <row r="75" spans="1:33" ht="15">
      <c r="A75" s="1">
        <v>1550268</v>
      </c>
      <c r="B75" s="1" t="s">
        <v>29</v>
      </c>
      <c r="C75" s="1" t="s">
        <v>37</v>
      </c>
      <c r="D75" s="15" t="str">
        <f t="shared" si="10"/>
        <v>White</v>
      </c>
      <c r="E75" s="2">
        <v>33520</v>
      </c>
      <c r="F75" s="1" t="s">
        <v>31</v>
      </c>
      <c r="G75" s="1">
        <v>5</v>
      </c>
      <c r="H75" s="1">
        <v>90010</v>
      </c>
      <c r="I75" s="1">
        <v>62000</v>
      </c>
      <c r="J75" s="1">
        <v>986</v>
      </c>
      <c r="K75" s="1">
        <v>862</v>
      </c>
      <c r="L75" s="1">
        <v>19</v>
      </c>
      <c r="M75" s="1">
        <v>273</v>
      </c>
      <c r="N75" s="1" t="s">
        <v>42</v>
      </c>
      <c r="O75" s="1" t="s">
        <v>48</v>
      </c>
      <c r="P75" s="1">
        <f t="shared" si="11"/>
        <v>5</v>
      </c>
      <c r="Q75" s="1">
        <f t="shared" si="12"/>
        <v>-273</v>
      </c>
      <c r="R75" s="15">
        <f t="shared" si="13"/>
        <v>2</v>
      </c>
      <c r="S75" s="15">
        <f t="shared" si="14"/>
        <v>5</v>
      </c>
      <c r="T75" s="15">
        <f t="shared" si="15"/>
        <v>5</v>
      </c>
      <c r="U75" s="15" t="str">
        <f t="shared" si="16"/>
        <v>255</v>
      </c>
      <c r="V75" s="15"/>
      <c r="AE75" s="1">
        <f t="shared" si="17"/>
        <v>0</v>
      </c>
      <c r="AF75" s="1">
        <f t="shared" si="18"/>
        <v>0</v>
      </c>
      <c r="AG75" s="1">
        <f t="shared" si="19"/>
        <v>0</v>
      </c>
    </row>
    <row r="76" spans="1:33" ht="15">
      <c r="A76" s="1">
        <v>1550307</v>
      </c>
      <c r="B76" s="1" t="s">
        <v>36</v>
      </c>
      <c r="C76" s="1" t="s">
        <v>54</v>
      </c>
      <c r="D76" s="15" t="str">
        <f t="shared" si="10"/>
        <v>Asian</v>
      </c>
      <c r="E76" s="2">
        <v>20054</v>
      </c>
      <c r="F76" s="1" t="s">
        <v>31</v>
      </c>
      <c r="G76" s="1">
        <v>1</v>
      </c>
      <c r="H76" s="1">
        <v>90013</v>
      </c>
      <c r="I76" s="1">
        <v>97000</v>
      </c>
      <c r="J76" s="1">
        <v>887</v>
      </c>
      <c r="K76" s="1">
        <v>1195</v>
      </c>
      <c r="L76" s="1">
        <v>12</v>
      </c>
      <c r="M76" s="1">
        <v>49</v>
      </c>
      <c r="N76" s="1" t="s">
        <v>62</v>
      </c>
      <c r="O76" s="1" t="s">
        <v>52</v>
      </c>
      <c r="P76" s="1">
        <f t="shared" si="11"/>
        <v>2</v>
      </c>
      <c r="Q76" s="1">
        <f t="shared" si="12"/>
        <v>-49</v>
      </c>
      <c r="R76" s="15">
        <f t="shared" si="13"/>
        <v>4</v>
      </c>
      <c r="S76" s="15">
        <f t="shared" si="14"/>
        <v>5</v>
      </c>
      <c r="T76" s="15">
        <f t="shared" si="15"/>
        <v>5</v>
      </c>
      <c r="U76" s="15" t="str">
        <f t="shared" si="16"/>
        <v>455</v>
      </c>
      <c r="V76" s="15"/>
      <c r="AE76" s="1">
        <f t="shared" si="17"/>
        <v>0</v>
      </c>
      <c r="AF76" s="1">
        <f t="shared" si="18"/>
        <v>1</v>
      </c>
      <c r="AG76" s="1">
        <f t="shared" si="19"/>
        <v>0</v>
      </c>
    </row>
    <row r="77" spans="1:33" ht="15">
      <c r="A77" s="1">
        <v>1550486</v>
      </c>
      <c r="B77" s="1" t="s">
        <v>36</v>
      </c>
      <c r="C77" s="1" t="s">
        <v>37</v>
      </c>
      <c r="D77" s="15" t="str">
        <f t="shared" si="10"/>
        <v>White</v>
      </c>
      <c r="E77" s="2">
        <v>20207</v>
      </c>
      <c r="F77" s="1" t="s">
        <v>47</v>
      </c>
      <c r="G77" s="1">
        <v>3</v>
      </c>
      <c r="H77" s="1">
        <v>90001</v>
      </c>
      <c r="I77" s="1">
        <v>122000</v>
      </c>
      <c r="J77" s="1">
        <v>124</v>
      </c>
      <c r="K77" s="1">
        <v>130</v>
      </c>
      <c r="L77" s="1">
        <v>1</v>
      </c>
      <c r="M77" s="1">
        <v>205</v>
      </c>
      <c r="N77" s="1" t="s">
        <v>42</v>
      </c>
      <c r="O77" s="1" t="s">
        <v>39</v>
      </c>
      <c r="P77" s="1">
        <f t="shared" si="11"/>
        <v>5</v>
      </c>
      <c r="Q77" s="1">
        <f t="shared" si="12"/>
        <v>-205</v>
      </c>
      <c r="R77" s="15">
        <f t="shared" si="13"/>
        <v>3</v>
      </c>
      <c r="S77" s="15">
        <f t="shared" si="14"/>
        <v>1</v>
      </c>
      <c r="T77" s="15">
        <f t="shared" si="15"/>
        <v>1</v>
      </c>
      <c r="U77" s="15" t="str">
        <f t="shared" si="16"/>
        <v>311</v>
      </c>
      <c r="V77" s="15"/>
      <c r="AE77" s="1">
        <f t="shared" si="17"/>
        <v>1</v>
      </c>
      <c r="AF77" s="1">
        <f t="shared" si="18"/>
        <v>0</v>
      </c>
      <c r="AG77" s="1">
        <f t="shared" si="19"/>
        <v>0</v>
      </c>
    </row>
    <row r="78" spans="1:33" ht="15">
      <c r="A78" s="1">
        <v>1550596</v>
      </c>
      <c r="B78" s="1" t="s">
        <v>29</v>
      </c>
      <c r="C78" s="1" t="s">
        <v>30</v>
      </c>
      <c r="D78" s="15" t="str">
        <f t="shared" si="10"/>
        <v>Black</v>
      </c>
      <c r="E78" s="2">
        <v>31948</v>
      </c>
      <c r="F78" s="1" t="s">
        <v>31</v>
      </c>
      <c r="G78" s="1">
        <v>5</v>
      </c>
      <c r="H78" s="1">
        <v>90038</v>
      </c>
      <c r="I78" s="1">
        <v>92000</v>
      </c>
      <c r="J78" s="1">
        <v>125</v>
      </c>
      <c r="K78" s="1">
        <v>183</v>
      </c>
      <c r="L78" s="1">
        <v>1</v>
      </c>
      <c r="M78" s="1">
        <v>26</v>
      </c>
      <c r="N78" s="1" t="s">
        <v>38</v>
      </c>
      <c r="O78" s="1" t="s">
        <v>52</v>
      </c>
      <c r="P78" s="1">
        <f t="shared" si="11"/>
        <v>3</v>
      </c>
      <c r="Q78" s="1">
        <f t="shared" si="12"/>
        <v>-26</v>
      </c>
      <c r="R78" s="15">
        <f t="shared" si="13"/>
        <v>4</v>
      </c>
      <c r="S78" s="15">
        <f t="shared" si="14"/>
        <v>1</v>
      </c>
      <c r="T78" s="15">
        <f t="shared" si="15"/>
        <v>1</v>
      </c>
      <c r="U78" s="15" t="str">
        <f t="shared" si="16"/>
        <v>411</v>
      </c>
      <c r="V78" s="15"/>
      <c r="AE78" s="1">
        <f t="shared" si="17"/>
        <v>0</v>
      </c>
      <c r="AF78" s="1">
        <f t="shared" si="18"/>
        <v>1</v>
      </c>
      <c r="AG78" s="1">
        <f t="shared" si="19"/>
        <v>0</v>
      </c>
    </row>
    <row r="79" spans="1:33" ht="15">
      <c r="A79" s="1">
        <v>1550597</v>
      </c>
      <c r="B79" s="1" t="s">
        <v>36</v>
      </c>
      <c r="C79" s="1" t="s">
        <v>37</v>
      </c>
      <c r="D79" s="15" t="str">
        <f t="shared" si="10"/>
        <v>White</v>
      </c>
      <c r="E79" s="2">
        <v>23135</v>
      </c>
      <c r="F79" s="1" t="s">
        <v>31</v>
      </c>
      <c r="G79" s="1">
        <v>1</v>
      </c>
      <c r="H79" s="1">
        <v>90020</v>
      </c>
      <c r="I79" s="1">
        <v>93000</v>
      </c>
      <c r="J79" s="1">
        <v>618</v>
      </c>
      <c r="K79" s="1">
        <v>489</v>
      </c>
      <c r="L79" s="1">
        <v>7</v>
      </c>
      <c r="M79" s="1">
        <v>308</v>
      </c>
      <c r="N79" s="1" t="s">
        <v>61</v>
      </c>
      <c r="O79" s="1" t="s">
        <v>39</v>
      </c>
      <c r="P79" s="1">
        <f t="shared" si="11"/>
        <v>4</v>
      </c>
      <c r="Q79" s="1">
        <f t="shared" si="12"/>
        <v>-308</v>
      </c>
      <c r="R79" s="15">
        <f t="shared" si="13"/>
        <v>1</v>
      </c>
      <c r="S79" s="15">
        <f t="shared" si="14"/>
        <v>2</v>
      </c>
      <c r="T79" s="15">
        <f t="shared" si="15"/>
        <v>2</v>
      </c>
      <c r="U79" s="15" t="str">
        <f t="shared" si="16"/>
        <v>122</v>
      </c>
      <c r="V79" s="15"/>
      <c r="AE79" s="1">
        <f t="shared" si="17"/>
        <v>1</v>
      </c>
      <c r="AF79" s="1">
        <f t="shared" si="18"/>
        <v>0</v>
      </c>
      <c r="AG79" s="1">
        <f t="shared" si="19"/>
        <v>0</v>
      </c>
    </row>
    <row r="80" spans="1:33" ht="15">
      <c r="A80" s="1">
        <v>1550751</v>
      </c>
      <c r="B80" s="1" t="s">
        <v>36</v>
      </c>
      <c r="C80" s="1" t="s">
        <v>46</v>
      </c>
      <c r="D80" s="15" t="str">
        <f t="shared" si="10"/>
        <v>Hispanic</v>
      </c>
      <c r="E80" s="2">
        <v>19374</v>
      </c>
      <c r="F80" s="1" t="s">
        <v>31</v>
      </c>
      <c r="G80" s="1">
        <v>3</v>
      </c>
      <c r="H80" s="1">
        <v>90013</v>
      </c>
      <c r="I80" s="1">
        <v>56000</v>
      </c>
      <c r="J80" s="1">
        <v>65</v>
      </c>
      <c r="K80" s="1">
        <v>87</v>
      </c>
      <c r="L80" s="1">
        <v>1</v>
      </c>
      <c r="M80" s="1">
        <v>341</v>
      </c>
      <c r="N80" s="1" t="s">
        <v>61</v>
      </c>
      <c r="O80" s="1" t="s">
        <v>48</v>
      </c>
      <c r="P80" s="1">
        <f t="shared" si="11"/>
        <v>4</v>
      </c>
      <c r="Q80" s="1">
        <f t="shared" si="12"/>
        <v>-341</v>
      </c>
      <c r="R80" s="15">
        <f t="shared" si="13"/>
        <v>1</v>
      </c>
      <c r="S80" s="15">
        <f t="shared" si="14"/>
        <v>1</v>
      </c>
      <c r="T80" s="15">
        <f t="shared" si="15"/>
        <v>1</v>
      </c>
      <c r="U80" s="15" t="str">
        <f t="shared" si="16"/>
        <v>111</v>
      </c>
      <c r="V80" s="15"/>
      <c r="AE80" s="1">
        <f t="shared" si="17"/>
        <v>0</v>
      </c>
      <c r="AF80" s="1">
        <f t="shared" si="18"/>
        <v>0</v>
      </c>
      <c r="AG80" s="1">
        <f t="shared" si="19"/>
        <v>0</v>
      </c>
    </row>
    <row r="81" spans="1:33" ht="15">
      <c r="A81" s="1">
        <v>1550842</v>
      </c>
      <c r="B81" s="1" t="s">
        <v>36</v>
      </c>
      <c r="C81" s="1" t="s">
        <v>37</v>
      </c>
      <c r="D81" s="15" t="str">
        <f t="shared" si="10"/>
        <v>White</v>
      </c>
      <c r="E81" s="2">
        <v>30989</v>
      </c>
      <c r="F81" s="1" t="s">
        <v>31</v>
      </c>
      <c r="G81" s="1">
        <v>4</v>
      </c>
      <c r="H81" s="1">
        <v>90053</v>
      </c>
      <c r="I81" s="1">
        <v>60000</v>
      </c>
      <c r="J81" s="1">
        <v>403</v>
      </c>
      <c r="K81" s="1">
        <v>684</v>
      </c>
      <c r="L81" s="1">
        <v>14</v>
      </c>
      <c r="M81" s="1">
        <v>195</v>
      </c>
      <c r="N81" s="1" t="s">
        <v>42</v>
      </c>
      <c r="O81" s="1" t="s">
        <v>39</v>
      </c>
      <c r="P81" s="1">
        <f t="shared" si="11"/>
        <v>5</v>
      </c>
      <c r="Q81" s="1">
        <f t="shared" si="12"/>
        <v>-195</v>
      </c>
      <c r="R81" s="15">
        <f t="shared" si="13"/>
        <v>3</v>
      </c>
      <c r="S81" s="15">
        <f t="shared" si="14"/>
        <v>5</v>
      </c>
      <c r="T81" s="15">
        <f t="shared" si="15"/>
        <v>3</v>
      </c>
      <c r="U81" s="15" t="str">
        <f t="shared" si="16"/>
        <v>353</v>
      </c>
      <c r="V81" s="15"/>
      <c r="AE81" s="1">
        <f t="shared" si="17"/>
        <v>1</v>
      </c>
      <c r="AF81" s="1">
        <f t="shared" si="18"/>
        <v>0</v>
      </c>
      <c r="AG81" s="1">
        <f t="shared" si="19"/>
        <v>0</v>
      </c>
    </row>
    <row r="82" spans="1:33" ht="15">
      <c r="A82" s="1">
        <v>1550969</v>
      </c>
      <c r="B82" s="1" t="s">
        <v>29</v>
      </c>
      <c r="C82" s="1" t="s">
        <v>37</v>
      </c>
      <c r="D82" s="15" t="str">
        <f t="shared" si="10"/>
        <v>White</v>
      </c>
      <c r="E82" s="2">
        <v>28588</v>
      </c>
      <c r="F82" s="1" t="s">
        <v>31</v>
      </c>
      <c r="G82" s="1">
        <v>4</v>
      </c>
      <c r="H82" s="1">
        <v>90030</v>
      </c>
      <c r="I82" s="1">
        <v>47000</v>
      </c>
      <c r="J82" s="1">
        <v>1045</v>
      </c>
      <c r="K82" s="1">
        <v>774</v>
      </c>
      <c r="L82" s="1">
        <v>16</v>
      </c>
      <c r="M82" s="1">
        <v>76</v>
      </c>
      <c r="N82" s="1" t="s">
        <v>38</v>
      </c>
      <c r="O82" s="1" t="s">
        <v>39</v>
      </c>
      <c r="P82" s="1">
        <f t="shared" si="11"/>
        <v>3</v>
      </c>
      <c r="Q82" s="1">
        <f t="shared" si="12"/>
        <v>-76</v>
      </c>
      <c r="R82" s="15">
        <f t="shared" si="13"/>
        <v>4</v>
      </c>
      <c r="S82" s="15">
        <f t="shared" si="14"/>
        <v>5</v>
      </c>
      <c r="T82" s="15">
        <f t="shared" si="15"/>
        <v>5</v>
      </c>
      <c r="U82" s="15" t="str">
        <f t="shared" si="16"/>
        <v>455</v>
      </c>
      <c r="V82" s="15"/>
      <c r="AE82" s="1">
        <f t="shared" si="17"/>
        <v>1</v>
      </c>
      <c r="AF82" s="1">
        <f t="shared" si="18"/>
        <v>0</v>
      </c>
      <c r="AG82" s="1">
        <f t="shared" si="19"/>
        <v>0</v>
      </c>
    </row>
    <row r="83" spans="1:33" ht="15">
      <c r="A83" s="1">
        <v>1551391</v>
      </c>
      <c r="B83" s="1" t="s">
        <v>29</v>
      </c>
      <c r="C83" s="1" t="s">
        <v>30</v>
      </c>
      <c r="D83" s="15" t="str">
        <f t="shared" si="10"/>
        <v>Black</v>
      </c>
      <c r="E83" s="2">
        <v>31938</v>
      </c>
      <c r="F83" s="1" t="s">
        <v>31</v>
      </c>
      <c r="G83" s="1">
        <v>5</v>
      </c>
      <c r="H83" s="1">
        <v>90051</v>
      </c>
      <c r="I83" s="1">
        <v>63000</v>
      </c>
      <c r="J83" s="1">
        <v>105</v>
      </c>
      <c r="K83" s="1">
        <v>188</v>
      </c>
      <c r="L83" s="1">
        <v>4</v>
      </c>
      <c r="M83" s="1">
        <v>183</v>
      </c>
      <c r="N83" s="1" t="s">
        <v>61</v>
      </c>
      <c r="O83" s="1" t="s">
        <v>48</v>
      </c>
      <c r="P83" s="1">
        <f t="shared" si="11"/>
        <v>4</v>
      </c>
      <c r="Q83" s="1">
        <f t="shared" si="12"/>
        <v>-183</v>
      </c>
      <c r="R83" s="15">
        <f t="shared" si="13"/>
        <v>3</v>
      </c>
      <c r="S83" s="15">
        <f t="shared" si="14"/>
        <v>1</v>
      </c>
      <c r="T83" s="15">
        <f t="shared" si="15"/>
        <v>1</v>
      </c>
      <c r="U83" s="15" t="str">
        <f t="shared" si="16"/>
        <v>311</v>
      </c>
      <c r="V83" s="15"/>
      <c r="AE83" s="1">
        <f t="shared" si="17"/>
        <v>0</v>
      </c>
      <c r="AF83" s="1">
        <f t="shared" si="18"/>
        <v>0</v>
      </c>
      <c r="AG83" s="1">
        <f t="shared" si="19"/>
        <v>0</v>
      </c>
    </row>
    <row r="84" spans="1:33" ht="15">
      <c r="A84" s="1">
        <v>1551454</v>
      </c>
      <c r="B84" s="1" t="s">
        <v>36</v>
      </c>
      <c r="C84" s="1" t="s">
        <v>30</v>
      </c>
      <c r="D84" s="15" t="str">
        <f t="shared" si="10"/>
        <v>Black</v>
      </c>
      <c r="E84" s="2">
        <v>36377</v>
      </c>
      <c r="F84" s="1" t="s">
        <v>31</v>
      </c>
      <c r="G84" s="1">
        <v>3</v>
      </c>
      <c r="H84" s="1">
        <v>90034</v>
      </c>
      <c r="I84" s="1">
        <v>94000</v>
      </c>
      <c r="J84" s="1">
        <v>675</v>
      </c>
      <c r="K84" s="1">
        <v>580</v>
      </c>
      <c r="L84" s="1">
        <v>15</v>
      </c>
      <c r="M84" s="1">
        <v>342</v>
      </c>
      <c r="N84" s="1" t="s">
        <v>42</v>
      </c>
      <c r="O84" s="1" t="s">
        <v>48</v>
      </c>
      <c r="P84" s="1">
        <f t="shared" si="11"/>
        <v>5</v>
      </c>
      <c r="Q84" s="1">
        <f t="shared" si="12"/>
        <v>-342</v>
      </c>
      <c r="R84" s="15">
        <f t="shared" si="13"/>
        <v>1</v>
      </c>
      <c r="S84" s="15">
        <f t="shared" si="14"/>
        <v>5</v>
      </c>
      <c r="T84" s="15">
        <f t="shared" si="15"/>
        <v>3</v>
      </c>
      <c r="U84" s="15" t="str">
        <f t="shared" si="16"/>
        <v>153</v>
      </c>
      <c r="V84" s="15"/>
      <c r="AE84" s="1">
        <f t="shared" si="17"/>
        <v>0</v>
      </c>
      <c r="AF84" s="1">
        <f t="shared" si="18"/>
        <v>0</v>
      </c>
      <c r="AG84" s="1">
        <f t="shared" si="19"/>
        <v>0</v>
      </c>
    </row>
    <row r="85" spans="1:33" ht="15">
      <c r="A85" s="1">
        <v>1551735</v>
      </c>
      <c r="B85" s="1" t="s">
        <v>36</v>
      </c>
      <c r="C85" s="1" t="s">
        <v>54</v>
      </c>
      <c r="D85" s="15" t="str">
        <f t="shared" si="10"/>
        <v>Asian</v>
      </c>
      <c r="E85" s="2">
        <v>28030</v>
      </c>
      <c r="F85" s="1" t="s">
        <v>31</v>
      </c>
      <c r="G85" s="1">
        <v>4</v>
      </c>
      <c r="H85" s="1">
        <v>90028</v>
      </c>
      <c r="I85" s="1">
        <v>73000</v>
      </c>
      <c r="J85" s="1">
        <v>107</v>
      </c>
      <c r="K85" s="1">
        <v>148</v>
      </c>
      <c r="L85" s="1">
        <v>4</v>
      </c>
      <c r="M85" s="1">
        <v>214</v>
      </c>
      <c r="N85" s="1" t="s">
        <v>38</v>
      </c>
      <c r="O85" s="1" t="s">
        <v>48</v>
      </c>
      <c r="P85" s="1">
        <f t="shared" si="11"/>
        <v>3</v>
      </c>
      <c r="Q85" s="1">
        <f t="shared" si="12"/>
        <v>-214</v>
      </c>
      <c r="R85" s="15">
        <f t="shared" si="13"/>
        <v>3</v>
      </c>
      <c r="S85" s="15">
        <f t="shared" si="14"/>
        <v>1</v>
      </c>
      <c r="T85" s="15">
        <f t="shared" si="15"/>
        <v>1</v>
      </c>
      <c r="U85" s="15" t="str">
        <f t="shared" si="16"/>
        <v>311</v>
      </c>
      <c r="V85" s="15"/>
      <c r="AE85" s="1">
        <f t="shared" si="17"/>
        <v>0</v>
      </c>
      <c r="AF85" s="1">
        <f t="shared" si="18"/>
        <v>0</v>
      </c>
      <c r="AG85" s="1">
        <f t="shared" si="19"/>
        <v>0</v>
      </c>
    </row>
    <row r="86" spans="1:33" ht="15">
      <c r="A86" s="1">
        <v>1551796</v>
      </c>
      <c r="B86" s="1" t="s">
        <v>36</v>
      </c>
      <c r="C86" s="1" t="s">
        <v>30</v>
      </c>
      <c r="D86" s="15" t="str">
        <f t="shared" si="10"/>
        <v>Black</v>
      </c>
      <c r="E86" s="2">
        <v>22599</v>
      </c>
      <c r="F86" s="1" t="s">
        <v>47</v>
      </c>
      <c r="G86" s="1">
        <v>4</v>
      </c>
      <c r="H86" s="1">
        <v>90045</v>
      </c>
      <c r="I86" s="1">
        <v>46000</v>
      </c>
      <c r="J86" s="1">
        <v>1730</v>
      </c>
      <c r="K86" s="1">
        <v>1206</v>
      </c>
      <c r="L86" s="1">
        <v>19</v>
      </c>
      <c r="M86" s="1">
        <v>159</v>
      </c>
      <c r="N86" s="1" t="s">
        <v>42</v>
      </c>
      <c r="O86" s="1" t="s">
        <v>48</v>
      </c>
      <c r="P86" s="1">
        <f t="shared" si="11"/>
        <v>5</v>
      </c>
      <c r="Q86" s="1">
        <f t="shared" si="12"/>
        <v>-159</v>
      </c>
      <c r="R86" s="15">
        <f t="shared" si="13"/>
        <v>3</v>
      </c>
      <c r="S86" s="15">
        <f t="shared" si="14"/>
        <v>5</v>
      </c>
      <c r="T86" s="15">
        <f t="shared" si="15"/>
        <v>5</v>
      </c>
      <c r="U86" s="15" t="str">
        <f t="shared" si="16"/>
        <v>355</v>
      </c>
      <c r="V86" s="15"/>
      <c r="AE86" s="1">
        <f t="shared" si="17"/>
        <v>0</v>
      </c>
      <c r="AF86" s="1">
        <f t="shared" si="18"/>
        <v>0</v>
      </c>
      <c r="AG86" s="1">
        <f t="shared" si="19"/>
        <v>0</v>
      </c>
    </row>
    <row r="87" spans="1:33" ht="15">
      <c r="A87" s="1">
        <v>1552447</v>
      </c>
      <c r="B87" s="1" t="s">
        <v>29</v>
      </c>
      <c r="C87" s="1" t="s">
        <v>37</v>
      </c>
      <c r="D87" s="15" t="str">
        <f t="shared" si="10"/>
        <v>White</v>
      </c>
      <c r="E87" s="2">
        <v>35247</v>
      </c>
      <c r="F87" s="1" t="s">
        <v>31</v>
      </c>
      <c r="G87" s="1">
        <v>1</v>
      </c>
      <c r="H87" s="1">
        <v>90010</v>
      </c>
      <c r="I87" s="1">
        <v>55000</v>
      </c>
      <c r="J87" s="1">
        <v>312</v>
      </c>
      <c r="K87" s="1">
        <v>602</v>
      </c>
      <c r="L87" s="1">
        <v>5</v>
      </c>
      <c r="M87" s="1">
        <v>200</v>
      </c>
      <c r="N87" s="1" t="s">
        <v>62</v>
      </c>
      <c r="O87" s="1" t="s">
        <v>48</v>
      </c>
      <c r="P87" s="1">
        <f t="shared" si="11"/>
        <v>2</v>
      </c>
      <c r="Q87" s="1">
        <f t="shared" si="12"/>
        <v>-200</v>
      </c>
      <c r="R87" s="15">
        <f t="shared" si="13"/>
        <v>3</v>
      </c>
      <c r="S87" s="15">
        <f t="shared" si="14"/>
        <v>2</v>
      </c>
      <c r="T87" s="15">
        <f t="shared" si="15"/>
        <v>3</v>
      </c>
      <c r="U87" s="15" t="str">
        <f t="shared" si="16"/>
        <v>323</v>
      </c>
      <c r="V87" s="15"/>
      <c r="AE87" s="1">
        <f t="shared" si="17"/>
        <v>0</v>
      </c>
      <c r="AF87" s="1">
        <f t="shared" si="18"/>
        <v>0</v>
      </c>
      <c r="AG87" s="1">
        <f t="shared" si="19"/>
        <v>0</v>
      </c>
    </row>
    <row r="88" spans="1:33" ht="15">
      <c r="A88" s="1">
        <v>1552841</v>
      </c>
      <c r="B88" s="1" t="s">
        <v>29</v>
      </c>
      <c r="C88" s="1" t="s">
        <v>37</v>
      </c>
      <c r="D88" s="15" t="str">
        <f t="shared" si="10"/>
        <v>White</v>
      </c>
      <c r="E88" s="2">
        <v>28017</v>
      </c>
      <c r="F88" s="1" t="s">
        <v>31</v>
      </c>
      <c r="G88" s="1">
        <v>3</v>
      </c>
      <c r="H88" s="1">
        <v>90068</v>
      </c>
      <c r="I88" s="1">
        <v>52000</v>
      </c>
      <c r="J88" s="1">
        <v>860</v>
      </c>
      <c r="K88" s="1">
        <v>582</v>
      </c>
      <c r="L88" s="1">
        <v>12</v>
      </c>
      <c r="M88" s="1">
        <v>218</v>
      </c>
      <c r="N88" s="1" t="s">
        <v>61</v>
      </c>
      <c r="O88" s="1" t="s">
        <v>52</v>
      </c>
      <c r="P88" s="1">
        <f t="shared" si="11"/>
        <v>4</v>
      </c>
      <c r="Q88" s="1">
        <f t="shared" si="12"/>
        <v>-218</v>
      </c>
      <c r="R88" s="15">
        <f t="shared" si="13"/>
        <v>3</v>
      </c>
      <c r="S88" s="15">
        <f t="shared" si="14"/>
        <v>5</v>
      </c>
      <c r="T88" s="15">
        <f t="shared" si="15"/>
        <v>3</v>
      </c>
      <c r="U88" s="15" t="str">
        <f t="shared" si="16"/>
        <v>353</v>
      </c>
      <c r="V88" s="15"/>
      <c r="AE88" s="1">
        <f t="shared" si="17"/>
        <v>0</v>
      </c>
      <c r="AF88" s="1">
        <f t="shared" si="18"/>
        <v>1</v>
      </c>
      <c r="AG88" s="1">
        <f t="shared" si="19"/>
        <v>0</v>
      </c>
    </row>
    <row r="89" spans="1:33" ht="15">
      <c r="A89" s="1">
        <v>1553405</v>
      </c>
      <c r="B89" s="1" t="s">
        <v>29</v>
      </c>
      <c r="C89" s="1" t="s">
        <v>54</v>
      </c>
      <c r="D89" s="15" t="str">
        <f t="shared" si="10"/>
        <v>Asian</v>
      </c>
      <c r="E89" s="2">
        <v>23385</v>
      </c>
      <c r="F89" s="1" t="s">
        <v>31</v>
      </c>
      <c r="G89" s="1">
        <v>1</v>
      </c>
      <c r="H89" s="1">
        <v>90042</v>
      </c>
      <c r="I89" s="1">
        <v>50000</v>
      </c>
      <c r="J89" s="1">
        <v>1566</v>
      </c>
      <c r="K89" s="1">
        <v>1193</v>
      </c>
      <c r="L89" s="1">
        <v>27</v>
      </c>
      <c r="M89" s="1">
        <v>251</v>
      </c>
      <c r="N89" s="1" t="s">
        <v>61</v>
      </c>
      <c r="O89" s="1" t="s">
        <v>33</v>
      </c>
      <c r="P89" s="1">
        <f t="shared" si="11"/>
        <v>4</v>
      </c>
      <c r="Q89" s="1">
        <f t="shared" si="12"/>
        <v>-251</v>
      </c>
      <c r="R89" s="15">
        <f t="shared" si="13"/>
        <v>2</v>
      </c>
      <c r="S89" s="15">
        <f t="shared" si="14"/>
        <v>5</v>
      </c>
      <c r="T89" s="15">
        <f t="shared" si="15"/>
        <v>5</v>
      </c>
      <c r="U89" s="15" t="str">
        <f t="shared" si="16"/>
        <v>255</v>
      </c>
      <c r="V89" s="15"/>
      <c r="AE89" s="1">
        <f t="shared" si="17"/>
        <v>0</v>
      </c>
      <c r="AF89" s="1">
        <f t="shared" si="18"/>
        <v>0</v>
      </c>
      <c r="AG89" s="1">
        <f t="shared" si="19"/>
        <v>1</v>
      </c>
    </row>
    <row r="90" spans="1:33" ht="15">
      <c r="A90" s="1">
        <v>1553430</v>
      </c>
      <c r="B90" s="1" t="s">
        <v>36</v>
      </c>
      <c r="C90" s="1" t="s">
        <v>37</v>
      </c>
      <c r="D90" s="15" t="str">
        <f t="shared" si="10"/>
        <v>White</v>
      </c>
      <c r="E90" s="2">
        <v>19308</v>
      </c>
      <c r="F90" s="1" t="s">
        <v>31</v>
      </c>
      <c r="G90" s="1">
        <v>4</v>
      </c>
      <c r="H90" s="1">
        <v>90044</v>
      </c>
      <c r="I90" s="1">
        <v>77000</v>
      </c>
      <c r="J90" s="1">
        <v>707</v>
      </c>
      <c r="K90" s="1">
        <v>587</v>
      </c>
      <c r="L90" s="1">
        <v>5</v>
      </c>
      <c r="M90" s="1">
        <v>180</v>
      </c>
      <c r="N90" s="1" t="s">
        <v>42</v>
      </c>
      <c r="O90" s="1" t="s">
        <v>52</v>
      </c>
      <c r="P90" s="1">
        <f t="shared" si="11"/>
        <v>5</v>
      </c>
      <c r="Q90" s="1">
        <f t="shared" si="12"/>
        <v>-180</v>
      </c>
      <c r="R90" s="15">
        <f t="shared" si="13"/>
        <v>3</v>
      </c>
      <c r="S90" s="15">
        <f t="shared" si="14"/>
        <v>2</v>
      </c>
      <c r="T90" s="15">
        <f t="shared" si="15"/>
        <v>3</v>
      </c>
      <c r="U90" s="15" t="str">
        <f t="shared" si="16"/>
        <v>323</v>
      </c>
      <c r="V90" s="15"/>
      <c r="AE90" s="1">
        <f t="shared" si="17"/>
        <v>0</v>
      </c>
      <c r="AF90" s="1">
        <f t="shared" si="18"/>
        <v>1</v>
      </c>
      <c r="AG90" s="1">
        <f t="shared" si="19"/>
        <v>0</v>
      </c>
    </row>
    <row r="91" spans="1:33" ht="15">
      <c r="A91" s="1">
        <v>1553530</v>
      </c>
      <c r="B91" s="1" t="s">
        <v>36</v>
      </c>
      <c r="C91" s="1" t="s">
        <v>30</v>
      </c>
      <c r="D91" s="15" t="str">
        <f t="shared" si="10"/>
        <v>Black</v>
      </c>
      <c r="E91" s="2">
        <v>36784</v>
      </c>
      <c r="F91" s="1" t="s">
        <v>31</v>
      </c>
      <c r="G91" s="1">
        <v>5</v>
      </c>
      <c r="H91" s="1">
        <v>90033</v>
      </c>
      <c r="I91" s="1">
        <v>109000</v>
      </c>
      <c r="J91" s="1">
        <v>1028</v>
      </c>
      <c r="K91" s="1">
        <v>1113</v>
      </c>
      <c r="L91" s="1">
        <v>13</v>
      </c>
      <c r="M91" s="1">
        <v>29</v>
      </c>
      <c r="N91" s="1" t="s">
        <v>61</v>
      </c>
      <c r="O91" s="1" t="s">
        <v>48</v>
      </c>
      <c r="P91" s="1">
        <f t="shared" si="11"/>
        <v>4</v>
      </c>
      <c r="Q91" s="1">
        <f t="shared" si="12"/>
        <v>-29</v>
      </c>
      <c r="R91" s="15">
        <f t="shared" si="13"/>
        <v>4</v>
      </c>
      <c r="S91" s="15">
        <f t="shared" si="14"/>
        <v>5</v>
      </c>
      <c r="T91" s="15">
        <f t="shared" si="15"/>
        <v>5</v>
      </c>
      <c r="U91" s="15" t="str">
        <f t="shared" si="16"/>
        <v>455</v>
      </c>
      <c r="V91" s="15"/>
      <c r="AE91" s="1">
        <f t="shared" si="17"/>
        <v>0</v>
      </c>
      <c r="AF91" s="1">
        <f t="shared" si="18"/>
        <v>0</v>
      </c>
      <c r="AG91" s="1">
        <f t="shared" si="19"/>
        <v>0</v>
      </c>
    </row>
    <row r="92" spans="1:33" ht="15">
      <c r="A92" s="1">
        <v>1553559</v>
      </c>
      <c r="B92" s="1" t="s">
        <v>36</v>
      </c>
      <c r="C92" s="1" t="s">
        <v>37</v>
      </c>
      <c r="D92" s="15" t="str">
        <f t="shared" si="10"/>
        <v>White</v>
      </c>
      <c r="E92" s="2">
        <v>35668</v>
      </c>
      <c r="F92" s="1" t="s">
        <v>31</v>
      </c>
      <c r="G92" s="1">
        <v>4</v>
      </c>
      <c r="H92" s="1">
        <v>90065</v>
      </c>
      <c r="I92" s="1">
        <v>68000</v>
      </c>
      <c r="J92" s="1">
        <v>87</v>
      </c>
      <c r="K92" s="1">
        <v>82</v>
      </c>
      <c r="L92" s="1">
        <v>2</v>
      </c>
      <c r="M92" s="1">
        <v>149</v>
      </c>
      <c r="N92" s="1" t="s">
        <v>62</v>
      </c>
      <c r="O92" s="1" t="s">
        <v>33</v>
      </c>
      <c r="P92" s="1">
        <f t="shared" si="11"/>
        <v>2</v>
      </c>
      <c r="Q92" s="1">
        <f t="shared" si="12"/>
        <v>-149</v>
      </c>
      <c r="R92" s="15">
        <f t="shared" si="13"/>
        <v>3</v>
      </c>
      <c r="S92" s="15">
        <f t="shared" si="14"/>
        <v>1</v>
      </c>
      <c r="T92" s="15">
        <f t="shared" si="15"/>
        <v>1</v>
      </c>
      <c r="U92" s="15" t="str">
        <f t="shared" si="16"/>
        <v>311</v>
      </c>
      <c r="V92" s="15"/>
      <c r="AE92" s="1">
        <f t="shared" si="17"/>
        <v>0</v>
      </c>
      <c r="AF92" s="1">
        <f t="shared" si="18"/>
        <v>0</v>
      </c>
      <c r="AG92" s="1">
        <f t="shared" si="19"/>
        <v>1</v>
      </c>
    </row>
    <row r="93" spans="1:33" ht="15">
      <c r="A93" s="1">
        <v>1553637</v>
      </c>
      <c r="B93" s="1" t="s">
        <v>36</v>
      </c>
      <c r="C93" s="1" t="s">
        <v>30</v>
      </c>
      <c r="D93" s="15" t="str">
        <f t="shared" si="10"/>
        <v>Black</v>
      </c>
      <c r="E93" s="2">
        <v>21424</v>
      </c>
      <c r="F93" s="1" t="s">
        <v>31</v>
      </c>
      <c r="G93" s="1">
        <v>5</v>
      </c>
      <c r="H93" s="1">
        <v>90002</v>
      </c>
      <c r="I93" s="1">
        <v>57000</v>
      </c>
      <c r="J93" s="1">
        <v>547</v>
      </c>
      <c r="K93" s="1">
        <v>900</v>
      </c>
      <c r="L93" s="1">
        <v>15</v>
      </c>
      <c r="M93" s="1">
        <v>158</v>
      </c>
      <c r="N93" s="1" t="s">
        <v>61</v>
      </c>
      <c r="O93" s="1" t="s">
        <v>33</v>
      </c>
      <c r="P93" s="1">
        <f t="shared" si="11"/>
        <v>4</v>
      </c>
      <c r="Q93" s="1">
        <f t="shared" si="12"/>
        <v>-158</v>
      </c>
      <c r="R93" s="15">
        <f t="shared" si="13"/>
        <v>3</v>
      </c>
      <c r="S93" s="15">
        <f t="shared" si="14"/>
        <v>5</v>
      </c>
      <c r="T93" s="15">
        <f t="shared" si="15"/>
        <v>5</v>
      </c>
      <c r="U93" s="15" t="str">
        <f t="shared" si="16"/>
        <v>355</v>
      </c>
      <c r="V93" s="15"/>
      <c r="AE93" s="1">
        <f t="shared" si="17"/>
        <v>0</v>
      </c>
      <c r="AF93" s="1">
        <f t="shared" si="18"/>
        <v>0</v>
      </c>
      <c r="AG93" s="1">
        <f t="shared" si="19"/>
        <v>1</v>
      </c>
    </row>
    <row r="94" spans="1:33" ht="15">
      <c r="A94" s="1">
        <v>1553660</v>
      </c>
      <c r="B94" s="1" t="s">
        <v>29</v>
      </c>
      <c r="C94" s="1" t="s">
        <v>37</v>
      </c>
      <c r="D94" s="15" t="str">
        <f t="shared" si="10"/>
        <v>White</v>
      </c>
      <c r="E94" s="2">
        <v>32357</v>
      </c>
      <c r="F94" s="1" t="s">
        <v>31</v>
      </c>
      <c r="G94" s="1">
        <v>2</v>
      </c>
      <c r="H94" s="1">
        <v>90023</v>
      </c>
      <c r="I94" s="1">
        <v>47000</v>
      </c>
      <c r="J94" s="1">
        <v>698</v>
      </c>
      <c r="K94" s="1">
        <v>745</v>
      </c>
      <c r="L94" s="1">
        <v>5</v>
      </c>
      <c r="M94" s="1">
        <v>160</v>
      </c>
      <c r="N94" s="1" t="s">
        <v>61</v>
      </c>
      <c r="O94" s="1" t="s">
        <v>33</v>
      </c>
      <c r="P94" s="1">
        <f t="shared" si="11"/>
        <v>4</v>
      </c>
      <c r="Q94" s="1">
        <f t="shared" si="12"/>
        <v>-160</v>
      </c>
      <c r="R94" s="15">
        <f t="shared" si="13"/>
        <v>3</v>
      </c>
      <c r="S94" s="15">
        <f t="shared" si="14"/>
        <v>2</v>
      </c>
      <c r="T94" s="15">
        <f t="shared" si="15"/>
        <v>3</v>
      </c>
      <c r="U94" s="15" t="str">
        <f t="shared" si="16"/>
        <v>323</v>
      </c>
      <c r="V94" s="15"/>
      <c r="AE94" s="1">
        <f t="shared" si="17"/>
        <v>0</v>
      </c>
      <c r="AF94" s="1">
        <f t="shared" si="18"/>
        <v>0</v>
      </c>
      <c r="AG94" s="1">
        <f t="shared" si="19"/>
        <v>1</v>
      </c>
    </row>
    <row r="95" spans="1:33" ht="15">
      <c r="A95" s="1">
        <v>1553692</v>
      </c>
      <c r="B95" s="1" t="s">
        <v>36</v>
      </c>
      <c r="C95" s="1" t="s">
        <v>46</v>
      </c>
      <c r="D95" s="15" t="str">
        <f t="shared" si="10"/>
        <v>Hispanic</v>
      </c>
      <c r="E95" s="2">
        <v>34812</v>
      </c>
      <c r="F95" s="1" t="s">
        <v>47</v>
      </c>
      <c r="G95" s="1">
        <v>4</v>
      </c>
      <c r="H95" s="1">
        <v>90019</v>
      </c>
      <c r="I95" s="1">
        <v>70000</v>
      </c>
      <c r="J95" s="1">
        <v>63</v>
      </c>
      <c r="K95" s="1">
        <v>60</v>
      </c>
      <c r="L95" s="1">
        <v>1</v>
      </c>
      <c r="M95" s="1">
        <v>288</v>
      </c>
      <c r="N95" s="1" t="s">
        <v>42</v>
      </c>
      <c r="O95" s="1" t="s">
        <v>48</v>
      </c>
      <c r="P95" s="1">
        <f t="shared" si="11"/>
        <v>5</v>
      </c>
      <c r="Q95" s="1">
        <f t="shared" si="12"/>
        <v>-288</v>
      </c>
      <c r="R95" s="15">
        <f t="shared" si="13"/>
        <v>2</v>
      </c>
      <c r="S95" s="15">
        <f t="shared" si="14"/>
        <v>1</v>
      </c>
      <c r="T95" s="15">
        <f t="shared" si="15"/>
        <v>1</v>
      </c>
      <c r="U95" s="15" t="str">
        <f t="shared" si="16"/>
        <v>211</v>
      </c>
      <c r="V95" s="15"/>
      <c r="AE95" s="1">
        <f t="shared" si="17"/>
        <v>0</v>
      </c>
      <c r="AF95" s="1">
        <f t="shared" si="18"/>
        <v>0</v>
      </c>
      <c r="AG95" s="1">
        <f t="shared" si="19"/>
        <v>0</v>
      </c>
    </row>
    <row r="96" spans="1:33" ht="15">
      <c r="A96" s="1">
        <v>1553737</v>
      </c>
      <c r="B96" s="1" t="s">
        <v>29</v>
      </c>
      <c r="C96" s="1" t="s">
        <v>46</v>
      </c>
      <c r="D96" s="15" t="str">
        <f t="shared" si="10"/>
        <v>Hispanic</v>
      </c>
      <c r="E96" s="2">
        <v>29087</v>
      </c>
      <c r="F96" s="1" t="s">
        <v>31</v>
      </c>
      <c r="G96" s="1">
        <v>5</v>
      </c>
      <c r="H96" s="1">
        <v>90052</v>
      </c>
      <c r="I96" s="1">
        <v>83000</v>
      </c>
      <c r="J96" s="1">
        <v>1210</v>
      </c>
      <c r="K96" s="1">
        <v>867</v>
      </c>
      <c r="L96" s="1">
        <v>16</v>
      </c>
      <c r="M96" s="1">
        <v>95</v>
      </c>
      <c r="N96" s="1" t="s">
        <v>38</v>
      </c>
      <c r="O96" s="1" t="s">
        <v>39</v>
      </c>
      <c r="P96" s="1">
        <f t="shared" si="11"/>
        <v>3</v>
      </c>
      <c r="Q96" s="1">
        <f t="shared" si="12"/>
        <v>-95</v>
      </c>
      <c r="R96" s="15">
        <f t="shared" si="13"/>
        <v>4</v>
      </c>
      <c r="S96" s="15">
        <f t="shared" si="14"/>
        <v>5</v>
      </c>
      <c r="T96" s="15">
        <f t="shared" si="15"/>
        <v>5</v>
      </c>
      <c r="U96" s="15" t="str">
        <f t="shared" si="16"/>
        <v>455</v>
      </c>
      <c r="V96" s="15"/>
      <c r="AE96" s="1">
        <f t="shared" si="17"/>
        <v>1</v>
      </c>
      <c r="AF96" s="1">
        <f t="shared" si="18"/>
        <v>0</v>
      </c>
      <c r="AG96" s="1">
        <f t="shared" si="19"/>
        <v>0</v>
      </c>
    </row>
    <row r="97" spans="1:33" ht="15">
      <c r="A97" s="1">
        <v>1553843</v>
      </c>
      <c r="B97" s="1" t="s">
        <v>36</v>
      </c>
      <c r="C97" s="1" t="s">
        <v>37</v>
      </c>
      <c r="D97" s="15" t="str">
        <f t="shared" si="10"/>
        <v>White</v>
      </c>
      <c r="E97" s="2">
        <v>29538</v>
      </c>
      <c r="F97" s="1" t="s">
        <v>31</v>
      </c>
      <c r="G97" s="1">
        <v>5</v>
      </c>
      <c r="H97" s="1">
        <v>90014</v>
      </c>
      <c r="I97" s="1">
        <v>136000</v>
      </c>
      <c r="J97" s="1">
        <v>363</v>
      </c>
      <c r="K97" s="1">
        <v>289</v>
      </c>
      <c r="L97" s="1">
        <v>4</v>
      </c>
      <c r="M97" s="1">
        <v>89</v>
      </c>
      <c r="N97" s="1" t="s">
        <v>61</v>
      </c>
      <c r="O97" s="1" t="s">
        <v>48</v>
      </c>
      <c r="P97" s="1">
        <f t="shared" si="11"/>
        <v>4</v>
      </c>
      <c r="Q97" s="1">
        <f t="shared" si="12"/>
        <v>-89</v>
      </c>
      <c r="R97" s="15">
        <f t="shared" si="13"/>
        <v>4</v>
      </c>
      <c r="S97" s="15">
        <f t="shared" si="14"/>
        <v>1</v>
      </c>
      <c r="T97" s="15">
        <f t="shared" si="15"/>
        <v>1</v>
      </c>
      <c r="U97" s="15" t="str">
        <f t="shared" si="16"/>
        <v>411</v>
      </c>
      <c r="V97" s="15"/>
      <c r="AE97" s="1">
        <f t="shared" si="17"/>
        <v>0</v>
      </c>
      <c r="AF97" s="1">
        <f t="shared" si="18"/>
        <v>0</v>
      </c>
      <c r="AG97" s="1">
        <f t="shared" si="19"/>
        <v>0</v>
      </c>
    </row>
    <row r="98" spans="1:33" ht="15">
      <c r="A98" s="1">
        <v>1553952</v>
      </c>
      <c r="B98" s="1" t="s">
        <v>36</v>
      </c>
      <c r="C98" s="1" t="s">
        <v>30</v>
      </c>
      <c r="D98" s="15" t="str">
        <f t="shared" si="10"/>
        <v>Black</v>
      </c>
      <c r="E98" s="2">
        <v>30920</v>
      </c>
      <c r="F98" s="1" t="s">
        <v>47</v>
      </c>
      <c r="G98" s="1">
        <v>5</v>
      </c>
      <c r="H98" s="1">
        <v>90060</v>
      </c>
      <c r="I98" s="1">
        <v>43000</v>
      </c>
      <c r="J98" s="1">
        <v>771</v>
      </c>
      <c r="K98" s="1">
        <v>1250</v>
      </c>
      <c r="L98" s="1">
        <v>20</v>
      </c>
      <c r="M98" s="1">
        <v>267</v>
      </c>
      <c r="N98" s="1" t="s">
        <v>61</v>
      </c>
      <c r="O98" s="1" t="s">
        <v>39</v>
      </c>
      <c r="P98" s="1">
        <f t="shared" si="11"/>
        <v>4</v>
      </c>
      <c r="Q98" s="1">
        <f t="shared" si="12"/>
        <v>-267</v>
      </c>
      <c r="R98" s="15">
        <f t="shared" si="13"/>
        <v>2</v>
      </c>
      <c r="S98" s="15">
        <f t="shared" si="14"/>
        <v>5</v>
      </c>
      <c r="T98" s="15">
        <f t="shared" si="15"/>
        <v>5</v>
      </c>
      <c r="U98" s="15" t="str">
        <f t="shared" si="16"/>
        <v>255</v>
      </c>
      <c r="V98" s="15"/>
      <c r="AE98" s="1">
        <f t="shared" si="17"/>
        <v>1</v>
      </c>
      <c r="AF98" s="1">
        <f t="shared" si="18"/>
        <v>0</v>
      </c>
      <c r="AG98" s="1">
        <f t="shared" si="19"/>
        <v>0</v>
      </c>
    </row>
    <row r="99" spans="1:33" ht="15">
      <c r="A99" s="1">
        <v>1554342</v>
      </c>
      <c r="B99" s="1" t="s">
        <v>36</v>
      </c>
      <c r="C99" s="1" t="s">
        <v>46</v>
      </c>
      <c r="D99" s="15" t="str">
        <f t="shared" si="10"/>
        <v>Hispanic</v>
      </c>
      <c r="E99" s="2">
        <v>25511</v>
      </c>
      <c r="F99" s="1" t="s">
        <v>31</v>
      </c>
      <c r="G99" s="1">
        <v>1</v>
      </c>
      <c r="H99" s="1">
        <v>90018</v>
      </c>
      <c r="I99" s="1">
        <v>97000</v>
      </c>
      <c r="J99" s="1">
        <v>1495</v>
      </c>
      <c r="K99" s="1">
        <v>1126</v>
      </c>
      <c r="L99" s="1">
        <v>26</v>
      </c>
      <c r="M99" s="1">
        <v>313</v>
      </c>
      <c r="N99" s="1" t="s">
        <v>62</v>
      </c>
      <c r="O99" s="1" t="s">
        <v>39</v>
      </c>
      <c r="P99" s="1">
        <f t="shared" si="11"/>
        <v>2</v>
      </c>
      <c r="Q99" s="1">
        <f t="shared" si="12"/>
        <v>-313</v>
      </c>
      <c r="R99" s="15">
        <f t="shared" si="13"/>
        <v>1</v>
      </c>
      <c r="S99" s="15">
        <f t="shared" si="14"/>
        <v>5</v>
      </c>
      <c r="T99" s="15">
        <f t="shared" si="15"/>
        <v>5</v>
      </c>
      <c r="U99" s="15" t="str">
        <f t="shared" si="16"/>
        <v>155</v>
      </c>
      <c r="V99" s="15"/>
      <c r="AE99" s="1">
        <f t="shared" si="17"/>
        <v>1</v>
      </c>
      <c r="AF99" s="1">
        <f t="shared" si="18"/>
        <v>0</v>
      </c>
      <c r="AG99" s="1">
        <f t="shared" si="19"/>
        <v>0</v>
      </c>
    </row>
    <row r="100" spans="1:33" ht="15">
      <c r="A100" s="1">
        <v>1554589</v>
      </c>
      <c r="B100" s="1" t="s">
        <v>36</v>
      </c>
      <c r="C100" s="1" t="s">
        <v>54</v>
      </c>
      <c r="D100" s="15" t="str">
        <f t="shared" si="10"/>
        <v>Asian</v>
      </c>
      <c r="E100" s="2">
        <v>34962</v>
      </c>
      <c r="F100" s="1" t="s">
        <v>47</v>
      </c>
      <c r="G100" s="1">
        <v>2</v>
      </c>
      <c r="H100" s="1">
        <v>90030</v>
      </c>
      <c r="I100" s="1">
        <v>56000</v>
      </c>
      <c r="J100" s="1">
        <v>1489</v>
      </c>
      <c r="K100" s="1">
        <v>1226</v>
      </c>
      <c r="L100" s="1">
        <v>12</v>
      </c>
      <c r="M100" s="1">
        <v>12</v>
      </c>
      <c r="N100" s="1" t="s">
        <v>61</v>
      </c>
      <c r="O100" s="1" t="s">
        <v>39</v>
      </c>
      <c r="P100" s="1">
        <f t="shared" si="11"/>
        <v>4</v>
      </c>
      <c r="Q100" s="1">
        <f t="shared" si="12"/>
        <v>-12</v>
      </c>
      <c r="R100" s="15">
        <f t="shared" si="13"/>
        <v>4</v>
      </c>
      <c r="S100" s="15">
        <f t="shared" si="14"/>
        <v>5</v>
      </c>
      <c r="T100" s="15">
        <f t="shared" si="15"/>
        <v>5</v>
      </c>
      <c r="U100" s="15" t="str">
        <f t="shared" si="16"/>
        <v>455</v>
      </c>
      <c r="V100" s="15"/>
      <c r="AE100" s="1">
        <f t="shared" si="17"/>
        <v>1</v>
      </c>
      <c r="AF100" s="1">
        <f t="shared" si="18"/>
        <v>0</v>
      </c>
      <c r="AG100" s="1">
        <f t="shared" si="19"/>
        <v>0</v>
      </c>
    </row>
    <row r="101" spans="1:33" ht="15">
      <c r="A101" s="1">
        <v>1555143</v>
      </c>
      <c r="B101" s="1" t="s">
        <v>36</v>
      </c>
      <c r="C101" s="1" t="s">
        <v>54</v>
      </c>
      <c r="D101" s="15" t="str">
        <f t="shared" si="10"/>
        <v>Asian</v>
      </c>
      <c r="E101" s="2">
        <v>27677</v>
      </c>
      <c r="F101" s="1" t="s">
        <v>31</v>
      </c>
      <c r="G101" s="1">
        <v>1</v>
      </c>
      <c r="H101" s="1">
        <v>90059</v>
      </c>
      <c r="I101" s="1">
        <v>84000</v>
      </c>
      <c r="J101" s="1">
        <v>870</v>
      </c>
      <c r="K101" s="1">
        <v>950</v>
      </c>
      <c r="L101" s="1">
        <v>18</v>
      </c>
      <c r="M101" s="1">
        <v>211</v>
      </c>
      <c r="N101" s="1" t="s">
        <v>62</v>
      </c>
      <c r="O101" s="1" t="s">
        <v>48</v>
      </c>
      <c r="P101" s="1">
        <f t="shared" si="11"/>
        <v>2</v>
      </c>
      <c r="Q101" s="1">
        <f t="shared" si="12"/>
        <v>-211</v>
      </c>
      <c r="R101" s="15">
        <f t="shared" si="13"/>
        <v>3</v>
      </c>
      <c r="S101" s="15">
        <f t="shared" si="14"/>
        <v>5</v>
      </c>
      <c r="T101" s="15">
        <f t="shared" si="15"/>
        <v>5</v>
      </c>
      <c r="U101" s="15" t="str">
        <f t="shared" si="16"/>
        <v>355</v>
      </c>
      <c r="V101" s="15"/>
      <c r="AE101" s="1">
        <f t="shared" si="17"/>
        <v>0</v>
      </c>
      <c r="AF101" s="1">
        <f t="shared" si="18"/>
        <v>0</v>
      </c>
      <c r="AG101" s="1">
        <f t="shared" si="19"/>
        <v>0</v>
      </c>
    </row>
    <row r="102" spans="1:33" ht="15">
      <c r="A102" s="1">
        <v>1555266</v>
      </c>
      <c r="B102" s="1" t="s">
        <v>36</v>
      </c>
      <c r="C102" s="1" t="s">
        <v>37</v>
      </c>
      <c r="D102" s="15" t="str">
        <f t="shared" si="10"/>
        <v>White</v>
      </c>
      <c r="E102" s="2">
        <v>36254</v>
      </c>
      <c r="F102" s="1" t="s">
        <v>31</v>
      </c>
      <c r="G102" s="1">
        <v>3</v>
      </c>
      <c r="H102" s="1">
        <v>90063</v>
      </c>
      <c r="I102" s="1">
        <v>50000</v>
      </c>
      <c r="J102" s="1">
        <v>324</v>
      </c>
      <c r="K102" s="1">
        <v>482</v>
      </c>
      <c r="L102" s="1">
        <v>11</v>
      </c>
      <c r="M102" s="1">
        <v>130</v>
      </c>
      <c r="N102" s="1" t="s">
        <v>61</v>
      </c>
      <c r="O102" s="1" t="s">
        <v>33</v>
      </c>
      <c r="P102" s="1">
        <f t="shared" si="11"/>
        <v>4</v>
      </c>
      <c r="Q102" s="1">
        <f t="shared" si="12"/>
        <v>-130</v>
      </c>
      <c r="R102" s="15">
        <f t="shared" si="13"/>
        <v>4</v>
      </c>
      <c r="S102" s="15">
        <f t="shared" si="14"/>
        <v>3</v>
      </c>
      <c r="T102" s="15">
        <f t="shared" si="15"/>
        <v>2</v>
      </c>
      <c r="U102" s="15" t="str">
        <f t="shared" si="16"/>
        <v>432</v>
      </c>
      <c r="V102" s="15"/>
      <c r="AE102" s="1">
        <f t="shared" si="17"/>
        <v>0</v>
      </c>
      <c r="AF102" s="1">
        <f t="shared" si="18"/>
        <v>0</v>
      </c>
      <c r="AG102" s="1">
        <f t="shared" si="19"/>
        <v>1</v>
      </c>
    </row>
    <row r="103" spans="1:33" ht="15">
      <c r="A103" s="1">
        <v>1555356</v>
      </c>
      <c r="B103" s="1" t="s">
        <v>36</v>
      </c>
      <c r="C103" s="1" t="s">
        <v>46</v>
      </c>
      <c r="D103" s="15" t="str">
        <f t="shared" si="10"/>
        <v>Hispanic</v>
      </c>
      <c r="E103" s="2">
        <v>31993</v>
      </c>
      <c r="F103" s="1" t="s">
        <v>31</v>
      </c>
      <c r="G103" s="1">
        <v>3</v>
      </c>
      <c r="H103" s="1">
        <v>90028</v>
      </c>
      <c r="I103" s="1">
        <v>89000</v>
      </c>
      <c r="J103" s="1">
        <v>899</v>
      </c>
      <c r="K103" s="1">
        <v>1004</v>
      </c>
      <c r="L103" s="1">
        <v>16</v>
      </c>
      <c r="M103" s="1">
        <v>132</v>
      </c>
      <c r="N103" s="1" t="s">
        <v>61</v>
      </c>
      <c r="O103" s="1" t="s">
        <v>48</v>
      </c>
      <c r="P103" s="1">
        <f t="shared" si="11"/>
        <v>4</v>
      </c>
      <c r="Q103" s="1">
        <f t="shared" si="12"/>
        <v>-132</v>
      </c>
      <c r="R103" s="15">
        <f t="shared" si="13"/>
        <v>4</v>
      </c>
      <c r="S103" s="15">
        <f t="shared" si="14"/>
        <v>5</v>
      </c>
      <c r="T103" s="15">
        <f t="shared" si="15"/>
        <v>5</v>
      </c>
      <c r="U103" s="15" t="str">
        <f t="shared" si="16"/>
        <v>455</v>
      </c>
      <c r="V103" s="15"/>
      <c r="AE103" s="1">
        <f t="shared" si="17"/>
        <v>0</v>
      </c>
      <c r="AF103" s="1">
        <f t="shared" si="18"/>
        <v>0</v>
      </c>
      <c r="AG103" s="1">
        <f t="shared" si="19"/>
        <v>0</v>
      </c>
    </row>
    <row r="104" spans="1:33" ht="15">
      <c r="A104" s="1">
        <v>1555414</v>
      </c>
      <c r="B104" s="1" t="s">
        <v>36</v>
      </c>
      <c r="C104" s="1" t="s">
        <v>37</v>
      </c>
      <c r="D104" s="15" t="str">
        <f t="shared" si="10"/>
        <v>White</v>
      </c>
      <c r="E104" s="2">
        <v>20523</v>
      </c>
      <c r="F104" s="1" t="s">
        <v>47</v>
      </c>
      <c r="G104" s="1">
        <v>5</v>
      </c>
      <c r="H104" s="1">
        <v>90031</v>
      </c>
      <c r="I104" s="1">
        <v>109000</v>
      </c>
      <c r="J104" s="1">
        <v>652</v>
      </c>
      <c r="K104" s="1">
        <v>1046</v>
      </c>
      <c r="L104" s="1">
        <v>10</v>
      </c>
      <c r="M104" s="1">
        <v>351</v>
      </c>
      <c r="N104" s="1" t="s">
        <v>38</v>
      </c>
      <c r="O104" s="1" t="s">
        <v>33</v>
      </c>
      <c r="P104" s="1">
        <f t="shared" si="11"/>
        <v>3</v>
      </c>
      <c r="Q104" s="1">
        <f t="shared" si="12"/>
        <v>-351</v>
      </c>
      <c r="R104" s="15">
        <f t="shared" si="13"/>
        <v>1</v>
      </c>
      <c r="S104" s="15">
        <f t="shared" si="14"/>
        <v>3</v>
      </c>
      <c r="T104" s="15">
        <f t="shared" si="15"/>
        <v>5</v>
      </c>
      <c r="U104" s="15" t="str">
        <f t="shared" si="16"/>
        <v>135</v>
      </c>
      <c r="V104" s="15"/>
      <c r="AE104" s="1">
        <f t="shared" si="17"/>
        <v>0</v>
      </c>
      <c r="AF104" s="1">
        <f t="shared" si="18"/>
        <v>0</v>
      </c>
      <c r="AG104" s="1">
        <f t="shared" si="19"/>
        <v>1</v>
      </c>
    </row>
    <row r="105" spans="1:33" ht="15">
      <c r="A105" s="1">
        <v>1555438</v>
      </c>
      <c r="B105" s="1" t="s">
        <v>29</v>
      </c>
      <c r="C105" s="1" t="s">
        <v>37</v>
      </c>
      <c r="D105" s="15" t="str">
        <f t="shared" si="10"/>
        <v>White</v>
      </c>
      <c r="E105" s="2">
        <v>24128</v>
      </c>
      <c r="F105" s="1" t="s">
        <v>31</v>
      </c>
      <c r="G105" s="1">
        <v>5</v>
      </c>
      <c r="H105" s="1">
        <v>90016</v>
      </c>
      <c r="I105" s="1">
        <v>65000</v>
      </c>
      <c r="J105" s="1">
        <v>637</v>
      </c>
      <c r="K105" s="1">
        <v>728</v>
      </c>
      <c r="L105" s="1">
        <v>12</v>
      </c>
      <c r="M105" s="1">
        <v>22</v>
      </c>
      <c r="N105" s="1" t="s">
        <v>62</v>
      </c>
      <c r="O105" s="1" t="s">
        <v>48</v>
      </c>
      <c r="P105" s="1">
        <f t="shared" si="11"/>
        <v>2</v>
      </c>
      <c r="Q105" s="1">
        <f t="shared" si="12"/>
        <v>-22</v>
      </c>
      <c r="R105" s="15">
        <f t="shared" si="13"/>
        <v>4</v>
      </c>
      <c r="S105" s="15">
        <f t="shared" si="14"/>
        <v>5</v>
      </c>
      <c r="T105" s="15">
        <f t="shared" si="15"/>
        <v>3</v>
      </c>
      <c r="U105" s="15" t="str">
        <f t="shared" si="16"/>
        <v>453</v>
      </c>
      <c r="V105" s="15"/>
      <c r="AE105" s="1">
        <f t="shared" si="17"/>
        <v>0</v>
      </c>
      <c r="AF105" s="1">
        <f t="shared" si="18"/>
        <v>0</v>
      </c>
      <c r="AG105" s="1">
        <f t="shared" si="19"/>
        <v>0</v>
      </c>
    </row>
    <row r="106" spans="1:33" ht="15">
      <c r="A106" s="1">
        <v>1555539</v>
      </c>
      <c r="B106" s="1" t="s">
        <v>29</v>
      </c>
      <c r="C106" s="1" t="s">
        <v>30</v>
      </c>
      <c r="D106" s="15" t="str">
        <f t="shared" si="10"/>
        <v>Black</v>
      </c>
      <c r="E106" s="2">
        <v>29747</v>
      </c>
      <c r="F106" s="1" t="s">
        <v>31</v>
      </c>
      <c r="G106" s="1">
        <v>2</v>
      </c>
      <c r="H106" s="1">
        <v>90061</v>
      </c>
      <c r="I106" s="1">
        <v>41000</v>
      </c>
      <c r="J106" s="1">
        <v>913</v>
      </c>
      <c r="K106" s="1">
        <v>1182</v>
      </c>
      <c r="L106" s="1">
        <v>8</v>
      </c>
      <c r="M106" s="1">
        <v>301</v>
      </c>
      <c r="N106" s="1" t="s">
        <v>42</v>
      </c>
      <c r="O106" s="1" t="s">
        <v>39</v>
      </c>
      <c r="P106" s="1">
        <f t="shared" si="11"/>
        <v>5</v>
      </c>
      <c r="Q106" s="1">
        <f t="shared" si="12"/>
        <v>-301</v>
      </c>
      <c r="R106" s="15">
        <f t="shared" si="13"/>
        <v>1</v>
      </c>
      <c r="S106" s="15">
        <f t="shared" si="14"/>
        <v>3</v>
      </c>
      <c r="T106" s="15">
        <f t="shared" si="15"/>
        <v>5</v>
      </c>
      <c r="U106" s="15" t="str">
        <f t="shared" si="16"/>
        <v>135</v>
      </c>
      <c r="V106" s="15"/>
      <c r="AE106" s="1">
        <f t="shared" si="17"/>
        <v>1</v>
      </c>
      <c r="AF106" s="1">
        <f t="shared" si="18"/>
        <v>0</v>
      </c>
      <c r="AG106" s="1">
        <f t="shared" si="19"/>
        <v>0</v>
      </c>
    </row>
    <row r="107" spans="1:33" ht="15">
      <c r="A107" s="1">
        <v>1555659</v>
      </c>
      <c r="B107" s="1" t="s">
        <v>29</v>
      </c>
      <c r="C107" s="1" t="s">
        <v>30</v>
      </c>
      <c r="D107" s="15" t="str">
        <f t="shared" si="10"/>
        <v>Black</v>
      </c>
      <c r="E107" s="2">
        <v>34564</v>
      </c>
      <c r="F107" s="1" t="s">
        <v>31</v>
      </c>
      <c r="G107" s="1">
        <v>3</v>
      </c>
      <c r="H107" s="1">
        <v>90029</v>
      </c>
      <c r="I107" s="1">
        <v>42000</v>
      </c>
      <c r="J107" s="1">
        <v>1456</v>
      </c>
      <c r="K107" s="1">
        <v>1101</v>
      </c>
      <c r="L107" s="1">
        <v>11</v>
      </c>
      <c r="M107" s="1">
        <v>38</v>
      </c>
      <c r="N107" s="1" t="s">
        <v>42</v>
      </c>
      <c r="O107" s="1" t="s">
        <v>39</v>
      </c>
      <c r="P107" s="1">
        <f t="shared" si="11"/>
        <v>5</v>
      </c>
      <c r="Q107" s="1">
        <f t="shared" si="12"/>
        <v>-38</v>
      </c>
      <c r="R107" s="15">
        <f t="shared" si="13"/>
        <v>4</v>
      </c>
      <c r="S107" s="15">
        <f t="shared" si="14"/>
        <v>3</v>
      </c>
      <c r="T107" s="15">
        <f t="shared" si="15"/>
        <v>5</v>
      </c>
      <c r="U107" s="15" t="str">
        <f t="shared" si="16"/>
        <v>435</v>
      </c>
      <c r="V107" s="15"/>
      <c r="AE107" s="1">
        <f t="shared" si="17"/>
        <v>1</v>
      </c>
      <c r="AF107" s="1">
        <f t="shared" si="18"/>
        <v>0</v>
      </c>
      <c r="AG107" s="1">
        <f t="shared" si="19"/>
        <v>0</v>
      </c>
    </row>
    <row r="108" spans="1:33" ht="15">
      <c r="A108" s="1">
        <v>1555979</v>
      </c>
      <c r="B108" s="1" t="s">
        <v>36</v>
      </c>
      <c r="C108" s="1" t="s">
        <v>37</v>
      </c>
      <c r="D108" s="15" t="str">
        <f t="shared" si="10"/>
        <v>White</v>
      </c>
      <c r="E108" s="2">
        <v>20476</v>
      </c>
      <c r="F108" s="1" t="s">
        <v>31</v>
      </c>
      <c r="G108" s="1">
        <v>2</v>
      </c>
      <c r="H108" s="1">
        <v>90055</v>
      </c>
      <c r="I108" s="1">
        <v>69000</v>
      </c>
      <c r="J108" s="1">
        <v>636</v>
      </c>
      <c r="K108" s="1">
        <v>706</v>
      </c>
      <c r="L108" s="1">
        <v>12</v>
      </c>
      <c r="M108" s="1">
        <v>67</v>
      </c>
      <c r="N108" s="1" t="s">
        <v>61</v>
      </c>
      <c r="O108" s="1" t="s">
        <v>39</v>
      </c>
      <c r="P108" s="1">
        <f t="shared" si="11"/>
        <v>4</v>
      </c>
      <c r="Q108" s="1">
        <f t="shared" si="12"/>
        <v>-67</v>
      </c>
      <c r="R108" s="15">
        <f t="shared" si="13"/>
        <v>4</v>
      </c>
      <c r="S108" s="15">
        <f t="shared" si="14"/>
        <v>5</v>
      </c>
      <c r="T108" s="15">
        <f t="shared" si="15"/>
        <v>3</v>
      </c>
      <c r="U108" s="15" t="str">
        <f t="shared" si="16"/>
        <v>453</v>
      </c>
      <c r="V108" s="15"/>
      <c r="AE108" s="1">
        <f t="shared" si="17"/>
        <v>1</v>
      </c>
      <c r="AF108" s="1">
        <f t="shared" si="18"/>
        <v>0</v>
      </c>
      <c r="AG108" s="1">
        <f t="shared" si="19"/>
        <v>0</v>
      </c>
    </row>
    <row r="109" spans="1:33" ht="15">
      <c r="A109" s="1">
        <v>1556518</v>
      </c>
      <c r="B109" s="1" t="s">
        <v>29</v>
      </c>
      <c r="C109" s="1" t="s">
        <v>37</v>
      </c>
      <c r="D109" s="15" t="str">
        <f t="shared" si="10"/>
        <v>White</v>
      </c>
      <c r="E109" s="2">
        <v>35241</v>
      </c>
      <c r="F109" s="1" t="s">
        <v>31</v>
      </c>
      <c r="G109" s="1">
        <v>5</v>
      </c>
      <c r="H109" s="1">
        <v>90025</v>
      </c>
      <c r="I109" s="1">
        <v>62000</v>
      </c>
      <c r="J109" s="1">
        <v>794</v>
      </c>
      <c r="K109" s="1">
        <v>724</v>
      </c>
      <c r="L109" s="1">
        <v>19</v>
      </c>
      <c r="M109" s="1">
        <v>305</v>
      </c>
      <c r="N109" s="1" t="s">
        <v>61</v>
      </c>
      <c r="O109" s="1" t="s">
        <v>52</v>
      </c>
      <c r="P109" s="1">
        <f t="shared" si="11"/>
        <v>4</v>
      </c>
      <c r="Q109" s="1">
        <f t="shared" si="12"/>
        <v>-305</v>
      </c>
      <c r="R109" s="15">
        <f t="shared" si="13"/>
        <v>1</v>
      </c>
      <c r="S109" s="15">
        <f t="shared" si="14"/>
        <v>5</v>
      </c>
      <c r="T109" s="15">
        <f t="shared" si="15"/>
        <v>3</v>
      </c>
      <c r="U109" s="15" t="str">
        <f t="shared" si="16"/>
        <v>153</v>
      </c>
      <c r="V109" s="15"/>
      <c r="AE109" s="1">
        <f t="shared" si="17"/>
        <v>0</v>
      </c>
      <c r="AF109" s="1">
        <f t="shared" si="18"/>
        <v>1</v>
      </c>
      <c r="AG109" s="1">
        <f t="shared" si="19"/>
        <v>0</v>
      </c>
    </row>
    <row r="110" spans="1:33" ht="15">
      <c r="A110" s="1">
        <v>1556823</v>
      </c>
      <c r="B110" s="1" t="s">
        <v>29</v>
      </c>
      <c r="C110" s="1" t="s">
        <v>46</v>
      </c>
      <c r="D110" s="15" t="str">
        <f t="shared" si="10"/>
        <v>Hispanic</v>
      </c>
      <c r="E110" s="2">
        <v>30432</v>
      </c>
      <c r="F110" s="1" t="s">
        <v>31</v>
      </c>
      <c r="G110" s="1">
        <v>4</v>
      </c>
      <c r="H110" s="1">
        <v>90032</v>
      </c>
      <c r="I110" s="1">
        <v>58000</v>
      </c>
      <c r="J110" s="1">
        <v>686</v>
      </c>
      <c r="K110" s="1">
        <v>1123</v>
      </c>
      <c r="L110" s="1">
        <v>8</v>
      </c>
      <c r="M110" s="1">
        <v>254</v>
      </c>
      <c r="N110" s="1" t="s">
        <v>61</v>
      </c>
      <c r="O110" s="1" t="s">
        <v>52</v>
      </c>
      <c r="P110" s="1">
        <f t="shared" si="11"/>
        <v>4</v>
      </c>
      <c r="Q110" s="1">
        <f t="shared" si="12"/>
        <v>-254</v>
      </c>
      <c r="R110" s="15">
        <f t="shared" si="13"/>
        <v>2</v>
      </c>
      <c r="S110" s="15">
        <f t="shared" si="14"/>
        <v>3</v>
      </c>
      <c r="T110" s="15">
        <f t="shared" si="15"/>
        <v>5</v>
      </c>
      <c r="U110" s="15" t="str">
        <f t="shared" si="16"/>
        <v>235</v>
      </c>
      <c r="V110" s="15"/>
      <c r="AE110" s="1">
        <f t="shared" si="17"/>
        <v>0</v>
      </c>
      <c r="AF110" s="1">
        <f t="shared" si="18"/>
        <v>1</v>
      </c>
      <c r="AG110" s="1">
        <f t="shared" si="19"/>
        <v>0</v>
      </c>
    </row>
    <row r="111" spans="1:33" ht="15">
      <c r="A111" s="1">
        <v>1557181</v>
      </c>
      <c r="B111" s="1" t="s">
        <v>36</v>
      </c>
      <c r="C111" s="1" t="s">
        <v>37</v>
      </c>
      <c r="D111" s="15" t="str">
        <f t="shared" si="10"/>
        <v>White</v>
      </c>
      <c r="E111" s="2">
        <v>25253</v>
      </c>
      <c r="F111" s="1" t="s">
        <v>31</v>
      </c>
      <c r="G111" s="1">
        <v>1</v>
      </c>
      <c r="H111" s="1">
        <v>90067</v>
      </c>
      <c r="I111" s="1">
        <v>105000</v>
      </c>
      <c r="J111" s="1">
        <v>428</v>
      </c>
      <c r="K111" s="1">
        <v>327</v>
      </c>
      <c r="L111" s="1">
        <v>2</v>
      </c>
      <c r="M111" s="1">
        <v>345</v>
      </c>
      <c r="N111" s="1" t="s">
        <v>42</v>
      </c>
      <c r="O111" s="1" t="s">
        <v>33</v>
      </c>
      <c r="P111" s="1">
        <f t="shared" si="11"/>
        <v>5</v>
      </c>
      <c r="Q111" s="1">
        <f t="shared" si="12"/>
        <v>-345</v>
      </c>
      <c r="R111" s="15">
        <f t="shared" si="13"/>
        <v>1</v>
      </c>
      <c r="S111" s="15">
        <f t="shared" si="14"/>
        <v>1</v>
      </c>
      <c r="T111" s="15">
        <f t="shared" si="15"/>
        <v>2</v>
      </c>
      <c r="U111" s="15" t="str">
        <f t="shared" si="16"/>
        <v>112</v>
      </c>
      <c r="V111" s="15"/>
      <c r="AE111" s="1">
        <f t="shared" si="17"/>
        <v>0</v>
      </c>
      <c r="AF111" s="1">
        <f t="shared" si="18"/>
        <v>0</v>
      </c>
      <c r="AG111" s="1">
        <f t="shared" si="19"/>
        <v>1</v>
      </c>
    </row>
    <row r="112" spans="1:33" ht="15">
      <c r="A112" s="1">
        <v>1557273</v>
      </c>
      <c r="B112" s="1" t="s">
        <v>36</v>
      </c>
      <c r="C112" s="1" t="s">
        <v>30</v>
      </c>
      <c r="D112" s="15" t="str">
        <f t="shared" si="10"/>
        <v>Black</v>
      </c>
      <c r="E112" s="2">
        <v>24443</v>
      </c>
      <c r="F112" s="1" t="s">
        <v>31</v>
      </c>
      <c r="G112" s="1">
        <v>2</v>
      </c>
      <c r="H112" s="1">
        <v>90007</v>
      </c>
      <c r="I112" s="1">
        <v>61000</v>
      </c>
      <c r="J112" s="1">
        <v>275</v>
      </c>
      <c r="K112" s="1">
        <v>431</v>
      </c>
      <c r="L112" s="1">
        <v>6</v>
      </c>
      <c r="M112" s="1">
        <v>205</v>
      </c>
      <c r="N112" s="1" t="s">
        <v>61</v>
      </c>
      <c r="O112" s="1" t="s">
        <v>48</v>
      </c>
      <c r="P112" s="1">
        <f t="shared" si="11"/>
        <v>4</v>
      </c>
      <c r="Q112" s="1">
        <f t="shared" si="12"/>
        <v>-205</v>
      </c>
      <c r="R112" s="15">
        <f t="shared" si="13"/>
        <v>3</v>
      </c>
      <c r="S112" s="15">
        <f t="shared" si="14"/>
        <v>2</v>
      </c>
      <c r="T112" s="15">
        <f t="shared" si="15"/>
        <v>2</v>
      </c>
      <c r="U112" s="15" t="str">
        <f t="shared" si="16"/>
        <v>322</v>
      </c>
      <c r="V112" s="15"/>
      <c r="AE112" s="1">
        <f t="shared" si="17"/>
        <v>0</v>
      </c>
      <c r="AF112" s="1">
        <f t="shared" si="18"/>
        <v>0</v>
      </c>
      <c r="AG112" s="1">
        <f t="shared" si="19"/>
        <v>0</v>
      </c>
    </row>
    <row r="113" spans="1:33" ht="15">
      <c r="A113" s="1">
        <v>1557386</v>
      </c>
      <c r="B113" s="1" t="s">
        <v>36</v>
      </c>
      <c r="C113" s="1" t="s">
        <v>30</v>
      </c>
      <c r="D113" s="15" t="str">
        <f t="shared" si="10"/>
        <v>Black</v>
      </c>
      <c r="E113" s="2">
        <v>27660</v>
      </c>
      <c r="F113" s="1" t="s">
        <v>47</v>
      </c>
      <c r="G113" s="1">
        <v>3</v>
      </c>
      <c r="H113" s="1">
        <v>90032</v>
      </c>
      <c r="I113" s="1">
        <v>66000</v>
      </c>
      <c r="J113" s="1">
        <v>706</v>
      </c>
      <c r="K113" s="1">
        <v>564</v>
      </c>
      <c r="L113" s="1">
        <v>4</v>
      </c>
      <c r="M113" s="1">
        <v>69</v>
      </c>
      <c r="N113" s="1" t="s">
        <v>38</v>
      </c>
      <c r="O113" s="1" t="s">
        <v>39</v>
      </c>
      <c r="P113" s="1">
        <f t="shared" si="11"/>
        <v>3</v>
      </c>
      <c r="Q113" s="1">
        <f t="shared" si="12"/>
        <v>-69</v>
      </c>
      <c r="R113" s="15">
        <f t="shared" si="13"/>
        <v>4</v>
      </c>
      <c r="S113" s="15">
        <f t="shared" si="14"/>
        <v>1</v>
      </c>
      <c r="T113" s="15">
        <f t="shared" si="15"/>
        <v>3</v>
      </c>
      <c r="U113" s="15" t="str">
        <f t="shared" si="16"/>
        <v>413</v>
      </c>
      <c r="V113" s="15"/>
      <c r="AE113" s="1">
        <f t="shared" si="17"/>
        <v>1</v>
      </c>
      <c r="AF113" s="1">
        <f t="shared" si="18"/>
        <v>0</v>
      </c>
      <c r="AG113" s="1">
        <f t="shared" si="19"/>
        <v>0</v>
      </c>
    </row>
    <row r="114" spans="1:33" ht="15">
      <c r="A114" s="1">
        <v>1557407</v>
      </c>
      <c r="B114" s="1" t="s">
        <v>36</v>
      </c>
      <c r="C114" s="1" t="s">
        <v>37</v>
      </c>
      <c r="D114" s="15" t="str">
        <f t="shared" si="10"/>
        <v>White</v>
      </c>
      <c r="E114" s="2">
        <v>28120</v>
      </c>
      <c r="F114" s="1" t="s">
        <v>31</v>
      </c>
      <c r="G114" s="1">
        <v>4</v>
      </c>
      <c r="H114" s="1">
        <v>90015</v>
      </c>
      <c r="I114" s="1">
        <v>48000</v>
      </c>
      <c r="J114" s="1">
        <v>1398</v>
      </c>
      <c r="K114" s="1">
        <v>1163</v>
      </c>
      <c r="L114" s="1">
        <v>16</v>
      </c>
      <c r="M114" s="1">
        <v>16</v>
      </c>
      <c r="N114" s="1" t="s">
        <v>61</v>
      </c>
      <c r="O114" s="1" t="s">
        <v>52</v>
      </c>
      <c r="P114" s="1">
        <f t="shared" si="11"/>
        <v>4</v>
      </c>
      <c r="Q114" s="1">
        <f t="shared" si="12"/>
        <v>-16</v>
      </c>
      <c r="R114" s="15">
        <f t="shared" si="13"/>
        <v>4</v>
      </c>
      <c r="S114" s="15">
        <f t="shared" si="14"/>
        <v>5</v>
      </c>
      <c r="T114" s="15">
        <f t="shared" si="15"/>
        <v>5</v>
      </c>
      <c r="U114" s="15" t="str">
        <f t="shared" si="16"/>
        <v>455</v>
      </c>
      <c r="V114" s="15"/>
      <c r="AE114" s="1">
        <f t="shared" si="17"/>
        <v>0</v>
      </c>
      <c r="AF114" s="1">
        <f t="shared" si="18"/>
        <v>1</v>
      </c>
      <c r="AG114" s="1">
        <f t="shared" si="19"/>
        <v>0</v>
      </c>
    </row>
    <row r="115" spans="1:33" ht="15">
      <c r="A115" s="1">
        <v>1557679</v>
      </c>
      <c r="B115" s="1" t="s">
        <v>29</v>
      </c>
      <c r="C115" s="1" t="s">
        <v>37</v>
      </c>
      <c r="D115" s="15" t="str">
        <f t="shared" si="10"/>
        <v>White</v>
      </c>
      <c r="E115" s="2">
        <v>30953</v>
      </c>
      <c r="F115" s="1" t="s">
        <v>31</v>
      </c>
      <c r="G115" s="1">
        <v>2</v>
      </c>
      <c r="H115" s="1">
        <v>90004</v>
      </c>
      <c r="I115" s="1">
        <v>72000</v>
      </c>
      <c r="J115" s="1">
        <v>571</v>
      </c>
      <c r="K115" s="1">
        <v>728</v>
      </c>
      <c r="L115" s="1">
        <v>13</v>
      </c>
      <c r="M115" s="1">
        <v>241</v>
      </c>
      <c r="N115" s="1" t="s">
        <v>61</v>
      </c>
      <c r="O115" s="1" t="s">
        <v>39</v>
      </c>
      <c r="P115" s="1">
        <f t="shared" si="11"/>
        <v>4</v>
      </c>
      <c r="Q115" s="1">
        <f t="shared" si="12"/>
        <v>-241</v>
      </c>
      <c r="R115" s="15">
        <f t="shared" si="13"/>
        <v>2</v>
      </c>
      <c r="S115" s="15">
        <f t="shared" si="14"/>
        <v>5</v>
      </c>
      <c r="T115" s="15">
        <f t="shared" si="15"/>
        <v>3</v>
      </c>
      <c r="U115" s="15" t="str">
        <f t="shared" si="16"/>
        <v>253</v>
      </c>
      <c r="V115" s="15"/>
      <c r="AE115" s="1">
        <f t="shared" si="17"/>
        <v>1</v>
      </c>
      <c r="AF115" s="1">
        <f t="shared" si="18"/>
        <v>0</v>
      </c>
      <c r="AG115" s="1">
        <f t="shared" si="19"/>
        <v>0</v>
      </c>
    </row>
    <row r="116" spans="1:33" ht="15">
      <c r="A116" s="1">
        <v>1557697</v>
      </c>
      <c r="B116" s="1" t="s">
        <v>29</v>
      </c>
      <c r="C116" s="1" t="s">
        <v>37</v>
      </c>
      <c r="D116" s="15" t="str">
        <f t="shared" si="10"/>
        <v>White</v>
      </c>
      <c r="E116" s="2">
        <v>22340</v>
      </c>
      <c r="F116" s="1" t="s">
        <v>31</v>
      </c>
      <c r="G116" s="1">
        <v>2</v>
      </c>
      <c r="H116" s="1">
        <v>90007</v>
      </c>
      <c r="I116" s="1">
        <v>64000</v>
      </c>
      <c r="J116" s="1">
        <v>1112</v>
      </c>
      <c r="K116" s="1">
        <v>897</v>
      </c>
      <c r="L116" s="1">
        <v>10</v>
      </c>
      <c r="M116" s="1">
        <v>239</v>
      </c>
      <c r="N116" s="1" t="s">
        <v>61</v>
      </c>
      <c r="O116" s="1" t="s">
        <v>33</v>
      </c>
      <c r="P116" s="1">
        <f t="shared" si="11"/>
        <v>4</v>
      </c>
      <c r="Q116" s="1">
        <f t="shared" si="12"/>
        <v>-239</v>
      </c>
      <c r="R116" s="15">
        <f t="shared" si="13"/>
        <v>2</v>
      </c>
      <c r="S116" s="15">
        <f t="shared" si="14"/>
        <v>3</v>
      </c>
      <c r="T116" s="15">
        <f t="shared" si="15"/>
        <v>5</v>
      </c>
      <c r="U116" s="15" t="str">
        <f t="shared" si="16"/>
        <v>235</v>
      </c>
      <c r="V116" s="15"/>
      <c r="AE116" s="1">
        <f t="shared" si="17"/>
        <v>0</v>
      </c>
      <c r="AF116" s="1">
        <f t="shared" si="18"/>
        <v>0</v>
      </c>
      <c r="AG116" s="1">
        <f t="shared" si="19"/>
        <v>1</v>
      </c>
    </row>
    <row r="117" spans="1:33" ht="15">
      <c r="A117" s="1">
        <v>1557820</v>
      </c>
      <c r="B117" s="1" t="s">
        <v>36</v>
      </c>
      <c r="C117" s="1" t="s">
        <v>30</v>
      </c>
      <c r="D117" s="15" t="str">
        <f t="shared" si="10"/>
        <v>Black</v>
      </c>
      <c r="E117" s="2">
        <v>24363</v>
      </c>
      <c r="F117" s="1" t="s">
        <v>31</v>
      </c>
      <c r="G117" s="1">
        <v>3</v>
      </c>
      <c r="H117" s="1">
        <v>90039</v>
      </c>
      <c r="I117" s="1">
        <v>80000</v>
      </c>
      <c r="J117" s="1">
        <v>578</v>
      </c>
      <c r="K117" s="1">
        <v>568</v>
      </c>
      <c r="L117" s="1">
        <v>10</v>
      </c>
      <c r="M117" s="1">
        <v>353</v>
      </c>
      <c r="N117" s="1" t="s">
        <v>38</v>
      </c>
      <c r="O117" s="1" t="s">
        <v>33</v>
      </c>
      <c r="P117" s="1">
        <f t="shared" si="11"/>
        <v>3</v>
      </c>
      <c r="Q117" s="1">
        <f t="shared" si="12"/>
        <v>-353</v>
      </c>
      <c r="R117" s="15">
        <f t="shared" si="13"/>
        <v>1</v>
      </c>
      <c r="S117" s="15">
        <f t="shared" si="14"/>
        <v>3</v>
      </c>
      <c r="T117" s="15">
        <f t="shared" si="15"/>
        <v>3</v>
      </c>
      <c r="U117" s="15" t="str">
        <f t="shared" si="16"/>
        <v>133</v>
      </c>
      <c r="V117" s="15"/>
      <c r="AE117" s="1">
        <f t="shared" si="17"/>
        <v>0</v>
      </c>
      <c r="AF117" s="1">
        <f t="shared" si="18"/>
        <v>0</v>
      </c>
      <c r="AG117" s="1">
        <f t="shared" si="19"/>
        <v>1</v>
      </c>
    </row>
    <row r="118" spans="1:33" ht="15">
      <c r="A118" s="1">
        <v>1559734</v>
      </c>
      <c r="B118" s="1" t="s">
        <v>36</v>
      </c>
      <c r="C118" s="1" t="s">
        <v>58</v>
      </c>
      <c r="D118" s="15" t="str">
        <f t="shared" si="10"/>
        <v>Other</v>
      </c>
      <c r="E118" s="2">
        <v>25015</v>
      </c>
      <c r="F118" s="1" t="s">
        <v>31</v>
      </c>
      <c r="G118" s="1">
        <v>1</v>
      </c>
      <c r="H118" s="1">
        <v>90004</v>
      </c>
      <c r="I118" s="1">
        <v>75000</v>
      </c>
      <c r="J118" s="1">
        <v>822</v>
      </c>
      <c r="K118" s="1">
        <v>603</v>
      </c>
      <c r="L118" s="1">
        <v>9</v>
      </c>
      <c r="M118" s="1">
        <v>252</v>
      </c>
      <c r="N118" s="1" t="s">
        <v>38</v>
      </c>
      <c r="O118" s="1" t="s">
        <v>39</v>
      </c>
      <c r="P118" s="1">
        <f t="shared" si="11"/>
        <v>3</v>
      </c>
      <c r="Q118" s="1">
        <f t="shared" si="12"/>
        <v>-252</v>
      </c>
      <c r="R118" s="15">
        <f t="shared" si="13"/>
        <v>2</v>
      </c>
      <c r="S118" s="15">
        <f t="shared" si="14"/>
        <v>3</v>
      </c>
      <c r="T118" s="15">
        <f t="shared" si="15"/>
        <v>3</v>
      </c>
      <c r="U118" s="15" t="str">
        <f t="shared" si="16"/>
        <v>233</v>
      </c>
      <c r="V118" s="15"/>
      <c r="AE118" s="1">
        <f t="shared" si="17"/>
        <v>1</v>
      </c>
      <c r="AF118" s="1">
        <f t="shared" si="18"/>
        <v>0</v>
      </c>
      <c r="AG118" s="1">
        <f t="shared" si="19"/>
        <v>0</v>
      </c>
    </row>
    <row r="119" spans="1:33" ht="15">
      <c r="A119" s="1">
        <v>1560021</v>
      </c>
      <c r="B119" s="1" t="s">
        <v>36</v>
      </c>
      <c r="C119" s="1" t="s">
        <v>30</v>
      </c>
      <c r="D119" s="15" t="str">
        <f t="shared" si="10"/>
        <v>Black</v>
      </c>
      <c r="E119" s="2">
        <v>35609</v>
      </c>
      <c r="F119" s="1" t="s">
        <v>31</v>
      </c>
      <c r="G119" s="1">
        <v>5</v>
      </c>
      <c r="H119" s="1">
        <v>90054</v>
      </c>
      <c r="I119" s="1">
        <v>50000</v>
      </c>
      <c r="J119" s="1">
        <v>181</v>
      </c>
      <c r="K119" s="1">
        <v>210</v>
      </c>
      <c r="L119" s="1">
        <v>3</v>
      </c>
      <c r="M119" s="1">
        <v>309</v>
      </c>
      <c r="N119" s="1" t="s">
        <v>38</v>
      </c>
      <c r="O119" s="1" t="s">
        <v>33</v>
      </c>
      <c r="P119" s="1">
        <f t="shared" si="11"/>
        <v>3</v>
      </c>
      <c r="Q119" s="1">
        <f t="shared" si="12"/>
        <v>-309</v>
      </c>
      <c r="R119" s="15">
        <f t="shared" si="13"/>
        <v>1</v>
      </c>
      <c r="S119" s="15">
        <f t="shared" si="14"/>
        <v>1</v>
      </c>
      <c r="T119" s="15">
        <f t="shared" si="15"/>
        <v>1</v>
      </c>
      <c r="U119" s="15" t="str">
        <f t="shared" si="16"/>
        <v>111</v>
      </c>
      <c r="V119" s="15"/>
      <c r="AE119" s="1">
        <f t="shared" si="17"/>
        <v>0</v>
      </c>
      <c r="AF119" s="1">
        <f t="shared" si="18"/>
        <v>0</v>
      </c>
      <c r="AG119" s="1">
        <f t="shared" si="19"/>
        <v>1</v>
      </c>
    </row>
    <row r="120" spans="1:33" ht="15">
      <c r="A120" s="1">
        <v>1560248</v>
      </c>
      <c r="B120" s="1" t="s">
        <v>36</v>
      </c>
      <c r="C120" s="1" t="s">
        <v>30</v>
      </c>
      <c r="D120" s="15" t="str">
        <f t="shared" si="10"/>
        <v>Black</v>
      </c>
      <c r="E120" s="2">
        <v>28192</v>
      </c>
      <c r="F120" s="1" t="s">
        <v>47</v>
      </c>
      <c r="G120" s="1">
        <v>2</v>
      </c>
      <c r="H120" s="1">
        <v>90021</v>
      </c>
      <c r="I120" s="1">
        <v>54000</v>
      </c>
      <c r="J120" s="1">
        <v>284</v>
      </c>
      <c r="K120" s="1">
        <v>439</v>
      </c>
      <c r="L120" s="1">
        <v>9</v>
      </c>
      <c r="M120" s="1">
        <v>196</v>
      </c>
      <c r="N120" s="1" t="s">
        <v>61</v>
      </c>
      <c r="O120" s="1" t="s">
        <v>48</v>
      </c>
      <c r="P120" s="1">
        <f t="shared" si="11"/>
        <v>4</v>
      </c>
      <c r="Q120" s="1">
        <f t="shared" si="12"/>
        <v>-196</v>
      </c>
      <c r="R120" s="15">
        <f t="shared" si="13"/>
        <v>3</v>
      </c>
      <c r="S120" s="15">
        <f t="shared" si="14"/>
        <v>3</v>
      </c>
      <c r="T120" s="15">
        <f t="shared" si="15"/>
        <v>2</v>
      </c>
      <c r="U120" s="15" t="str">
        <f t="shared" si="16"/>
        <v>332</v>
      </c>
      <c r="V120" s="15"/>
      <c r="AE120" s="1">
        <f t="shared" si="17"/>
        <v>0</v>
      </c>
      <c r="AF120" s="1">
        <f t="shared" si="18"/>
        <v>0</v>
      </c>
      <c r="AG120" s="1">
        <f t="shared" si="19"/>
        <v>0</v>
      </c>
    </row>
    <row r="121" spans="1:33" ht="15">
      <c r="A121" s="1">
        <v>1560301</v>
      </c>
      <c r="B121" s="1" t="s">
        <v>36</v>
      </c>
      <c r="C121" s="1" t="s">
        <v>37</v>
      </c>
      <c r="D121" s="15" t="str">
        <f t="shared" si="10"/>
        <v>White</v>
      </c>
      <c r="E121" s="2">
        <v>31129</v>
      </c>
      <c r="F121" s="1" t="s">
        <v>47</v>
      </c>
      <c r="G121" s="1">
        <v>3</v>
      </c>
      <c r="H121" s="1">
        <v>90054</v>
      </c>
      <c r="I121" s="1">
        <v>93000</v>
      </c>
      <c r="J121" s="1">
        <v>553</v>
      </c>
      <c r="K121" s="1">
        <v>907</v>
      </c>
      <c r="L121" s="1">
        <v>17</v>
      </c>
      <c r="M121" s="1">
        <v>164</v>
      </c>
      <c r="N121" s="1" t="s">
        <v>42</v>
      </c>
      <c r="O121" s="1" t="s">
        <v>52</v>
      </c>
      <c r="P121" s="1">
        <f t="shared" si="11"/>
        <v>5</v>
      </c>
      <c r="Q121" s="1">
        <f t="shared" si="12"/>
        <v>-164</v>
      </c>
      <c r="R121" s="15">
        <f t="shared" si="13"/>
        <v>3</v>
      </c>
      <c r="S121" s="15">
        <f t="shared" si="14"/>
        <v>5</v>
      </c>
      <c r="T121" s="15">
        <f t="shared" si="15"/>
        <v>5</v>
      </c>
      <c r="U121" s="15" t="str">
        <f t="shared" si="16"/>
        <v>355</v>
      </c>
      <c r="V121" s="15"/>
      <c r="AE121" s="1">
        <f t="shared" si="17"/>
        <v>0</v>
      </c>
      <c r="AF121" s="1">
        <f t="shared" si="18"/>
        <v>1</v>
      </c>
      <c r="AG121" s="1">
        <f t="shared" si="19"/>
        <v>0</v>
      </c>
    </row>
    <row r="122" spans="1:33" ht="15">
      <c r="A122" s="1">
        <v>1560457</v>
      </c>
      <c r="B122" s="1" t="s">
        <v>36</v>
      </c>
      <c r="C122" s="1" t="s">
        <v>30</v>
      </c>
      <c r="D122" s="15" t="str">
        <f t="shared" si="10"/>
        <v>Black</v>
      </c>
      <c r="E122" s="2">
        <v>32849</v>
      </c>
      <c r="F122" s="1" t="s">
        <v>31</v>
      </c>
      <c r="G122" s="1">
        <v>3</v>
      </c>
      <c r="H122" s="1">
        <v>90015</v>
      </c>
      <c r="I122" s="1">
        <v>46000</v>
      </c>
      <c r="J122" s="1">
        <v>789</v>
      </c>
      <c r="K122" s="1">
        <v>745</v>
      </c>
      <c r="L122" s="1">
        <v>15</v>
      </c>
      <c r="M122" s="1">
        <v>318</v>
      </c>
      <c r="N122" s="1" t="s">
        <v>62</v>
      </c>
      <c r="O122" s="1" t="s">
        <v>33</v>
      </c>
      <c r="P122" s="1">
        <f t="shared" si="11"/>
        <v>2</v>
      </c>
      <c r="Q122" s="1">
        <f t="shared" si="12"/>
        <v>-318</v>
      </c>
      <c r="R122" s="15">
        <f t="shared" si="13"/>
        <v>1</v>
      </c>
      <c r="S122" s="15">
        <f t="shared" si="14"/>
        <v>5</v>
      </c>
      <c r="T122" s="15">
        <f t="shared" si="15"/>
        <v>3</v>
      </c>
      <c r="U122" s="15" t="str">
        <f t="shared" si="16"/>
        <v>153</v>
      </c>
      <c r="V122" s="15"/>
      <c r="AE122" s="1">
        <f t="shared" si="17"/>
        <v>0</v>
      </c>
      <c r="AF122" s="1">
        <f t="shared" si="18"/>
        <v>0</v>
      </c>
      <c r="AG122" s="1">
        <f t="shared" si="19"/>
        <v>1</v>
      </c>
    </row>
    <row r="123" spans="1:33" ht="15">
      <c r="A123" s="1">
        <v>1560632</v>
      </c>
      <c r="B123" s="1" t="s">
        <v>29</v>
      </c>
      <c r="C123" s="1" t="s">
        <v>30</v>
      </c>
      <c r="D123" s="15" t="str">
        <f t="shared" si="10"/>
        <v>Black</v>
      </c>
      <c r="E123" s="2">
        <v>19313</v>
      </c>
      <c r="F123" s="1" t="s">
        <v>31</v>
      </c>
      <c r="G123" s="1">
        <v>2</v>
      </c>
      <c r="H123" s="1">
        <v>90062</v>
      </c>
      <c r="I123" s="1">
        <v>84000</v>
      </c>
      <c r="J123" s="1">
        <v>532</v>
      </c>
      <c r="K123" s="1">
        <v>467</v>
      </c>
      <c r="L123" s="1">
        <v>11</v>
      </c>
      <c r="M123" s="1">
        <v>108</v>
      </c>
      <c r="N123" s="1" t="s">
        <v>61</v>
      </c>
      <c r="O123" s="1" t="s">
        <v>39</v>
      </c>
      <c r="P123" s="1">
        <f t="shared" si="11"/>
        <v>4</v>
      </c>
      <c r="Q123" s="1">
        <f t="shared" si="12"/>
        <v>-108</v>
      </c>
      <c r="R123" s="15">
        <f t="shared" si="13"/>
        <v>4</v>
      </c>
      <c r="S123" s="15">
        <f t="shared" si="14"/>
        <v>3</v>
      </c>
      <c r="T123" s="15">
        <f t="shared" si="15"/>
        <v>2</v>
      </c>
      <c r="U123" s="15" t="str">
        <f t="shared" si="16"/>
        <v>432</v>
      </c>
      <c r="V123" s="15"/>
      <c r="AE123" s="1">
        <f t="shared" si="17"/>
        <v>1</v>
      </c>
      <c r="AF123" s="1">
        <f t="shared" si="18"/>
        <v>0</v>
      </c>
      <c r="AG123" s="1">
        <f t="shared" si="19"/>
        <v>0</v>
      </c>
    </row>
    <row r="124" spans="1:33" ht="15">
      <c r="A124" s="1">
        <v>1560809</v>
      </c>
      <c r="B124" s="1" t="s">
        <v>36</v>
      </c>
      <c r="C124" s="1" t="s">
        <v>54</v>
      </c>
      <c r="D124" s="15" t="str">
        <f t="shared" si="10"/>
        <v>Asian</v>
      </c>
      <c r="E124" s="2">
        <v>30554</v>
      </c>
      <c r="F124" s="1" t="s">
        <v>31</v>
      </c>
      <c r="G124" s="1">
        <v>4</v>
      </c>
      <c r="H124" s="1">
        <v>90047</v>
      </c>
      <c r="I124" s="1">
        <v>58000</v>
      </c>
      <c r="J124" s="1">
        <v>542</v>
      </c>
      <c r="K124" s="1">
        <v>673</v>
      </c>
      <c r="L124" s="1">
        <v>15</v>
      </c>
      <c r="M124" s="1">
        <v>149</v>
      </c>
      <c r="N124" s="1" t="s">
        <v>61</v>
      </c>
      <c r="O124" s="1" t="s">
        <v>33</v>
      </c>
      <c r="P124" s="1">
        <f t="shared" si="11"/>
        <v>4</v>
      </c>
      <c r="Q124" s="1">
        <f t="shared" si="12"/>
        <v>-149</v>
      </c>
      <c r="R124" s="15">
        <f t="shared" si="13"/>
        <v>3</v>
      </c>
      <c r="S124" s="15">
        <f t="shared" si="14"/>
        <v>5</v>
      </c>
      <c r="T124" s="15">
        <f t="shared" si="15"/>
        <v>3</v>
      </c>
      <c r="U124" s="15" t="str">
        <f t="shared" si="16"/>
        <v>353</v>
      </c>
      <c r="V124" s="15"/>
      <c r="AE124" s="1">
        <f t="shared" si="17"/>
        <v>0</v>
      </c>
      <c r="AF124" s="1">
        <f t="shared" si="18"/>
        <v>0</v>
      </c>
      <c r="AG124" s="1">
        <f t="shared" si="19"/>
        <v>1</v>
      </c>
    </row>
    <row r="125" spans="1:33" ht="15">
      <c r="A125" s="1">
        <v>1560830</v>
      </c>
      <c r="B125" s="1" t="s">
        <v>29</v>
      </c>
      <c r="C125" s="1" t="s">
        <v>30</v>
      </c>
      <c r="D125" s="15" t="str">
        <f t="shared" si="10"/>
        <v>Black</v>
      </c>
      <c r="E125" s="2">
        <v>27064</v>
      </c>
      <c r="F125" s="1" t="s">
        <v>31</v>
      </c>
      <c r="G125" s="1">
        <v>3</v>
      </c>
      <c r="H125" s="1">
        <v>90034</v>
      </c>
      <c r="I125" s="1">
        <v>63000</v>
      </c>
      <c r="J125" s="1">
        <v>463</v>
      </c>
      <c r="K125" s="1">
        <v>383</v>
      </c>
      <c r="L125" s="1">
        <v>9</v>
      </c>
      <c r="M125" s="1">
        <v>145</v>
      </c>
      <c r="N125" s="1" t="s">
        <v>61</v>
      </c>
      <c r="O125" s="1" t="s">
        <v>48</v>
      </c>
      <c r="P125" s="1">
        <f t="shared" si="11"/>
        <v>4</v>
      </c>
      <c r="Q125" s="1">
        <f t="shared" si="12"/>
        <v>-145</v>
      </c>
      <c r="R125" s="15">
        <f t="shared" si="13"/>
        <v>4</v>
      </c>
      <c r="S125" s="15">
        <f t="shared" si="14"/>
        <v>3</v>
      </c>
      <c r="T125" s="15">
        <f t="shared" si="15"/>
        <v>2</v>
      </c>
      <c r="U125" s="15" t="str">
        <f t="shared" si="16"/>
        <v>432</v>
      </c>
      <c r="V125" s="15"/>
      <c r="AE125" s="1">
        <f t="shared" si="17"/>
        <v>0</v>
      </c>
      <c r="AF125" s="1">
        <f t="shared" si="18"/>
        <v>0</v>
      </c>
      <c r="AG125" s="1">
        <f t="shared" si="19"/>
        <v>0</v>
      </c>
    </row>
    <row r="126" spans="1:33" ht="15">
      <c r="A126" s="1">
        <v>1561447</v>
      </c>
      <c r="B126" s="1" t="s">
        <v>29</v>
      </c>
      <c r="C126" s="1" t="s">
        <v>30</v>
      </c>
      <c r="D126" s="15" t="str">
        <f t="shared" si="10"/>
        <v>Black</v>
      </c>
      <c r="E126" s="2">
        <v>27360</v>
      </c>
      <c r="F126" s="1" t="s">
        <v>31</v>
      </c>
      <c r="G126" s="1">
        <v>3</v>
      </c>
      <c r="H126" s="1">
        <v>90043</v>
      </c>
      <c r="I126" s="1">
        <v>43000</v>
      </c>
      <c r="J126" s="1">
        <v>447</v>
      </c>
      <c r="K126" s="1">
        <v>626</v>
      </c>
      <c r="L126" s="1">
        <v>13</v>
      </c>
      <c r="M126" s="1">
        <v>296</v>
      </c>
      <c r="N126" s="1" t="s">
        <v>61</v>
      </c>
      <c r="O126" s="1" t="s">
        <v>33</v>
      </c>
      <c r="P126" s="1">
        <f t="shared" si="11"/>
        <v>4</v>
      </c>
      <c r="Q126" s="1">
        <f t="shared" si="12"/>
        <v>-296</v>
      </c>
      <c r="R126" s="15">
        <f t="shared" si="13"/>
        <v>1</v>
      </c>
      <c r="S126" s="15">
        <f t="shared" si="14"/>
        <v>5</v>
      </c>
      <c r="T126" s="15">
        <f t="shared" si="15"/>
        <v>3</v>
      </c>
      <c r="U126" s="15" t="str">
        <f t="shared" si="16"/>
        <v>153</v>
      </c>
      <c r="V126" s="15"/>
      <c r="AE126" s="1">
        <f t="shared" si="17"/>
        <v>0</v>
      </c>
      <c r="AF126" s="1">
        <f t="shared" si="18"/>
        <v>0</v>
      </c>
      <c r="AG126" s="1">
        <f t="shared" si="19"/>
        <v>1</v>
      </c>
    </row>
    <row r="127" spans="1:33" ht="15">
      <c r="A127" s="1">
        <v>1562348</v>
      </c>
      <c r="B127" s="1" t="s">
        <v>29</v>
      </c>
      <c r="C127" s="1" t="s">
        <v>37</v>
      </c>
      <c r="D127" s="15" t="str">
        <f t="shared" si="10"/>
        <v>White</v>
      </c>
      <c r="E127" s="2">
        <v>23347</v>
      </c>
      <c r="F127" s="1" t="s">
        <v>31</v>
      </c>
      <c r="G127" s="1">
        <v>3</v>
      </c>
      <c r="H127" s="1">
        <v>90031</v>
      </c>
      <c r="I127" s="1">
        <v>97000</v>
      </c>
      <c r="J127" s="1">
        <v>877</v>
      </c>
      <c r="K127" s="1">
        <v>860</v>
      </c>
      <c r="L127" s="1">
        <v>7</v>
      </c>
      <c r="M127" s="1">
        <v>115</v>
      </c>
      <c r="N127" s="1" t="s">
        <v>38</v>
      </c>
      <c r="O127" s="1" t="s">
        <v>39</v>
      </c>
      <c r="P127" s="1">
        <f t="shared" si="11"/>
        <v>3</v>
      </c>
      <c r="Q127" s="1">
        <f t="shared" si="12"/>
        <v>-115</v>
      </c>
      <c r="R127" s="15">
        <f t="shared" si="13"/>
        <v>4</v>
      </c>
      <c r="S127" s="15">
        <f t="shared" si="14"/>
        <v>2</v>
      </c>
      <c r="T127" s="15">
        <f t="shared" si="15"/>
        <v>5</v>
      </c>
      <c r="U127" s="15" t="str">
        <f t="shared" si="16"/>
        <v>425</v>
      </c>
      <c r="V127" s="15"/>
      <c r="AE127" s="1">
        <f t="shared" si="17"/>
        <v>1</v>
      </c>
      <c r="AF127" s="1">
        <f t="shared" si="18"/>
        <v>0</v>
      </c>
      <c r="AG127" s="1">
        <f t="shared" si="19"/>
        <v>0</v>
      </c>
    </row>
    <row r="128" spans="1:33" ht="15">
      <c r="A128" s="1">
        <v>1562398</v>
      </c>
      <c r="B128" s="1" t="s">
        <v>36</v>
      </c>
      <c r="C128" s="1" t="s">
        <v>37</v>
      </c>
      <c r="D128" s="15" t="str">
        <f t="shared" si="10"/>
        <v>White</v>
      </c>
      <c r="E128" s="2">
        <v>32088</v>
      </c>
      <c r="F128" s="1" t="s">
        <v>47</v>
      </c>
      <c r="G128" s="1">
        <v>5</v>
      </c>
      <c r="H128" s="1">
        <v>90047</v>
      </c>
      <c r="I128" s="1">
        <v>70000</v>
      </c>
      <c r="J128" s="1">
        <v>280</v>
      </c>
      <c r="K128" s="1">
        <v>233</v>
      </c>
      <c r="L128" s="1">
        <v>2</v>
      </c>
      <c r="M128" s="1">
        <v>117</v>
      </c>
      <c r="N128" s="1" t="s">
        <v>61</v>
      </c>
      <c r="O128" s="1" t="s">
        <v>48</v>
      </c>
      <c r="P128" s="1">
        <f t="shared" si="11"/>
        <v>4</v>
      </c>
      <c r="Q128" s="1">
        <f t="shared" si="12"/>
        <v>-117</v>
      </c>
      <c r="R128" s="15">
        <f t="shared" si="13"/>
        <v>4</v>
      </c>
      <c r="S128" s="15">
        <f t="shared" si="14"/>
        <v>1</v>
      </c>
      <c r="T128" s="15">
        <f t="shared" si="15"/>
        <v>1</v>
      </c>
      <c r="U128" s="15" t="str">
        <f t="shared" si="16"/>
        <v>411</v>
      </c>
      <c r="V128" s="15"/>
      <c r="AE128" s="1">
        <f t="shared" si="17"/>
        <v>0</v>
      </c>
      <c r="AF128" s="1">
        <f t="shared" si="18"/>
        <v>0</v>
      </c>
      <c r="AG128" s="1">
        <f t="shared" si="19"/>
        <v>0</v>
      </c>
    </row>
    <row r="129" spans="1:33" ht="15">
      <c r="A129" s="1">
        <v>1562550</v>
      </c>
      <c r="B129" s="1" t="s">
        <v>29</v>
      </c>
      <c r="C129" s="1" t="s">
        <v>37</v>
      </c>
      <c r="D129" s="15" t="str">
        <f t="shared" si="10"/>
        <v>White</v>
      </c>
      <c r="E129" s="2">
        <v>28387</v>
      </c>
      <c r="F129" s="1" t="s">
        <v>31</v>
      </c>
      <c r="G129" s="1">
        <v>4</v>
      </c>
      <c r="H129" s="1">
        <v>90035</v>
      </c>
      <c r="I129" s="1">
        <v>48000</v>
      </c>
      <c r="J129" s="1">
        <v>1514</v>
      </c>
      <c r="K129" s="1">
        <v>1106</v>
      </c>
      <c r="L129" s="1">
        <v>26</v>
      </c>
      <c r="M129" s="1">
        <v>342</v>
      </c>
      <c r="N129" s="1" t="s">
        <v>42</v>
      </c>
      <c r="O129" s="1" t="s">
        <v>39</v>
      </c>
      <c r="P129" s="1">
        <f t="shared" si="11"/>
        <v>5</v>
      </c>
      <c r="Q129" s="1">
        <f t="shared" si="12"/>
        <v>-342</v>
      </c>
      <c r="R129" s="15">
        <f t="shared" si="13"/>
        <v>1</v>
      </c>
      <c r="S129" s="15">
        <f t="shared" si="14"/>
        <v>5</v>
      </c>
      <c r="T129" s="15">
        <f t="shared" si="15"/>
        <v>5</v>
      </c>
      <c r="U129" s="15" t="str">
        <f t="shared" si="16"/>
        <v>155</v>
      </c>
      <c r="V129" s="15"/>
      <c r="AE129" s="1">
        <f t="shared" si="17"/>
        <v>1</v>
      </c>
      <c r="AF129" s="1">
        <f t="shared" si="18"/>
        <v>0</v>
      </c>
      <c r="AG129" s="1">
        <f t="shared" si="19"/>
        <v>0</v>
      </c>
    </row>
    <row r="130" spans="1:33" ht="15">
      <c r="A130" s="1">
        <v>1562867</v>
      </c>
      <c r="B130" s="1" t="s">
        <v>29</v>
      </c>
      <c r="C130" s="1" t="s">
        <v>30</v>
      </c>
      <c r="D130" s="15" t="str">
        <f t="shared" si="10"/>
        <v>Black</v>
      </c>
      <c r="E130" s="2">
        <v>26116</v>
      </c>
      <c r="F130" s="1" t="s">
        <v>31</v>
      </c>
      <c r="G130" s="1">
        <v>5</v>
      </c>
      <c r="H130" s="1">
        <v>90064</v>
      </c>
      <c r="I130" s="1">
        <v>97000</v>
      </c>
      <c r="J130" s="1">
        <v>660</v>
      </c>
      <c r="K130" s="1">
        <v>739</v>
      </c>
      <c r="L130" s="1">
        <v>5</v>
      </c>
      <c r="M130" s="1">
        <v>76</v>
      </c>
      <c r="N130" s="1" t="s">
        <v>61</v>
      </c>
      <c r="O130" s="1" t="s">
        <v>39</v>
      </c>
      <c r="P130" s="1">
        <f t="shared" si="11"/>
        <v>4</v>
      </c>
      <c r="Q130" s="1">
        <f t="shared" si="12"/>
        <v>-76</v>
      </c>
      <c r="R130" s="15">
        <f t="shared" si="13"/>
        <v>4</v>
      </c>
      <c r="S130" s="15">
        <f t="shared" si="14"/>
        <v>2</v>
      </c>
      <c r="T130" s="15">
        <f t="shared" si="15"/>
        <v>3</v>
      </c>
      <c r="U130" s="15" t="str">
        <f t="shared" si="16"/>
        <v>423</v>
      </c>
      <c r="V130" s="15"/>
      <c r="AE130" s="1">
        <f t="shared" si="17"/>
        <v>1</v>
      </c>
      <c r="AF130" s="1">
        <f t="shared" si="18"/>
        <v>0</v>
      </c>
      <c r="AG130" s="1">
        <f t="shared" si="19"/>
        <v>0</v>
      </c>
    </row>
    <row r="131" spans="1:33" ht="15">
      <c r="A131" s="1">
        <v>1563068</v>
      </c>
      <c r="B131" s="1" t="s">
        <v>29</v>
      </c>
      <c r="C131" s="1" t="s">
        <v>37</v>
      </c>
      <c r="D131" s="15" t="str">
        <f t="shared" ref="D131:D194" si="20">IF(OR(C131="American Indian",C131="Pacific Islander"),"Other",C131)</f>
        <v>White</v>
      </c>
      <c r="E131" s="2">
        <v>34266</v>
      </c>
      <c r="F131" s="1" t="s">
        <v>47</v>
      </c>
      <c r="G131" s="1">
        <v>5</v>
      </c>
      <c r="H131" s="1">
        <v>90029</v>
      </c>
      <c r="I131" s="1">
        <v>38000</v>
      </c>
      <c r="J131" s="1">
        <v>369</v>
      </c>
      <c r="K131" s="1">
        <v>267</v>
      </c>
      <c r="L131" s="1">
        <v>6</v>
      </c>
      <c r="M131" s="1">
        <v>308</v>
      </c>
      <c r="N131" s="1" t="s">
        <v>61</v>
      </c>
      <c r="O131" s="1" t="s">
        <v>39</v>
      </c>
      <c r="P131" s="1">
        <f t="shared" ref="P131:P194" si="21">IF($N131="Very satisfied",5,IF($N131="Somewhat Satisfied",4,IF($N131="Neutral",3,IF($N131="Somewhat DisSatisfied",2,1))))</f>
        <v>4</v>
      </c>
      <c r="Q131" s="1">
        <f t="shared" ref="Q131:Q194" si="22">-M131</f>
        <v>-308</v>
      </c>
      <c r="R131" s="15">
        <f t="shared" ref="R131:R194" si="23">IF(Q131&lt;=Y$2,1,IF(Q131&lt;=Y$3,2,IF(Q131&lt;=Y$4,3,IF(Q131&lt;=Y134,4,5))))</f>
        <v>1</v>
      </c>
      <c r="S131" s="15">
        <f t="shared" ref="S131:S194" si="24">IF(L131&lt;=Z$2,1,IF(L131&lt;=Z$3,2,IF(L131&lt;=Z$4,3,IF(L131&lt;=Z134,4,5))))</f>
        <v>2</v>
      </c>
      <c r="T131" s="15">
        <f t="shared" ref="T131:T194" si="25">IF(K131&lt;=AA$2,1,IF(K131&lt;=AA$3,2,IF(K131&lt;=AA$4,3,IF(K131&lt;=AA134,4,5))))</f>
        <v>1</v>
      </c>
      <c r="U131" s="15" t="str">
        <f t="shared" ref="U131:U194" si="26">_xlfn.CONCAT(R131,S131,T131,)</f>
        <v>121</v>
      </c>
      <c r="V131" s="15"/>
      <c r="AE131" s="1">
        <f t="shared" ref="AE131:AE194" si="27">IF($O131="TV",1,0)</f>
        <v>1</v>
      </c>
      <c r="AF131" s="1">
        <f t="shared" ref="AF131:AF194" si="28">IF($O131="Referral",1,0)</f>
        <v>0</v>
      </c>
      <c r="AG131" s="1">
        <f t="shared" ref="AG131:AG194" si="29">IF($O131="SM",1,0)</f>
        <v>0</v>
      </c>
    </row>
    <row r="132" spans="1:33" ht="15">
      <c r="A132" s="1">
        <v>1563186</v>
      </c>
      <c r="B132" s="1" t="s">
        <v>36</v>
      </c>
      <c r="C132" s="1" t="s">
        <v>30</v>
      </c>
      <c r="D132" s="15" t="str">
        <f t="shared" si="20"/>
        <v>Black</v>
      </c>
      <c r="E132" s="2">
        <v>23458</v>
      </c>
      <c r="F132" s="1" t="s">
        <v>31</v>
      </c>
      <c r="G132" s="1">
        <v>5</v>
      </c>
      <c r="H132" s="1">
        <v>90020</v>
      </c>
      <c r="I132" s="1">
        <v>70000</v>
      </c>
      <c r="J132" s="1">
        <v>779</v>
      </c>
      <c r="K132" s="1">
        <v>871</v>
      </c>
      <c r="L132" s="1">
        <v>13</v>
      </c>
      <c r="M132" s="1">
        <v>76</v>
      </c>
      <c r="N132" s="1" t="s">
        <v>61</v>
      </c>
      <c r="O132" s="1" t="s">
        <v>48</v>
      </c>
      <c r="P132" s="1">
        <f t="shared" si="21"/>
        <v>4</v>
      </c>
      <c r="Q132" s="1">
        <f t="shared" si="22"/>
        <v>-76</v>
      </c>
      <c r="R132" s="15">
        <f t="shared" si="23"/>
        <v>4</v>
      </c>
      <c r="S132" s="15">
        <f t="shared" si="24"/>
        <v>5</v>
      </c>
      <c r="T132" s="15">
        <f t="shared" si="25"/>
        <v>5</v>
      </c>
      <c r="U132" s="15" t="str">
        <f t="shared" si="26"/>
        <v>455</v>
      </c>
      <c r="V132" s="15"/>
      <c r="AE132" s="1">
        <f t="shared" si="27"/>
        <v>0</v>
      </c>
      <c r="AF132" s="1">
        <f t="shared" si="28"/>
        <v>0</v>
      </c>
      <c r="AG132" s="1">
        <f t="shared" si="29"/>
        <v>0</v>
      </c>
    </row>
    <row r="133" spans="1:33" ht="15">
      <c r="A133" s="1">
        <v>1563296</v>
      </c>
      <c r="B133" s="1" t="s">
        <v>36</v>
      </c>
      <c r="C133" s="1" t="s">
        <v>37</v>
      </c>
      <c r="D133" s="15" t="str">
        <f t="shared" si="20"/>
        <v>White</v>
      </c>
      <c r="E133" s="2">
        <v>36384</v>
      </c>
      <c r="F133" s="1" t="s">
        <v>31</v>
      </c>
      <c r="G133" s="1">
        <v>3</v>
      </c>
      <c r="H133" s="1">
        <v>90027</v>
      </c>
      <c r="I133" s="1">
        <v>95000</v>
      </c>
      <c r="J133" s="1">
        <v>474</v>
      </c>
      <c r="K133" s="1">
        <v>407</v>
      </c>
      <c r="L133" s="1">
        <v>9</v>
      </c>
      <c r="M133" s="1">
        <v>30</v>
      </c>
      <c r="N133" s="1" t="s">
        <v>42</v>
      </c>
      <c r="O133" s="1" t="s">
        <v>33</v>
      </c>
      <c r="P133" s="1">
        <f t="shared" si="21"/>
        <v>5</v>
      </c>
      <c r="Q133" s="1">
        <f t="shared" si="22"/>
        <v>-30</v>
      </c>
      <c r="R133" s="15">
        <f t="shared" si="23"/>
        <v>4</v>
      </c>
      <c r="S133" s="15">
        <f t="shared" si="24"/>
        <v>3</v>
      </c>
      <c r="T133" s="15">
        <f t="shared" si="25"/>
        <v>2</v>
      </c>
      <c r="U133" s="15" t="str">
        <f t="shared" si="26"/>
        <v>432</v>
      </c>
      <c r="V133" s="15"/>
      <c r="AE133" s="1">
        <f t="shared" si="27"/>
        <v>0</v>
      </c>
      <c r="AF133" s="1">
        <f t="shared" si="28"/>
        <v>0</v>
      </c>
      <c r="AG133" s="1">
        <f t="shared" si="29"/>
        <v>1</v>
      </c>
    </row>
    <row r="134" spans="1:33" ht="15">
      <c r="A134" s="1">
        <v>1563548</v>
      </c>
      <c r="B134" s="1" t="s">
        <v>36</v>
      </c>
      <c r="C134" s="1" t="s">
        <v>58</v>
      </c>
      <c r="D134" s="15" t="str">
        <f t="shared" si="20"/>
        <v>Other</v>
      </c>
      <c r="E134" s="2">
        <v>32418</v>
      </c>
      <c r="F134" s="1" t="s">
        <v>31</v>
      </c>
      <c r="G134" s="1">
        <v>5</v>
      </c>
      <c r="H134" s="1">
        <v>90043</v>
      </c>
      <c r="I134" s="1">
        <v>167000</v>
      </c>
      <c r="J134" s="1">
        <v>1019</v>
      </c>
      <c r="K134" s="1">
        <v>692</v>
      </c>
      <c r="L134" s="1">
        <v>12</v>
      </c>
      <c r="M134" s="1">
        <v>221</v>
      </c>
      <c r="N134" s="1" t="s">
        <v>42</v>
      </c>
      <c r="O134" s="1" t="s">
        <v>33</v>
      </c>
      <c r="P134" s="1">
        <f t="shared" si="21"/>
        <v>5</v>
      </c>
      <c r="Q134" s="1">
        <f t="shared" si="22"/>
        <v>-221</v>
      </c>
      <c r="R134" s="15">
        <f t="shared" si="23"/>
        <v>2</v>
      </c>
      <c r="S134" s="15">
        <f t="shared" si="24"/>
        <v>5</v>
      </c>
      <c r="T134" s="15">
        <f t="shared" si="25"/>
        <v>3</v>
      </c>
      <c r="U134" s="15" t="str">
        <f t="shared" si="26"/>
        <v>253</v>
      </c>
      <c r="V134" s="15"/>
      <c r="AE134" s="1">
        <f t="shared" si="27"/>
        <v>0</v>
      </c>
      <c r="AF134" s="1">
        <f t="shared" si="28"/>
        <v>0</v>
      </c>
      <c r="AG134" s="1">
        <f t="shared" si="29"/>
        <v>1</v>
      </c>
    </row>
    <row r="135" spans="1:33" ht="15">
      <c r="A135" s="1">
        <v>1563690</v>
      </c>
      <c r="B135" s="1" t="s">
        <v>36</v>
      </c>
      <c r="C135" s="1" t="s">
        <v>37</v>
      </c>
      <c r="D135" s="15" t="str">
        <f t="shared" si="20"/>
        <v>White</v>
      </c>
      <c r="E135" s="2">
        <v>23508</v>
      </c>
      <c r="F135" s="1" t="s">
        <v>31</v>
      </c>
      <c r="G135" s="1">
        <v>4</v>
      </c>
      <c r="H135" s="1">
        <v>90057</v>
      </c>
      <c r="I135" s="1">
        <v>100000</v>
      </c>
      <c r="J135" s="1">
        <v>281</v>
      </c>
      <c r="K135" s="1">
        <v>221</v>
      </c>
      <c r="L135" s="1">
        <v>4</v>
      </c>
      <c r="M135" s="1">
        <v>354</v>
      </c>
      <c r="N135" s="1" t="s">
        <v>42</v>
      </c>
      <c r="O135" s="1" t="s">
        <v>48</v>
      </c>
      <c r="P135" s="1">
        <f t="shared" si="21"/>
        <v>5</v>
      </c>
      <c r="Q135" s="1">
        <f t="shared" si="22"/>
        <v>-354</v>
      </c>
      <c r="R135" s="15">
        <f t="shared" si="23"/>
        <v>1</v>
      </c>
      <c r="S135" s="15">
        <f t="shared" si="24"/>
        <v>1</v>
      </c>
      <c r="T135" s="15">
        <f t="shared" si="25"/>
        <v>1</v>
      </c>
      <c r="U135" s="15" t="str">
        <f t="shared" si="26"/>
        <v>111</v>
      </c>
      <c r="V135" s="15"/>
      <c r="AE135" s="1">
        <f t="shared" si="27"/>
        <v>0</v>
      </c>
      <c r="AF135" s="1">
        <f t="shared" si="28"/>
        <v>0</v>
      </c>
      <c r="AG135" s="1">
        <f t="shared" si="29"/>
        <v>0</v>
      </c>
    </row>
    <row r="136" spans="1:33" ht="15">
      <c r="A136" s="1">
        <v>1563805</v>
      </c>
      <c r="B136" s="1" t="s">
        <v>29</v>
      </c>
      <c r="C136" s="1" t="s">
        <v>37</v>
      </c>
      <c r="D136" s="15" t="str">
        <f t="shared" si="20"/>
        <v>White</v>
      </c>
      <c r="E136" s="2">
        <v>28996</v>
      </c>
      <c r="F136" s="1" t="s">
        <v>31</v>
      </c>
      <c r="G136" s="1">
        <v>5</v>
      </c>
      <c r="H136" s="1">
        <v>90032</v>
      </c>
      <c r="I136" s="1">
        <v>54000</v>
      </c>
      <c r="J136" s="1">
        <v>194</v>
      </c>
      <c r="K136" s="1">
        <v>151</v>
      </c>
      <c r="L136" s="1">
        <v>2</v>
      </c>
      <c r="M136" s="1">
        <v>234</v>
      </c>
      <c r="N136" s="1" t="s">
        <v>61</v>
      </c>
      <c r="O136" s="1" t="s">
        <v>48</v>
      </c>
      <c r="P136" s="1">
        <f t="shared" si="21"/>
        <v>4</v>
      </c>
      <c r="Q136" s="1">
        <f t="shared" si="22"/>
        <v>-234</v>
      </c>
      <c r="R136" s="15">
        <f t="shared" si="23"/>
        <v>2</v>
      </c>
      <c r="S136" s="15">
        <f t="shared" si="24"/>
        <v>1</v>
      </c>
      <c r="T136" s="15">
        <f t="shared" si="25"/>
        <v>1</v>
      </c>
      <c r="U136" s="15" t="str">
        <f t="shared" si="26"/>
        <v>211</v>
      </c>
      <c r="V136" s="15"/>
      <c r="AE136" s="1">
        <f t="shared" si="27"/>
        <v>0</v>
      </c>
      <c r="AF136" s="1">
        <f t="shared" si="28"/>
        <v>0</v>
      </c>
      <c r="AG136" s="1">
        <f t="shared" si="29"/>
        <v>0</v>
      </c>
    </row>
    <row r="137" spans="1:33" ht="15">
      <c r="A137" s="1">
        <v>1563935</v>
      </c>
      <c r="B137" s="1" t="s">
        <v>36</v>
      </c>
      <c r="C137" s="1" t="s">
        <v>46</v>
      </c>
      <c r="D137" s="15" t="str">
        <f t="shared" si="20"/>
        <v>Hispanic</v>
      </c>
      <c r="E137" s="2">
        <v>27102</v>
      </c>
      <c r="F137" s="1" t="s">
        <v>31</v>
      </c>
      <c r="G137" s="1">
        <v>1</v>
      </c>
      <c r="H137" s="1">
        <v>90063</v>
      </c>
      <c r="I137" s="1">
        <v>74000</v>
      </c>
      <c r="J137" s="1">
        <v>1062</v>
      </c>
      <c r="K137" s="1">
        <v>1075</v>
      </c>
      <c r="L137" s="1">
        <v>28</v>
      </c>
      <c r="M137" s="1">
        <v>145</v>
      </c>
      <c r="N137" s="1" t="s">
        <v>61</v>
      </c>
      <c r="O137" s="1" t="s">
        <v>48</v>
      </c>
      <c r="P137" s="1">
        <f t="shared" si="21"/>
        <v>4</v>
      </c>
      <c r="Q137" s="1">
        <f t="shared" si="22"/>
        <v>-145</v>
      </c>
      <c r="R137" s="15">
        <f t="shared" si="23"/>
        <v>4</v>
      </c>
      <c r="S137" s="15">
        <f t="shared" si="24"/>
        <v>5</v>
      </c>
      <c r="T137" s="15">
        <f t="shared" si="25"/>
        <v>5</v>
      </c>
      <c r="U137" s="15" t="str">
        <f t="shared" si="26"/>
        <v>455</v>
      </c>
      <c r="V137" s="15"/>
      <c r="AE137" s="1">
        <f t="shared" si="27"/>
        <v>0</v>
      </c>
      <c r="AF137" s="1">
        <f t="shared" si="28"/>
        <v>0</v>
      </c>
      <c r="AG137" s="1">
        <f t="shared" si="29"/>
        <v>0</v>
      </c>
    </row>
    <row r="138" spans="1:33" ht="15">
      <c r="A138" s="1">
        <v>1563995</v>
      </c>
      <c r="B138" s="1" t="s">
        <v>36</v>
      </c>
      <c r="C138" s="1" t="s">
        <v>54</v>
      </c>
      <c r="D138" s="15" t="str">
        <f t="shared" si="20"/>
        <v>Asian</v>
      </c>
      <c r="E138" s="2">
        <v>21529</v>
      </c>
      <c r="F138" s="1" t="s">
        <v>31</v>
      </c>
      <c r="G138" s="1">
        <v>2</v>
      </c>
      <c r="H138" s="1">
        <v>90010</v>
      </c>
      <c r="I138" s="1">
        <v>109000</v>
      </c>
      <c r="J138" s="1">
        <v>178</v>
      </c>
      <c r="K138" s="1">
        <v>127</v>
      </c>
      <c r="L138" s="1">
        <v>1</v>
      </c>
      <c r="M138" s="1">
        <v>319</v>
      </c>
      <c r="N138" s="1" t="s">
        <v>42</v>
      </c>
      <c r="O138" s="1" t="s">
        <v>48</v>
      </c>
      <c r="P138" s="1">
        <f t="shared" si="21"/>
        <v>5</v>
      </c>
      <c r="Q138" s="1">
        <f t="shared" si="22"/>
        <v>-319</v>
      </c>
      <c r="R138" s="15">
        <f t="shared" si="23"/>
        <v>1</v>
      </c>
      <c r="S138" s="15">
        <f t="shared" si="24"/>
        <v>1</v>
      </c>
      <c r="T138" s="15">
        <f t="shared" si="25"/>
        <v>1</v>
      </c>
      <c r="U138" s="15" t="str">
        <f t="shared" si="26"/>
        <v>111</v>
      </c>
      <c r="V138" s="15"/>
      <c r="AE138" s="1">
        <f t="shared" si="27"/>
        <v>0</v>
      </c>
      <c r="AF138" s="1">
        <f t="shared" si="28"/>
        <v>0</v>
      </c>
      <c r="AG138" s="1">
        <f t="shared" si="29"/>
        <v>0</v>
      </c>
    </row>
    <row r="139" spans="1:33" ht="15">
      <c r="A139" s="1">
        <v>1564191</v>
      </c>
      <c r="B139" s="1" t="s">
        <v>36</v>
      </c>
      <c r="C139" s="1" t="s">
        <v>37</v>
      </c>
      <c r="D139" s="15" t="str">
        <f t="shared" si="20"/>
        <v>White</v>
      </c>
      <c r="E139" s="2">
        <v>35020</v>
      </c>
      <c r="F139" s="1" t="s">
        <v>47</v>
      </c>
      <c r="G139" s="1">
        <v>3</v>
      </c>
      <c r="H139" s="1">
        <v>90059</v>
      </c>
      <c r="I139" s="1">
        <v>38000</v>
      </c>
      <c r="J139" s="1">
        <v>794</v>
      </c>
      <c r="K139" s="1">
        <v>555</v>
      </c>
      <c r="L139" s="1">
        <v>6</v>
      </c>
      <c r="M139" s="1">
        <v>14</v>
      </c>
      <c r="N139" s="1" t="s">
        <v>61</v>
      </c>
      <c r="O139" s="1" t="s">
        <v>52</v>
      </c>
      <c r="P139" s="1">
        <f t="shared" si="21"/>
        <v>4</v>
      </c>
      <c r="Q139" s="1">
        <f t="shared" si="22"/>
        <v>-14</v>
      </c>
      <c r="R139" s="15">
        <f t="shared" si="23"/>
        <v>4</v>
      </c>
      <c r="S139" s="15">
        <f t="shared" si="24"/>
        <v>2</v>
      </c>
      <c r="T139" s="15">
        <f t="shared" si="25"/>
        <v>3</v>
      </c>
      <c r="U139" s="15" t="str">
        <f t="shared" si="26"/>
        <v>423</v>
      </c>
      <c r="V139" s="15"/>
      <c r="AE139" s="1">
        <f t="shared" si="27"/>
        <v>0</v>
      </c>
      <c r="AF139" s="1">
        <f t="shared" si="28"/>
        <v>1</v>
      </c>
      <c r="AG139" s="1">
        <f t="shared" si="29"/>
        <v>0</v>
      </c>
    </row>
    <row r="140" spans="1:33" ht="15">
      <c r="A140" s="1">
        <v>1564329</v>
      </c>
      <c r="B140" s="1" t="s">
        <v>29</v>
      </c>
      <c r="C140" s="1" t="s">
        <v>46</v>
      </c>
      <c r="D140" s="15" t="str">
        <f t="shared" si="20"/>
        <v>Hispanic</v>
      </c>
      <c r="E140" s="2">
        <v>29961</v>
      </c>
      <c r="F140" s="1" t="s">
        <v>31</v>
      </c>
      <c r="G140" s="1">
        <v>4</v>
      </c>
      <c r="H140" s="1">
        <v>90029</v>
      </c>
      <c r="I140" s="1">
        <v>102000</v>
      </c>
      <c r="J140" s="1">
        <v>522</v>
      </c>
      <c r="K140" s="1">
        <v>449</v>
      </c>
      <c r="L140" s="1">
        <v>6</v>
      </c>
      <c r="M140" s="1">
        <v>296</v>
      </c>
      <c r="N140" s="1" t="s">
        <v>61</v>
      </c>
      <c r="O140" s="1" t="s">
        <v>48</v>
      </c>
      <c r="P140" s="1">
        <f t="shared" si="21"/>
        <v>4</v>
      </c>
      <c r="Q140" s="1">
        <f t="shared" si="22"/>
        <v>-296</v>
      </c>
      <c r="R140" s="15">
        <f t="shared" si="23"/>
        <v>1</v>
      </c>
      <c r="S140" s="15">
        <f t="shared" si="24"/>
        <v>2</v>
      </c>
      <c r="T140" s="15">
        <f t="shared" si="25"/>
        <v>2</v>
      </c>
      <c r="U140" s="15" t="str">
        <f t="shared" si="26"/>
        <v>122</v>
      </c>
      <c r="V140" s="15"/>
      <c r="AE140" s="1">
        <f t="shared" si="27"/>
        <v>0</v>
      </c>
      <c r="AF140" s="1">
        <f t="shared" si="28"/>
        <v>0</v>
      </c>
      <c r="AG140" s="1">
        <f t="shared" si="29"/>
        <v>0</v>
      </c>
    </row>
    <row r="141" spans="1:33" ht="15">
      <c r="A141" s="1">
        <v>1565323</v>
      </c>
      <c r="B141" s="1" t="s">
        <v>29</v>
      </c>
      <c r="C141" s="1" t="s">
        <v>37</v>
      </c>
      <c r="D141" s="15" t="str">
        <f t="shared" si="20"/>
        <v>White</v>
      </c>
      <c r="E141" s="2">
        <v>24316</v>
      </c>
      <c r="F141" s="1" t="s">
        <v>31</v>
      </c>
      <c r="G141" s="1">
        <v>3</v>
      </c>
      <c r="H141" s="1">
        <v>90059</v>
      </c>
      <c r="I141" s="1">
        <v>73000</v>
      </c>
      <c r="J141" s="1">
        <v>451</v>
      </c>
      <c r="K141" s="1">
        <v>421</v>
      </c>
      <c r="L141" s="1">
        <v>10</v>
      </c>
      <c r="M141" s="1">
        <v>180</v>
      </c>
      <c r="N141" s="1" t="s">
        <v>61</v>
      </c>
      <c r="O141" s="1" t="s">
        <v>33</v>
      </c>
      <c r="P141" s="1">
        <f t="shared" si="21"/>
        <v>4</v>
      </c>
      <c r="Q141" s="1">
        <f t="shared" si="22"/>
        <v>-180</v>
      </c>
      <c r="R141" s="15">
        <f t="shared" si="23"/>
        <v>3</v>
      </c>
      <c r="S141" s="15">
        <f t="shared" si="24"/>
        <v>3</v>
      </c>
      <c r="T141" s="15">
        <f t="shared" si="25"/>
        <v>2</v>
      </c>
      <c r="U141" s="15" t="str">
        <f t="shared" si="26"/>
        <v>332</v>
      </c>
      <c r="V141" s="15"/>
      <c r="AE141" s="1">
        <f t="shared" si="27"/>
        <v>0</v>
      </c>
      <c r="AF141" s="1">
        <f t="shared" si="28"/>
        <v>0</v>
      </c>
      <c r="AG141" s="1">
        <f t="shared" si="29"/>
        <v>1</v>
      </c>
    </row>
    <row r="142" spans="1:33" ht="15">
      <c r="A142" s="1">
        <v>1565499</v>
      </c>
      <c r="B142" s="1" t="s">
        <v>36</v>
      </c>
      <c r="C142" s="1" t="s">
        <v>37</v>
      </c>
      <c r="D142" s="15" t="str">
        <f t="shared" si="20"/>
        <v>White</v>
      </c>
      <c r="E142" s="2">
        <v>30634</v>
      </c>
      <c r="F142" s="1" t="s">
        <v>31</v>
      </c>
      <c r="G142" s="1">
        <v>1</v>
      </c>
      <c r="H142" s="1">
        <v>90018</v>
      </c>
      <c r="I142" s="1">
        <v>69000</v>
      </c>
      <c r="J142" s="1">
        <v>424</v>
      </c>
      <c r="K142" s="1">
        <v>499</v>
      </c>
      <c r="L142" s="1">
        <v>9</v>
      </c>
      <c r="M142" s="1">
        <v>279</v>
      </c>
      <c r="N142" s="1" t="s">
        <v>61</v>
      </c>
      <c r="O142" s="1" t="s">
        <v>52</v>
      </c>
      <c r="P142" s="1">
        <f t="shared" si="21"/>
        <v>4</v>
      </c>
      <c r="Q142" s="1">
        <f t="shared" si="22"/>
        <v>-279</v>
      </c>
      <c r="R142" s="15">
        <f t="shared" si="23"/>
        <v>2</v>
      </c>
      <c r="S142" s="15">
        <f t="shared" si="24"/>
        <v>3</v>
      </c>
      <c r="T142" s="15">
        <f t="shared" si="25"/>
        <v>2</v>
      </c>
      <c r="U142" s="15" t="str">
        <f t="shared" si="26"/>
        <v>232</v>
      </c>
      <c r="V142" s="15"/>
      <c r="AE142" s="1">
        <f t="shared" si="27"/>
        <v>0</v>
      </c>
      <c r="AF142" s="1">
        <f t="shared" si="28"/>
        <v>1</v>
      </c>
      <c r="AG142" s="1">
        <f t="shared" si="29"/>
        <v>0</v>
      </c>
    </row>
    <row r="143" spans="1:33" ht="15">
      <c r="A143" s="1">
        <v>1565587</v>
      </c>
      <c r="B143" s="1" t="s">
        <v>36</v>
      </c>
      <c r="C143" s="1" t="s">
        <v>30</v>
      </c>
      <c r="D143" s="15" t="str">
        <f t="shared" si="20"/>
        <v>Black</v>
      </c>
      <c r="E143" s="2">
        <v>31194</v>
      </c>
      <c r="F143" s="1" t="s">
        <v>31</v>
      </c>
      <c r="G143" s="1">
        <v>4</v>
      </c>
      <c r="H143" s="1">
        <v>90063</v>
      </c>
      <c r="I143" s="1">
        <v>91000</v>
      </c>
      <c r="J143" s="1">
        <v>657</v>
      </c>
      <c r="K143" s="1">
        <v>842</v>
      </c>
      <c r="L143" s="1">
        <v>7</v>
      </c>
      <c r="M143" s="1">
        <v>103</v>
      </c>
      <c r="N143" s="1" t="s">
        <v>61</v>
      </c>
      <c r="O143" s="1" t="s">
        <v>39</v>
      </c>
      <c r="P143" s="1">
        <f t="shared" si="21"/>
        <v>4</v>
      </c>
      <c r="Q143" s="1">
        <f t="shared" si="22"/>
        <v>-103</v>
      </c>
      <c r="R143" s="15">
        <f t="shared" si="23"/>
        <v>4</v>
      </c>
      <c r="S143" s="15">
        <f t="shared" si="24"/>
        <v>2</v>
      </c>
      <c r="T143" s="15">
        <f t="shared" si="25"/>
        <v>5</v>
      </c>
      <c r="U143" s="15" t="str">
        <f t="shared" si="26"/>
        <v>425</v>
      </c>
      <c r="V143" s="15"/>
      <c r="AE143" s="1">
        <f t="shared" si="27"/>
        <v>1</v>
      </c>
      <c r="AF143" s="1">
        <f t="shared" si="28"/>
        <v>0</v>
      </c>
      <c r="AG143" s="1">
        <f t="shared" si="29"/>
        <v>0</v>
      </c>
    </row>
    <row r="144" spans="1:33" ht="15">
      <c r="A144" s="1">
        <v>1565651</v>
      </c>
      <c r="B144" s="1" t="s">
        <v>36</v>
      </c>
      <c r="C144" s="1" t="s">
        <v>46</v>
      </c>
      <c r="D144" s="15" t="str">
        <f t="shared" si="20"/>
        <v>Hispanic</v>
      </c>
      <c r="E144" s="2">
        <v>19025</v>
      </c>
      <c r="F144" s="1" t="s">
        <v>31</v>
      </c>
      <c r="G144" s="1">
        <v>3</v>
      </c>
      <c r="H144" s="1">
        <v>90032</v>
      </c>
      <c r="I144" s="1">
        <v>65000</v>
      </c>
      <c r="J144" s="1">
        <v>1646</v>
      </c>
      <c r="K144" s="1">
        <v>1110</v>
      </c>
      <c r="L144" s="1">
        <v>7</v>
      </c>
      <c r="M144" s="1">
        <v>250</v>
      </c>
      <c r="N144" s="1" t="s">
        <v>38</v>
      </c>
      <c r="O144" s="1" t="s">
        <v>33</v>
      </c>
      <c r="P144" s="1">
        <f t="shared" si="21"/>
        <v>3</v>
      </c>
      <c r="Q144" s="1">
        <f t="shared" si="22"/>
        <v>-250</v>
      </c>
      <c r="R144" s="15">
        <f t="shared" si="23"/>
        <v>2</v>
      </c>
      <c r="S144" s="15">
        <f t="shared" si="24"/>
        <v>2</v>
      </c>
      <c r="T144" s="15">
        <f t="shared" si="25"/>
        <v>5</v>
      </c>
      <c r="U144" s="15" t="str">
        <f t="shared" si="26"/>
        <v>225</v>
      </c>
      <c r="V144" s="15"/>
      <c r="AE144" s="1">
        <f t="shared" si="27"/>
        <v>0</v>
      </c>
      <c r="AF144" s="1">
        <f t="shared" si="28"/>
        <v>0</v>
      </c>
      <c r="AG144" s="1">
        <f t="shared" si="29"/>
        <v>1</v>
      </c>
    </row>
    <row r="145" spans="1:33" ht="15">
      <c r="A145" s="1">
        <v>1565786</v>
      </c>
      <c r="B145" s="1" t="s">
        <v>36</v>
      </c>
      <c r="C145" s="1" t="s">
        <v>54</v>
      </c>
      <c r="D145" s="15" t="str">
        <f t="shared" si="20"/>
        <v>Asian</v>
      </c>
      <c r="E145" s="2">
        <v>21969</v>
      </c>
      <c r="F145" s="1" t="s">
        <v>31</v>
      </c>
      <c r="G145" s="1">
        <v>3</v>
      </c>
      <c r="H145" s="1">
        <v>90031</v>
      </c>
      <c r="I145" s="1">
        <v>80000</v>
      </c>
      <c r="J145" s="1">
        <v>415</v>
      </c>
      <c r="K145" s="1">
        <v>300</v>
      </c>
      <c r="L145" s="1">
        <v>4</v>
      </c>
      <c r="M145" s="1">
        <v>139</v>
      </c>
      <c r="N145" s="1" t="s">
        <v>38</v>
      </c>
      <c r="O145" s="1" t="s">
        <v>52</v>
      </c>
      <c r="P145" s="1">
        <f t="shared" si="21"/>
        <v>3</v>
      </c>
      <c r="Q145" s="1">
        <f t="shared" si="22"/>
        <v>-139</v>
      </c>
      <c r="R145" s="15">
        <f t="shared" si="23"/>
        <v>4</v>
      </c>
      <c r="S145" s="15">
        <f t="shared" si="24"/>
        <v>1</v>
      </c>
      <c r="T145" s="15">
        <f t="shared" si="25"/>
        <v>1</v>
      </c>
      <c r="U145" s="15" t="str">
        <f t="shared" si="26"/>
        <v>411</v>
      </c>
      <c r="V145" s="15"/>
      <c r="AE145" s="1">
        <f t="shared" si="27"/>
        <v>0</v>
      </c>
      <c r="AF145" s="1">
        <f t="shared" si="28"/>
        <v>1</v>
      </c>
      <c r="AG145" s="1">
        <f t="shared" si="29"/>
        <v>0</v>
      </c>
    </row>
    <row r="146" spans="1:33" ht="15">
      <c r="A146" s="1">
        <v>1566013</v>
      </c>
      <c r="B146" s="1" t="s">
        <v>29</v>
      </c>
      <c r="C146" s="1" t="s">
        <v>30</v>
      </c>
      <c r="D146" s="15" t="str">
        <f t="shared" si="20"/>
        <v>Black</v>
      </c>
      <c r="E146" s="2">
        <v>36384</v>
      </c>
      <c r="F146" s="1" t="s">
        <v>31</v>
      </c>
      <c r="G146" s="1">
        <v>1</v>
      </c>
      <c r="H146" s="1">
        <v>90022</v>
      </c>
      <c r="I146" s="1">
        <v>34000</v>
      </c>
      <c r="J146" s="1">
        <v>960</v>
      </c>
      <c r="K146" s="1">
        <v>761</v>
      </c>
      <c r="L146" s="1">
        <v>12</v>
      </c>
      <c r="M146" s="1">
        <v>296</v>
      </c>
      <c r="N146" s="1" t="s">
        <v>61</v>
      </c>
      <c r="O146" s="1" t="s">
        <v>33</v>
      </c>
      <c r="P146" s="1">
        <f t="shared" si="21"/>
        <v>4</v>
      </c>
      <c r="Q146" s="1">
        <f t="shared" si="22"/>
        <v>-296</v>
      </c>
      <c r="R146" s="15">
        <f t="shared" si="23"/>
        <v>1</v>
      </c>
      <c r="S146" s="15">
        <f t="shared" si="24"/>
        <v>5</v>
      </c>
      <c r="T146" s="15">
        <f t="shared" si="25"/>
        <v>3</v>
      </c>
      <c r="U146" s="15" t="str">
        <f t="shared" si="26"/>
        <v>153</v>
      </c>
      <c r="V146" s="15"/>
      <c r="AE146" s="1">
        <f t="shared" si="27"/>
        <v>0</v>
      </c>
      <c r="AF146" s="1">
        <f t="shared" si="28"/>
        <v>0</v>
      </c>
      <c r="AG146" s="1">
        <f t="shared" si="29"/>
        <v>1</v>
      </c>
    </row>
    <row r="147" spans="1:33" ht="15">
      <c r="A147" s="1">
        <v>1566051</v>
      </c>
      <c r="B147" s="1" t="s">
        <v>36</v>
      </c>
      <c r="C147" s="1" t="s">
        <v>46</v>
      </c>
      <c r="D147" s="15" t="str">
        <f t="shared" si="20"/>
        <v>Hispanic</v>
      </c>
      <c r="E147" s="2">
        <v>34967</v>
      </c>
      <c r="F147" s="1" t="s">
        <v>31</v>
      </c>
      <c r="G147" s="1">
        <v>1</v>
      </c>
      <c r="H147" s="1">
        <v>90029</v>
      </c>
      <c r="I147" s="1">
        <v>47000</v>
      </c>
      <c r="J147" s="1">
        <v>274</v>
      </c>
      <c r="K147" s="1">
        <v>517</v>
      </c>
      <c r="L147" s="1">
        <v>10</v>
      </c>
      <c r="M147" s="1">
        <v>345</v>
      </c>
      <c r="N147" s="1" t="s">
        <v>38</v>
      </c>
      <c r="O147" s="1" t="s">
        <v>39</v>
      </c>
      <c r="P147" s="1">
        <f t="shared" si="21"/>
        <v>3</v>
      </c>
      <c r="Q147" s="1">
        <f t="shared" si="22"/>
        <v>-345</v>
      </c>
      <c r="R147" s="15">
        <f t="shared" si="23"/>
        <v>1</v>
      </c>
      <c r="S147" s="15">
        <f t="shared" si="24"/>
        <v>3</v>
      </c>
      <c r="T147" s="15">
        <f t="shared" si="25"/>
        <v>2</v>
      </c>
      <c r="U147" s="15" t="str">
        <f t="shared" si="26"/>
        <v>132</v>
      </c>
      <c r="V147" s="15"/>
      <c r="AE147" s="1">
        <f t="shared" si="27"/>
        <v>1</v>
      </c>
      <c r="AF147" s="1">
        <f t="shared" si="28"/>
        <v>0</v>
      </c>
      <c r="AG147" s="1">
        <f t="shared" si="29"/>
        <v>0</v>
      </c>
    </row>
    <row r="148" spans="1:33" ht="15">
      <c r="A148" s="1">
        <v>1566110</v>
      </c>
      <c r="B148" s="1" t="s">
        <v>36</v>
      </c>
      <c r="C148" s="1" t="s">
        <v>46</v>
      </c>
      <c r="D148" s="15" t="str">
        <f t="shared" si="20"/>
        <v>Hispanic</v>
      </c>
      <c r="E148" s="2">
        <v>24291</v>
      </c>
      <c r="F148" s="1" t="s">
        <v>47</v>
      </c>
      <c r="G148" s="1">
        <v>3</v>
      </c>
      <c r="H148" s="1">
        <v>90055</v>
      </c>
      <c r="I148" s="1">
        <v>51000</v>
      </c>
      <c r="J148" s="1">
        <v>683</v>
      </c>
      <c r="K148" s="1">
        <v>1092</v>
      </c>
      <c r="L148" s="1">
        <v>22</v>
      </c>
      <c r="M148" s="1">
        <v>358</v>
      </c>
      <c r="N148" s="1" t="s">
        <v>61</v>
      </c>
      <c r="O148" s="1" t="s">
        <v>48</v>
      </c>
      <c r="P148" s="1">
        <f t="shared" si="21"/>
        <v>4</v>
      </c>
      <c r="Q148" s="1">
        <f t="shared" si="22"/>
        <v>-358</v>
      </c>
      <c r="R148" s="15">
        <f t="shared" si="23"/>
        <v>1</v>
      </c>
      <c r="S148" s="15">
        <f t="shared" si="24"/>
        <v>5</v>
      </c>
      <c r="T148" s="15">
        <f t="shared" si="25"/>
        <v>5</v>
      </c>
      <c r="U148" s="15" t="str">
        <f t="shared" si="26"/>
        <v>155</v>
      </c>
      <c r="V148" s="15"/>
      <c r="AE148" s="1">
        <f t="shared" si="27"/>
        <v>0</v>
      </c>
      <c r="AF148" s="1">
        <f t="shared" si="28"/>
        <v>0</v>
      </c>
      <c r="AG148" s="1">
        <f t="shared" si="29"/>
        <v>0</v>
      </c>
    </row>
    <row r="149" spans="1:33" ht="15">
      <c r="A149" s="1">
        <v>1566529</v>
      </c>
      <c r="B149" s="1" t="s">
        <v>29</v>
      </c>
      <c r="C149" s="1" t="s">
        <v>37</v>
      </c>
      <c r="D149" s="15" t="str">
        <f t="shared" si="20"/>
        <v>White</v>
      </c>
      <c r="E149" s="2">
        <v>33666</v>
      </c>
      <c r="F149" s="1" t="s">
        <v>31</v>
      </c>
      <c r="G149" s="1">
        <v>3</v>
      </c>
      <c r="H149" s="1">
        <v>90016</v>
      </c>
      <c r="I149" s="1">
        <v>78000</v>
      </c>
      <c r="J149" s="1">
        <v>1164</v>
      </c>
      <c r="K149" s="1">
        <v>1105</v>
      </c>
      <c r="L149" s="1">
        <v>13</v>
      </c>
      <c r="M149" s="1">
        <v>280</v>
      </c>
      <c r="N149" s="1" t="s">
        <v>62</v>
      </c>
      <c r="O149" s="1" t="s">
        <v>48</v>
      </c>
      <c r="P149" s="1">
        <f t="shared" si="21"/>
        <v>2</v>
      </c>
      <c r="Q149" s="1">
        <f t="shared" si="22"/>
        <v>-280</v>
      </c>
      <c r="R149" s="15">
        <f t="shared" si="23"/>
        <v>2</v>
      </c>
      <c r="S149" s="15">
        <f t="shared" si="24"/>
        <v>5</v>
      </c>
      <c r="T149" s="15">
        <f t="shared" si="25"/>
        <v>5</v>
      </c>
      <c r="U149" s="15" t="str">
        <f t="shared" si="26"/>
        <v>255</v>
      </c>
      <c r="V149" s="15"/>
      <c r="AE149" s="1">
        <f t="shared" si="27"/>
        <v>0</v>
      </c>
      <c r="AF149" s="1">
        <f t="shared" si="28"/>
        <v>0</v>
      </c>
      <c r="AG149" s="1">
        <f t="shared" si="29"/>
        <v>0</v>
      </c>
    </row>
    <row r="150" spans="1:33" ht="15">
      <c r="A150" s="1">
        <v>1567124</v>
      </c>
      <c r="B150" s="1" t="s">
        <v>29</v>
      </c>
      <c r="C150" s="1" t="s">
        <v>30</v>
      </c>
      <c r="D150" s="15" t="str">
        <f t="shared" si="20"/>
        <v>Black</v>
      </c>
      <c r="E150" s="2">
        <v>20798</v>
      </c>
      <c r="F150" s="1" t="s">
        <v>47</v>
      </c>
      <c r="G150" s="1">
        <v>5</v>
      </c>
      <c r="H150" s="1">
        <v>90015</v>
      </c>
      <c r="I150" s="1">
        <v>67000</v>
      </c>
      <c r="J150" s="1">
        <v>610</v>
      </c>
      <c r="K150" s="1">
        <v>1128</v>
      </c>
      <c r="L150" s="1">
        <v>10</v>
      </c>
      <c r="M150" s="1">
        <v>59</v>
      </c>
      <c r="N150" s="1" t="s">
        <v>38</v>
      </c>
      <c r="O150" s="1" t="s">
        <v>48</v>
      </c>
      <c r="P150" s="1">
        <f t="shared" si="21"/>
        <v>3</v>
      </c>
      <c r="Q150" s="1">
        <f t="shared" si="22"/>
        <v>-59</v>
      </c>
      <c r="R150" s="15">
        <f t="shared" si="23"/>
        <v>4</v>
      </c>
      <c r="S150" s="15">
        <f t="shared" si="24"/>
        <v>3</v>
      </c>
      <c r="T150" s="15">
        <f t="shared" si="25"/>
        <v>5</v>
      </c>
      <c r="U150" s="15" t="str">
        <f t="shared" si="26"/>
        <v>435</v>
      </c>
      <c r="V150" s="15"/>
      <c r="AE150" s="1">
        <f t="shared" si="27"/>
        <v>0</v>
      </c>
      <c r="AF150" s="1">
        <f t="shared" si="28"/>
        <v>0</v>
      </c>
      <c r="AG150" s="1">
        <f t="shared" si="29"/>
        <v>0</v>
      </c>
    </row>
    <row r="151" spans="1:33" ht="15">
      <c r="A151" s="1">
        <v>1567193</v>
      </c>
      <c r="B151" s="1" t="s">
        <v>29</v>
      </c>
      <c r="C151" s="1" t="s">
        <v>37</v>
      </c>
      <c r="D151" s="15" t="str">
        <f t="shared" si="20"/>
        <v>White</v>
      </c>
      <c r="E151" s="2">
        <v>23665</v>
      </c>
      <c r="F151" s="1" t="s">
        <v>31</v>
      </c>
      <c r="G151" s="1">
        <v>3</v>
      </c>
      <c r="H151" s="1">
        <v>90010</v>
      </c>
      <c r="I151" s="1">
        <v>61000</v>
      </c>
      <c r="J151" s="1">
        <v>1157</v>
      </c>
      <c r="K151" s="1">
        <v>962</v>
      </c>
      <c r="L151" s="1">
        <v>22</v>
      </c>
      <c r="M151" s="1">
        <v>168</v>
      </c>
      <c r="N151" s="1" t="s">
        <v>62</v>
      </c>
      <c r="O151" s="1" t="s">
        <v>39</v>
      </c>
      <c r="P151" s="1">
        <f t="shared" si="21"/>
        <v>2</v>
      </c>
      <c r="Q151" s="1">
        <f t="shared" si="22"/>
        <v>-168</v>
      </c>
      <c r="R151" s="15">
        <f t="shared" si="23"/>
        <v>3</v>
      </c>
      <c r="S151" s="15">
        <f t="shared" si="24"/>
        <v>5</v>
      </c>
      <c r="T151" s="15">
        <f t="shared" si="25"/>
        <v>5</v>
      </c>
      <c r="U151" s="15" t="str">
        <f t="shared" si="26"/>
        <v>355</v>
      </c>
      <c r="V151" s="15"/>
      <c r="AE151" s="1">
        <f t="shared" si="27"/>
        <v>1</v>
      </c>
      <c r="AF151" s="1">
        <f t="shared" si="28"/>
        <v>0</v>
      </c>
      <c r="AG151" s="1">
        <f t="shared" si="29"/>
        <v>0</v>
      </c>
    </row>
    <row r="152" spans="1:33" ht="15">
      <c r="A152" s="1">
        <v>1567195</v>
      </c>
      <c r="B152" s="1" t="s">
        <v>36</v>
      </c>
      <c r="C152" s="1" t="s">
        <v>37</v>
      </c>
      <c r="D152" s="15" t="str">
        <f t="shared" si="20"/>
        <v>White</v>
      </c>
      <c r="E152" s="2">
        <v>21379</v>
      </c>
      <c r="F152" s="1" t="s">
        <v>31</v>
      </c>
      <c r="G152" s="1">
        <v>2</v>
      </c>
      <c r="H152" s="1">
        <v>90047</v>
      </c>
      <c r="I152" s="1">
        <v>136000</v>
      </c>
      <c r="J152" s="1">
        <v>333</v>
      </c>
      <c r="K152" s="1">
        <v>563</v>
      </c>
      <c r="L152" s="1">
        <v>14</v>
      </c>
      <c r="M152" s="1">
        <v>15</v>
      </c>
      <c r="N152" s="1" t="s">
        <v>61</v>
      </c>
      <c r="O152" s="1" t="s">
        <v>48</v>
      </c>
      <c r="P152" s="1">
        <f t="shared" si="21"/>
        <v>4</v>
      </c>
      <c r="Q152" s="1">
        <f t="shared" si="22"/>
        <v>-15</v>
      </c>
      <c r="R152" s="15">
        <f t="shared" si="23"/>
        <v>4</v>
      </c>
      <c r="S152" s="15">
        <f t="shared" si="24"/>
        <v>5</v>
      </c>
      <c r="T152" s="15">
        <f t="shared" si="25"/>
        <v>3</v>
      </c>
      <c r="U152" s="15" t="str">
        <f t="shared" si="26"/>
        <v>453</v>
      </c>
      <c r="V152" s="15"/>
      <c r="AE152" s="1">
        <f t="shared" si="27"/>
        <v>0</v>
      </c>
      <c r="AF152" s="1">
        <f t="shared" si="28"/>
        <v>0</v>
      </c>
      <c r="AG152" s="1">
        <f t="shared" si="29"/>
        <v>0</v>
      </c>
    </row>
    <row r="153" spans="1:33" ht="15">
      <c r="A153" s="1">
        <v>1567250</v>
      </c>
      <c r="B153" s="1" t="s">
        <v>36</v>
      </c>
      <c r="C153" s="1" t="s">
        <v>37</v>
      </c>
      <c r="D153" s="15" t="str">
        <f t="shared" si="20"/>
        <v>White</v>
      </c>
      <c r="E153" s="2">
        <v>28197</v>
      </c>
      <c r="F153" s="1" t="s">
        <v>31</v>
      </c>
      <c r="G153" s="1">
        <v>4</v>
      </c>
      <c r="H153" s="1">
        <v>90050</v>
      </c>
      <c r="I153" s="1">
        <v>77000</v>
      </c>
      <c r="J153" s="1">
        <v>275</v>
      </c>
      <c r="K153" s="1">
        <v>288</v>
      </c>
      <c r="L153" s="1">
        <v>2</v>
      </c>
      <c r="M153" s="1">
        <v>174</v>
      </c>
      <c r="N153" s="1" t="s">
        <v>61</v>
      </c>
      <c r="O153" s="1" t="s">
        <v>33</v>
      </c>
      <c r="P153" s="1">
        <f t="shared" si="21"/>
        <v>4</v>
      </c>
      <c r="Q153" s="1">
        <f t="shared" si="22"/>
        <v>-174</v>
      </c>
      <c r="R153" s="15">
        <f t="shared" si="23"/>
        <v>3</v>
      </c>
      <c r="S153" s="15">
        <f t="shared" si="24"/>
        <v>1</v>
      </c>
      <c r="T153" s="15">
        <f t="shared" si="25"/>
        <v>1</v>
      </c>
      <c r="U153" s="15" t="str">
        <f t="shared" si="26"/>
        <v>311</v>
      </c>
      <c r="V153" s="15"/>
      <c r="AE153" s="1">
        <f t="shared" si="27"/>
        <v>0</v>
      </c>
      <c r="AF153" s="1">
        <f t="shared" si="28"/>
        <v>0</v>
      </c>
      <c r="AG153" s="1">
        <f t="shared" si="29"/>
        <v>1</v>
      </c>
    </row>
    <row r="154" spans="1:33" ht="15">
      <c r="A154" s="1">
        <v>1567389</v>
      </c>
      <c r="B154" s="1" t="s">
        <v>29</v>
      </c>
      <c r="C154" s="1" t="s">
        <v>30</v>
      </c>
      <c r="D154" s="15" t="str">
        <f t="shared" si="20"/>
        <v>Black</v>
      </c>
      <c r="E154" s="2">
        <v>36869</v>
      </c>
      <c r="F154" s="1" t="s">
        <v>31</v>
      </c>
      <c r="G154" s="1">
        <v>2</v>
      </c>
      <c r="H154" s="1">
        <v>90030</v>
      </c>
      <c r="I154" s="1">
        <v>41000</v>
      </c>
      <c r="J154" s="1">
        <v>1344</v>
      </c>
      <c r="K154" s="1">
        <v>979</v>
      </c>
      <c r="L154" s="1">
        <v>9</v>
      </c>
      <c r="M154" s="1">
        <v>213</v>
      </c>
      <c r="N154" s="1" t="s">
        <v>42</v>
      </c>
      <c r="O154" s="1" t="s">
        <v>48</v>
      </c>
      <c r="P154" s="1">
        <f t="shared" si="21"/>
        <v>5</v>
      </c>
      <c r="Q154" s="1">
        <f t="shared" si="22"/>
        <v>-213</v>
      </c>
      <c r="R154" s="15">
        <f t="shared" si="23"/>
        <v>3</v>
      </c>
      <c r="S154" s="15">
        <f t="shared" si="24"/>
        <v>3</v>
      </c>
      <c r="T154" s="15">
        <f t="shared" si="25"/>
        <v>5</v>
      </c>
      <c r="U154" s="15" t="str">
        <f t="shared" si="26"/>
        <v>335</v>
      </c>
      <c r="V154" s="15"/>
      <c r="AE154" s="1">
        <f t="shared" si="27"/>
        <v>0</v>
      </c>
      <c r="AF154" s="1">
        <f t="shared" si="28"/>
        <v>0</v>
      </c>
      <c r="AG154" s="1">
        <f t="shared" si="29"/>
        <v>0</v>
      </c>
    </row>
    <row r="155" spans="1:33" ht="15">
      <c r="A155" s="1">
        <v>1567469</v>
      </c>
      <c r="B155" s="1" t="s">
        <v>36</v>
      </c>
      <c r="C155" s="1" t="s">
        <v>37</v>
      </c>
      <c r="D155" s="15" t="str">
        <f t="shared" si="20"/>
        <v>White</v>
      </c>
      <c r="E155" s="2">
        <v>21964</v>
      </c>
      <c r="F155" s="1" t="s">
        <v>31</v>
      </c>
      <c r="G155" s="1">
        <v>1</v>
      </c>
      <c r="H155" s="1">
        <v>90065</v>
      </c>
      <c r="I155" s="1">
        <v>87000</v>
      </c>
      <c r="J155" s="1">
        <v>157</v>
      </c>
      <c r="K155" s="1">
        <v>247</v>
      </c>
      <c r="L155" s="1">
        <v>4</v>
      </c>
      <c r="M155" s="1">
        <v>129</v>
      </c>
      <c r="N155" s="1" t="s">
        <v>61</v>
      </c>
      <c r="O155" s="1" t="s">
        <v>52</v>
      </c>
      <c r="P155" s="1">
        <f t="shared" si="21"/>
        <v>4</v>
      </c>
      <c r="Q155" s="1">
        <f t="shared" si="22"/>
        <v>-129</v>
      </c>
      <c r="R155" s="15">
        <f t="shared" si="23"/>
        <v>4</v>
      </c>
      <c r="S155" s="15">
        <f t="shared" si="24"/>
        <v>1</v>
      </c>
      <c r="T155" s="15">
        <f t="shared" si="25"/>
        <v>1</v>
      </c>
      <c r="U155" s="15" t="str">
        <f t="shared" si="26"/>
        <v>411</v>
      </c>
      <c r="V155" s="15"/>
      <c r="AE155" s="1">
        <f t="shared" si="27"/>
        <v>0</v>
      </c>
      <c r="AF155" s="1">
        <f t="shared" si="28"/>
        <v>1</v>
      </c>
      <c r="AG155" s="1">
        <f t="shared" si="29"/>
        <v>0</v>
      </c>
    </row>
    <row r="156" spans="1:33" ht="15">
      <c r="A156" s="1">
        <v>1567597</v>
      </c>
      <c r="B156" s="1" t="s">
        <v>36</v>
      </c>
      <c r="C156" s="1" t="s">
        <v>37</v>
      </c>
      <c r="D156" s="15" t="str">
        <f t="shared" si="20"/>
        <v>White</v>
      </c>
      <c r="E156" s="2">
        <v>29834</v>
      </c>
      <c r="F156" s="1" t="s">
        <v>47</v>
      </c>
      <c r="G156" s="1">
        <v>1</v>
      </c>
      <c r="H156" s="1">
        <v>90032</v>
      </c>
      <c r="I156" s="1">
        <v>71000</v>
      </c>
      <c r="J156" s="1">
        <v>882</v>
      </c>
      <c r="K156" s="1">
        <v>659</v>
      </c>
      <c r="L156" s="1">
        <v>11</v>
      </c>
      <c r="M156" s="1">
        <v>121</v>
      </c>
      <c r="N156" s="1" t="s">
        <v>42</v>
      </c>
      <c r="O156" s="1" t="s">
        <v>52</v>
      </c>
      <c r="P156" s="1">
        <f t="shared" si="21"/>
        <v>5</v>
      </c>
      <c r="Q156" s="1">
        <f t="shared" si="22"/>
        <v>-121</v>
      </c>
      <c r="R156" s="15">
        <f t="shared" si="23"/>
        <v>4</v>
      </c>
      <c r="S156" s="15">
        <f t="shared" si="24"/>
        <v>3</v>
      </c>
      <c r="T156" s="15">
        <f t="shared" si="25"/>
        <v>3</v>
      </c>
      <c r="U156" s="15" t="str">
        <f t="shared" si="26"/>
        <v>433</v>
      </c>
      <c r="V156" s="15"/>
      <c r="AE156" s="1">
        <f t="shared" si="27"/>
        <v>0</v>
      </c>
      <c r="AF156" s="1">
        <f t="shared" si="28"/>
        <v>1</v>
      </c>
      <c r="AG156" s="1">
        <f t="shared" si="29"/>
        <v>0</v>
      </c>
    </row>
    <row r="157" spans="1:33" ht="15">
      <c r="A157" s="1">
        <v>1567998</v>
      </c>
      <c r="B157" s="1" t="s">
        <v>29</v>
      </c>
      <c r="C157" s="1" t="s">
        <v>37</v>
      </c>
      <c r="D157" s="15" t="str">
        <f t="shared" si="20"/>
        <v>White</v>
      </c>
      <c r="E157" s="2">
        <v>32290</v>
      </c>
      <c r="F157" s="1" t="s">
        <v>31</v>
      </c>
      <c r="G157" s="1">
        <v>2</v>
      </c>
      <c r="H157" s="1">
        <v>90014</v>
      </c>
      <c r="I157" s="1">
        <v>40000</v>
      </c>
      <c r="J157" s="1">
        <v>653</v>
      </c>
      <c r="K157" s="1">
        <v>556</v>
      </c>
      <c r="L157" s="1">
        <v>5</v>
      </c>
      <c r="M157" s="1">
        <v>100</v>
      </c>
      <c r="N157" s="1" t="s">
        <v>61</v>
      </c>
      <c r="O157" s="1" t="s">
        <v>52</v>
      </c>
      <c r="P157" s="1">
        <f t="shared" si="21"/>
        <v>4</v>
      </c>
      <c r="Q157" s="1">
        <f t="shared" si="22"/>
        <v>-100</v>
      </c>
      <c r="R157" s="15">
        <f t="shared" si="23"/>
        <v>4</v>
      </c>
      <c r="S157" s="15">
        <f t="shared" si="24"/>
        <v>2</v>
      </c>
      <c r="T157" s="15">
        <f t="shared" si="25"/>
        <v>3</v>
      </c>
      <c r="U157" s="15" t="str">
        <f t="shared" si="26"/>
        <v>423</v>
      </c>
      <c r="V157" s="15"/>
      <c r="AE157" s="1">
        <f t="shared" si="27"/>
        <v>0</v>
      </c>
      <c r="AF157" s="1">
        <f t="shared" si="28"/>
        <v>1</v>
      </c>
      <c r="AG157" s="1">
        <f t="shared" si="29"/>
        <v>0</v>
      </c>
    </row>
    <row r="158" spans="1:33" ht="15">
      <c r="A158" s="1">
        <v>1568380</v>
      </c>
      <c r="B158" s="1" t="s">
        <v>29</v>
      </c>
      <c r="C158" s="1" t="s">
        <v>59</v>
      </c>
      <c r="D158" s="15" t="str">
        <f t="shared" si="20"/>
        <v>Other</v>
      </c>
      <c r="E158" s="2">
        <v>20686</v>
      </c>
      <c r="F158" s="1" t="s">
        <v>31</v>
      </c>
      <c r="G158" s="1">
        <v>2</v>
      </c>
      <c r="H158" s="1">
        <v>90020</v>
      </c>
      <c r="I158" s="1">
        <v>62000</v>
      </c>
      <c r="J158" s="1">
        <v>1096</v>
      </c>
      <c r="K158" s="1">
        <v>963</v>
      </c>
      <c r="L158" s="1">
        <v>9</v>
      </c>
      <c r="M158" s="1">
        <v>231</v>
      </c>
      <c r="N158" s="1" t="s">
        <v>38</v>
      </c>
      <c r="O158" s="1" t="s">
        <v>39</v>
      </c>
      <c r="P158" s="1">
        <f t="shared" si="21"/>
        <v>3</v>
      </c>
      <c r="Q158" s="1">
        <f t="shared" si="22"/>
        <v>-231</v>
      </c>
      <c r="R158" s="15">
        <f t="shared" si="23"/>
        <v>2</v>
      </c>
      <c r="S158" s="15">
        <f t="shared" si="24"/>
        <v>3</v>
      </c>
      <c r="T158" s="15">
        <f t="shared" si="25"/>
        <v>5</v>
      </c>
      <c r="U158" s="15" t="str">
        <f t="shared" si="26"/>
        <v>235</v>
      </c>
      <c r="V158" s="15"/>
      <c r="AE158" s="1">
        <f t="shared" si="27"/>
        <v>1</v>
      </c>
      <c r="AF158" s="1">
        <f t="shared" si="28"/>
        <v>0</v>
      </c>
      <c r="AG158" s="1">
        <f t="shared" si="29"/>
        <v>0</v>
      </c>
    </row>
    <row r="159" spans="1:33" ht="15">
      <c r="A159" s="1">
        <v>1568821</v>
      </c>
      <c r="B159" s="1" t="s">
        <v>29</v>
      </c>
      <c r="C159" s="1" t="s">
        <v>37</v>
      </c>
      <c r="D159" s="15" t="str">
        <f t="shared" si="20"/>
        <v>White</v>
      </c>
      <c r="E159" s="2">
        <v>27207</v>
      </c>
      <c r="F159" s="1" t="s">
        <v>31</v>
      </c>
      <c r="G159" s="1">
        <v>2</v>
      </c>
      <c r="H159" s="1">
        <v>90034</v>
      </c>
      <c r="I159" s="1">
        <v>52000</v>
      </c>
      <c r="J159" s="1">
        <v>572</v>
      </c>
      <c r="K159" s="1">
        <v>698</v>
      </c>
      <c r="L159" s="1">
        <v>10</v>
      </c>
      <c r="M159" s="1">
        <v>345</v>
      </c>
      <c r="N159" s="1" t="s">
        <v>61</v>
      </c>
      <c r="O159" s="1" t="s">
        <v>39</v>
      </c>
      <c r="P159" s="1">
        <f t="shared" si="21"/>
        <v>4</v>
      </c>
      <c r="Q159" s="1">
        <f t="shared" si="22"/>
        <v>-345</v>
      </c>
      <c r="R159" s="15">
        <f t="shared" si="23"/>
        <v>1</v>
      </c>
      <c r="S159" s="15">
        <f t="shared" si="24"/>
        <v>3</v>
      </c>
      <c r="T159" s="15">
        <f t="shared" si="25"/>
        <v>3</v>
      </c>
      <c r="U159" s="15" t="str">
        <f t="shared" si="26"/>
        <v>133</v>
      </c>
      <c r="V159" s="15"/>
      <c r="AE159" s="1">
        <f t="shared" si="27"/>
        <v>1</v>
      </c>
      <c r="AF159" s="1">
        <f t="shared" si="28"/>
        <v>0</v>
      </c>
      <c r="AG159" s="1">
        <f t="shared" si="29"/>
        <v>0</v>
      </c>
    </row>
    <row r="160" spans="1:33" ht="15">
      <c r="A160" s="1">
        <v>1569187</v>
      </c>
      <c r="B160" s="1" t="s">
        <v>36</v>
      </c>
      <c r="C160" s="1" t="s">
        <v>30</v>
      </c>
      <c r="D160" s="15" t="str">
        <f t="shared" si="20"/>
        <v>Black</v>
      </c>
      <c r="E160" s="2">
        <v>20497</v>
      </c>
      <c r="F160" s="1" t="s">
        <v>31</v>
      </c>
      <c r="G160" s="1">
        <v>4</v>
      </c>
      <c r="H160" s="1">
        <v>90054</v>
      </c>
      <c r="I160" s="1">
        <v>68000</v>
      </c>
      <c r="J160" s="1">
        <v>758</v>
      </c>
      <c r="K160" s="1">
        <v>620</v>
      </c>
      <c r="L160" s="1">
        <v>11</v>
      </c>
      <c r="M160" s="1">
        <v>97</v>
      </c>
      <c r="N160" s="1" t="s">
        <v>62</v>
      </c>
      <c r="O160" s="1" t="s">
        <v>48</v>
      </c>
      <c r="P160" s="1">
        <f t="shared" si="21"/>
        <v>2</v>
      </c>
      <c r="Q160" s="1">
        <f t="shared" si="22"/>
        <v>-97</v>
      </c>
      <c r="R160" s="15">
        <f t="shared" si="23"/>
        <v>4</v>
      </c>
      <c r="S160" s="15">
        <f t="shared" si="24"/>
        <v>3</v>
      </c>
      <c r="T160" s="15">
        <f t="shared" si="25"/>
        <v>3</v>
      </c>
      <c r="U160" s="15" t="str">
        <f t="shared" si="26"/>
        <v>433</v>
      </c>
      <c r="V160" s="15"/>
      <c r="AE160" s="1">
        <f t="shared" si="27"/>
        <v>0</v>
      </c>
      <c r="AF160" s="1">
        <f t="shared" si="28"/>
        <v>0</v>
      </c>
      <c r="AG160" s="1">
        <f t="shared" si="29"/>
        <v>0</v>
      </c>
    </row>
    <row r="161" spans="1:33" ht="15">
      <c r="A161" s="1">
        <v>1569198</v>
      </c>
      <c r="B161" s="1" t="s">
        <v>36</v>
      </c>
      <c r="C161" s="1" t="s">
        <v>46</v>
      </c>
      <c r="D161" s="15" t="str">
        <f t="shared" si="20"/>
        <v>Hispanic</v>
      </c>
      <c r="E161" s="2">
        <v>19878</v>
      </c>
      <c r="F161" s="1" t="s">
        <v>31</v>
      </c>
      <c r="G161" s="1">
        <v>4</v>
      </c>
      <c r="H161" s="1">
        <v>90064</v>
      </c>
      <c r="I161" s="1">
        <v>54000</v>
      </c>
      <c r="J161" s="1">
        <v>835</v>
      </c>
      <c r="K161" s="1">
        <v>920</v>
      </c>
      <c r="L161" s="1">
        <v>23</v>
      </c>
      <c r="M161" s="1">
        <v>331</v>
      </c>
      <c r="N161" s="1" t="s">
        <v>61</v>
      </c>
      <c r="O161" s="1" t="s">
        <v>48</v>
      </c>
      <c r="P161" s="1">
        <f t="shared" si="21"/>
        <v>4</v>
      </c>
      <c r="Q161" s="1">
        <f t="shared" si="22"/>
        <v>-331</v>
      </c>
      <c r="R161" s="15">
        <f t="shared" si="23"/>
        <v>1</v>
      </c>
      <c r="S161" s="15">
        <f t="shared" si="24"/>
        <v>5</v>
      </c>
      <c r="T161" s="15">
        <f t="shared" si="25"/>
        <v>5</v>
      </c>
      <c r="U161" s="15" t="str">
        <f t="shared" si="26"/>
        <v>155</v>
      </c>
      <c r="V161" s="15"/>
      <c r="AE161" s="1">
        <f t="shared" si="27"/>
        <v>0</v>
      </c>
      <c r="AF161" s="1">
        <f t="shared" si="28"/>
        <v>0</v>
      </c>
      <c r="AG161" s="1">
        <f t="shared" si="29"/>
        <v>0</v>
      </c>
    </row>
    <row r="162" spans="1:33" ht="15">
      <c r="A162" s="1">
        <v>1569840</v>
      </c>
      <c r="B162" s="1" t="s">
        <v>29</v>
      </c>
      <c r="C162" s="1" t="s">
        <v>37</v>
      </c>
      <c r="D162" s="15" t="str">
        <f t="shared" si="20"/>
        <v>White</v>
      </c>
      <c r="E162" s="2">
        <v>32745</v>
      </c>
      <c r="F162" s="1" t="s">
        <v>31</v>
      </c>
      <c r="G162" s="1">
        <v>1</v>
      </c>
      <c r="H162" s="1">
        <v>90007</v>
      </c>
      <c r="I162" s="1">
        <v>44000</v>
      </c>
      <c r="J162" s="1">
        <v>700</v>
      </c>
      <c r="K162" s="1">
        <v>823</v>
      </c>
      <c r="L162" s="1">
        <v>20</v>
      </c>
      <c r="M162" s="1">
        <v>173</v>
      </c>
      <c r="N162" s="1" t="s">
        <v>61</v>
      </c>
      <c r="O162" s="1" t="s">
        <v>48</v>
      </c>
      <c r="P162" s="1">
        <f t="shared" si="21"/>
        <v>4</v>
      </c>
      <c r="Q162" s="1">
        <f t="shared" si="22"/>
        <v>-173</v>
      </c>
      <c r="R162" s="15">
        <f t="shared" si="23"/>
        <v>3</v>
      </c>
      <c r="S162" s="15">
        <f t="shared" si="24"/>
        <v>5</v>
      </c>
      <c r="T162" s="15">
        <f t="shared" si="25"/>
        <v>5</v>
      </c>
      <c r="U162" s="15" t="str">
        <f t="shared" si="26"/>
        <v>355</v>
      </c>
      <c r="V162" s="15"/>
      <c r="AE162" s="1">
        <f t="shared" si="27"/>
        <v>0</v>
      </c>
      <c r="AF162" s="1">
        <f t="shared" si="28"/>
        <v>0</v>
      </c>
      <c r="AG162" s="1">
        <f t="shared" si="29"/>
        <v>0</v>
      </c>
    </row>
    <row r="163" spans="1:33" ht="15">
      <c r="A163" s="1">
        <v>1570150</v>
      </c>
      <c r="B163" s="1" t="s">
        <v>29</v>
      </c>
      <c r="C163" s="1" t="s">
        <v>37</v>
      </c>
      <c r="D163" s="15" t="str">
        <f t="shared" si="20"/>
        <v>White</v>
      </c>
      <c r="E163" s="2">
        <v>23078</v>
      </c>
      <c r="F163" s="1" t="s">
        <v>47</v>
      </c>
      <c r="G163" s="1">
        <v>3</v>
      </c>
      <c r="H163" s="1">
        <v>90054</v>
      </c>
      <c r="I163" s="1">
        <v>53000</v>
      </c>
      <c r="J163" s="1">
        <v>947</v>
      </c>
      <c r="K163" s="1">
        <v>1155</v>
      </c>
      <c r="L163" s="1">
        <v>27</v>
      </c>
      <c r="M163" s="1">
        <v>352</v>
      </c>
      <c r="N163" s="1" t="s">
        <v>42</v>
      </c>
      <c r="O163" s="1" t="s">
        <v>39</v>
      </c>
      <c r="P163" s="1">
        <f t="shared" si="21"/>
        <v>5</v>
      </c>
      <c r="Q163" s="1">
        <f t="shared" si="22"/>
        <v>-352</v>
      </c>
      <c r="R163" s="15">
        <f t="shared" si="23"/>
        <v>1</v>
      </c>
      <c r="S163" s="15">
        <f t="shared" si="24"/>
        <v>5</v>
      </c>
      <c r="T163" s="15">
        <f t="shared" si="25"/>
        <v>5</v>
      </c>
      <c r="U163" s="15" t="str">
        <f t="shared" si="26"/>
        <v>155</v>
      </c>
      <c r="V163" s="15"/>
      <c r="AE163" s="1">
        <f t="shared" si="27"/>
        <v>1</v>
      </c>
      <c r="AF163" s="1">
        <f t="shared" si="28"/>
        <v>0</v>
      </c>
      <c r="AG163" s="1">
        <f t="shared" si="29"/>
        <v>0</v>
      </c>
    </row>
    <row r="164" spans="1:33" ht="15">
      <c r="A164" s="1">
        <v>1571158</v>
      </c>
      <c r="B164" s="1" t="s">
        <v>36</v>
      </c>
      <c r="C164" s="1" t="s">
        <v>30</v>
      </c>
      <c r="D164" s="15" t="str">
        <f t="shared" si="20"/>
        <v>Black</v>
      </c>
      <c r="E164" s="2">
        <v>29181</v>
      </c>
      <c r="F164" s="1" t="s">
        <v>31</v>
      </c>
      <c r="G164" s="1">
        <v>1</v>
      </c>
      <c r="H164" s="1">
        <v>90052</v>
      </c>
      <c r="I164" s="1">
        <v>74000</v>
      </c>
      <c r="J164" s="1">
        <v>214</v>
      </c>
      <c r="K164" s="1">
        <v>220</v>
      </c>
      <c r="L164" s="1">
        <v>2</v>
      </c>
      <c r="M164" s="1">
        <v>134</v>
      </c>
      <c r="N164" s="1" t="s">
        <v>61</v>
      </c>
      <c r="O164" s="1" t="s">
        <v>48</v>
      </c>
      <c r="P164" s="1">
        <f t="shared" si="21"/>
        <v>4</v>
      </c>
      <c r="Q164" s="1">
        <f t="shared" si="22"/>
        <v>-134</v>
      </c>
      <c r="R164" s="15">
        <f t="shared" si="23"/>
        <v>4</v>
      </c>
      <c r="S164" s="15">
        <f t="shared" si="24"/>
        <v>1</v>
      </c>
      <c r="T164" s="15">
        <f t="shared" si="25"/>
        <v>1</v>
      </c>
      <c r="U164" s="15" t="str">
        <f t="shared" si="26"/>
        <v>411</v>
      </c>
      <c r="V164" s="15"/>
      <c r="AE164" s="1">
        <f t="shared" si="27"/>
        <v>0</v>
      </c>
      <c r="AF164" s="1">
        <f t="shared" si="28"/>
        <v>0</v>
      </c>
      <c r="AG164" s="1">
        <f t="shared" si="29"/>
        <v>0</v>
      </c>
    </row>
    <row r="165" spans="1:33" ht="15">
      <c r="A165" s="1">
        <v>1571419</v>
      </c>
      <c r="B165" s="1" t="s">
        <v>29</v>
      </c>
      <c r="C165" s="1" t="s">
        <v>30</v>
      </c>
      <c r="D165" s="15" t="str">
        <f t="shared" si="20"/>
        <v>Black</v>
      </c>
      <c r="E165" s="2">
        <v>23606</v>
      </c>
      <c r="F165" s="1" t="s">
        <v>31</v>
      </c>
      <c r="G165" s="1">
        <v>5</v>
      </c>
      <c r="H165" s="1">
        <v>90064</v>
      </c>
      <c r="I165" s="1">
        <v>41000</v>
      </c>
      <c r="J165" s="1">
        <v>1285</v>
      </c>
      <c r="K165" s="1">
        <v>1137</v>
      </c>
      <c r="L165" s="1">
        <v>18</v>
      </c>
      <c r="M165" s="1">
        <v>44</v>
      </c>
      <c r="N165" s="1" t="s">
        <v>42</v>
      </c>
      <c r="O165" s="1" t="s">
        <v>48</v>
      </c>
      <c r="P165" s="1">
        <f t="shared" si="21"/>
        <v>5</v>
      </c>
      <c r="Q165" s="1">
        <f t="shared" si="22"/>
        <v>-44</v>
      </c>
      <c r="R165" s="15">
        <f t="shared" si="23"/>
        <v>4</v>
      </c>
      <c r="S165" s="15">
        <f t="shared" si="24"/>
        <v>5</v>
      </c>
      <c r="T165" s="15">
        <f t="shared" si="25"/>
        <v>5</v>
      </c>
      <c r="U165" s="15" t="str">
        <f t="shared" si="26"/>
        <v>455</v>
      </c>
      <c r="V165" s="15"/>
      <c r="AE165" s="1">
        <f t="shared" si="27"/>
        <v>0</v>
      </c>
      <c r="AF165" s="1">
        <f t="shared" si="28"/>
        <v>0</v>
      </c>
      <c r="AG165" s="1">
        <f t="shared" si="29"/>
        <v>0</v>
      </c>
    </row>
    <row r="166" spans="1:33" ht="15">
      <c r="A166" s="1">
        <v>1571455</v>
      </c>
      <c r="B166" s="1" t="s">
        <v>36</v>
      </c>
      <c r="C166" s="1" t="s">
        <v>54</v>
      </c>
      <c r="D166" s="15" t="str">
        <f t="shared" si="20"/>
        <v>Asian</v>
      </c>
      <c r="E166" s="2">
        <v>21980</v>
      </c>
      <c r="F166" s="1" t="s">
        <v>31</v>
      </c>
      <c r="G166" s="1">
        <v>4</v>
      </c>
      <c r="H166" s="1">
        <v>90043</v>
      </c>
      <c r="I166" s="1">
        <v>95000</v>
      </c>
      <c r="J166" s="1">
        <v>585</v>
      </c>
      <c r="K166" s="1">
        <v>1144</v>
      </c>
      <c r="L166" s="1">
        <v>7</v>
      </c>
      <c r="M166" s="1">
        <v>176</v>
      </c>
      <c r="N166" s="1" t="s">
        <v>42</v>
      </c>
      <c r="O166" s="1" t="s">
        <v>48</v>
      </c>
      <c r="P166" s="1">
        <f t="shared" si="21"/>
        <v>5</v>
      </c>
      <c r="Q166" s="1">
        <f t="shared" si="22"/>
        <v>-176</v>
      </c>
      <c r="R166" s="15">
        <f t="shared" si="23"/>
        <v>3</v>
      </c>
      <c r="S166" s="15">
        <f t="shared" si="24"/>
        <v>2</v>
      </c>
      <c r="T166" s="15">
        <f t="shared" si="25"/>
        <v>5</v>
      </c>
      <c r="U166" s="15" t="str">
        <f t="shared" si="26"/>
        <v>325</v>
      </c>
      <c r="V166" s="15"/>
      <c r="AE166" s="1">
        <f t="shared" si="27"/>
        <v>0</v>
      </c>
      <c r="AF166" s="1">
        <f t="shared" si="28"/>
        <v>0</v>
      </c>
      <c r="AG166" s="1">
        <f t="shared" si="29"/>
        <v>0</v>
      </c>
    </row>
    <row r="167" spans="1:33" ht="15">
      <c r="A167" s="1">
        <v>1571457</v>
      </c>
      <c r="B167" s="1" t="s">
        <v>36</v>
      </c>
      <c r="C167" s="1" t="s">
        <v>37</v>
      </c>
      <c r="D167" s="15" t="str">
        <f t="shared" si="20"/>
        <v>White</v>
      </c>
      <c r="E167" s="2">
        <v>35114</v>
      </c>
      <c r="F167" s="1" t="s">
        <v>31</v>
      </c>
      <c r="G167" s="1">
        <v>1</v>
      </c>
      <c r="H167" s="1">
        <v>90001</v>
      </c>
      <c r="I167" s="1">
        <v>99000</v>
      </c>
      <c r="J167" s="1">
        <v>963</v>
      </c>
      <c r="K167" s="1">
        <v>1099</v>
      </c>
      <c r="L167" s="1">
        <v>13</v>
      </c>
      <c r="M167" s="1">
        <v>248</v>
      </c>
      <c r="N167" s="1" t="s">
        <v>61</v>
      </c>
      <c r="O167" s="1" t="s">
        <v>33</v>
      </c>
      <c r="P167" s="1">
        <f t="shared" si="21"/>
        <v>4</v>
      </c>
      <c r="Q167" s="1">
        <f t="shared" si="22"/>
        <v>-248</v>
      </c>
      <c r="R167" s="15">
        <f t="shared" si="23"/>
        <v>2</v>
      </c>
      <c r="S167" s="15">
        <f t="shared" si="24"/>
        <v>5</v>
      </c>
      <c r="T167" s="15">
        <f t="shared" si="25"/>
        <v>5</v>
      </c>
      <c r="U167" s="15" t="str">
        <f t="shared" si="26"/>
        <v>255</v>
      </c>
      <c r="V167" s="15"/>
      <c r="AE167" s="1">
        <f t="shared" si="27"/>
        <v>0</v>
      </c>
      <c r="AF167" s="1">
        <f t="shared" si="28"/>
        <v>0</v>
      </c>
      <c r="AG167" s="1">
        <f t="shared" si="29"/>
        <v>1</v>
      </c>
    </row>
    <row r="168" spans="1:33" ht="15">
      <c r="A168" s="1">
        <v>1571887</v>
      </c>
      <c r="B168" s="1" t="s">
        <v>36</v>
      </c>
      <c r="C168" s="1" t="s">
        <v>30</v>
      </c>
      <c r="D168" s="15" t="str">
        <f t="shared" si="20"/>
        <v>Black</v>
      </c>
      <c r="E168" s="2">
        <v>27983</v>
      </c>
      <c r="F168" s="1" t="s">
        <v>31</v>
      </c>
      <c r="G168" s="1">
        <v>5</v>
      </c>
      <c r="H168" s="1">
        <v>90013</v>
      </c>
      <c r="I168" s="1">
        <v>99000</v>
      </c>
      <c r="J168" s="1">
        <v>610</v>
      </c>
      <c r="K168" s="1">
        <v>520</v>
      </c>
      <c r="L168" s="1">
        <v>7</v>
      </c>
      <c r="M168" s="1">
        <v>68</v>
      </c>
      <c r="N168" s="1" t="s">
        <v>38</v>
      </c>
      <c r="O168" s="1" t="s">
        <v>33</v>
      </c>
      <c r="P168" s="1">
        <f t="shared" si="21"/>
        <v>3</v>
      </c>
      <c r="Q168" s="1">
        <f t="shared" si="22"/>
        <v>-68</v>
      </c>
      <c r="R168" s="15">
        <f t="shared" si="23"/>
        <v>4</v>
      </c>
      <c r="S168" s="15">
        <f t="shared" si="24"/>
        <v>2</v>
      </c>
      <c r="T168" s="15">
        <f t="shared" si="25"/>
        <v>2</v>
      </c>
      <c r="U168" s="15" t="str">
        <f t="shared" si="26"/>
        <v>422</v>
      </c>
      <c r="V168" s="15"/>
      <c r="AE168" s="1">
        <f t="shared" si="27"/>
        <v>0</v>
      </c>
      <c r="AF168" s="1">
        <f t="shared" si="28"/>
        <v>0</v>
      </c>
      <c r="AG168" s="1">
        <f t="shared" si="29"/>
        <v>1</v>
      </c>
    </row>
    <row r="169" spans="1:33" ht="15">
      <c r="A169" s="1">
        <v>1571944</v>
      </c>
      <c r="B169" s="1" t="s">
        <v>36</v>
      </c>
      <c r="C169" s="1" t="s">
        <v>37</v>
      </c>
      <c r="D169" s="15" t="str">
        <f t="shared" si="20"/>
        <v>White</v>
      </c>
      <c r="E169" s="2">
        <v>24796</v>
      </c>
      <c r="F169" s="1" t="s">
        <v>31</v>
      </c>
      <c r="G169" s="1">
        <v>5</v>
      </c>
      <c r="H169" s="1">
        <v>90001</v>
      </c>
      <c r="I169" s="1">
        <v>86000</v>
      </c>
      <c r="J169" s="1">
        <v>312</v>
      </c>
      <c r="K169" s="1">
        <v>226</v>
      </c>
      <c r="L169" s="1">
        <v>2</v>
      </c>
      <c r="M169" s="1">
        <v>100</v>
      </c>
      <c r="N169" s="1" t="s">
        <v>61</v>
      </c>
      <c r="O169" s="1" t="s">
        <v>39</v>
      </c>
      <c r="P169" s="1">
        <f t="shared" si="21"/>
        <v>4</v>
      </c>
      <c r="Q169" s="1">
        <f t="shared" si="22"/>
        <v>-100</v>
      </c>
      <c r="R169" s="15">
        <f t="shared" si="23"/>
        <v>4</v>
      </c>
      <c r="S169" s="15">
        <f t="shared" si="24"/>
        <v>1</v>
      </c>
      <c r="T169" s="15">
        <f t="shared" si="25"/>
        <v>1</v>
      </c>
      <c r="U169" s="15" t="str">
        <f t="shared" si="26"/>
        <v>411</v>
      </c>
      <c r="V169" s="15"/>
      <c r="AE169" s="1">
        <f t="shared" si="27"/>
        <v>1</v>
      </c>
      <c r="AF169" s="1">
        <f t="shared" si="28"/>
        <v>0</v>
      </c>
      <c r="AG169" s="1">
        <f t="shared" si="29"/>
        <v>0</v>
      </c>
    </row>
    <row r="170" spans="1:33" ht="15">
      <c r="A170" s="1">
        <v>1572715</v>
      </c>
      <c r="B170" s="1" t="s">
        <v>29</v>
      </c>
      <c r="C170" s="1" t="s">
        <v>30</v>
      </c>
      <c r="D170" s="15" t="str">
        <f t="shared" si="20"/>
        <v>Black</v>
      </c>
      <c r="E170" s="2">
        <v>35545</v>
      </c>
      <c r="F170" s="1" t="s">
        <v>47</v>
      </c>
      <c r="G170" s="1">
        <v>4</v>
      </c>
      <c r="H170" s="1">
        <v>90026</v>
      </c>
      <c r="I170" s="1">
        <v>43000</v>
      </c>
      <c r="J170" s="1">
        <v>93</v>
      </c>
      <c r="K170" s="1">
        <v>69</v>
      </c>
      <c r="L170" s="1">
        <v>1</v>
      </c>
      <c r="M170" s="1">
        <v>223</v>
      </c>
      <c r="N170" s="1" t="s">
        <v>61</v>
      </c>
      <c r="O170" s="1" t="s">
        <v>39</v>
      </c>
      <c r="P170" s="1">
        <f t="shared" si="21"/>
        <v>4</v>
      </c>
      <c r="Q170" s="1">
        <f t="shared" si="22"/>
        <v>-223</v>
      </c>
      <c r="R170" s="15">
        <f t="shared" si="23"/>
        <v>2</v>
      </c>
      <c r="S170" s="15">
        <f t="shared" si="24"/>
        <v>1</v>
      </c>
      <c r="T170" s="15">
        <f t="shared" si="25"/>
        <v>1</v>
      </c>
      <c r="U170" s="15" t="str">
        <f t="shared" si="26"/>
        <v>211</v>
      </c>
      <c r="V170" s="15"/>
      <c r="AE170" s="1">
        <f t="shared" si="27"/>
        <v>1</v>
      </c>
      <c r="AF170" s="1">
        <f t="shared" si="28"/>
        <v>0</v>
      </c>
      <c r="AG170" s="1">
        <f t="shared" si="29"/>
        <v>0</v>
      </c>
    </row>
    <row r="171" spans="1:33" ht="15">
      <c r="A171" s="1">
        <v>1572877</v>
      </c>
      <c r="B171" s="1" t="s">
        <v>29</v>
      </c>
      <c r="C171" s="1" t="s">
        <v>37</v>
      </c>
      <c r="D171" s="15" t="str">
        <f t="shared" si="20"/>
        <v>White</v>
      </c>
      <c r="E171" s="2">
        <v>36369</v>
      </c>
      <c r="F171" s="1" t="s">
        <v>47</v>
      </c>
      <c r="G171" s="1">
        <v>1</v>
      </c>
      <c r="H171" s="1">
        <v>90032</v>
      </c>
      <c r="I171" s="1">
        <v>42000</v>
      </c>
      <c r="J171" s="1">
        <v>245</v>
      </c>
      <c r="K171" s="1">
        <v>183</v>
      </c>
      <c r="L171" s="1">
        <v>4</v>
      </c>
      <c r="M171" s="1">
        <v>60</v>
      </c>
      <c r="N171" s="1" t="s">
        <v>61</v>
      </c>
      <c r="O171" s="1" t="s">
        <v>39</v>
      </c>
      <c r="P171" s="1">
        <f t="shared" si="21"/>
        <v>4</v>
      </c>
      <c r="Q171" s="1">
        <f t="shared" si="22"/>
        <v>-60</v>
      </c>
      <c r="R171" s="15">
        <f t="shared" si="23"/>
        <v>4</v>
      </c>
      <c r="S171" s="15">
        <f t="shared" si="24"/>
        <v>1</v>
      </c>
      <c r="T171" s="15">
        <f t="shared" si="25"/>
        <v>1</v>
      </c>
      <c r="U171" s="15" t="str">
        <f t="shared" si="26"/>
        <v>411</v>
      </c>
      <c r="V171" s="15"/>
      <c r="AE171" s="1">
        <f t="shared" si="27"/>
        <v>1</v>
      </c>
      <c r="AF171" s="1">
        <f t="shared" si="28"/>
        <v>0</v>
      </c>
      <c r="AG171" s="1">
        <f t="shared" si="29"/>
        <v>0</v>
      </c>
    </row>
    <row r="172" spans="1:33" ht="15">
      <c r="A172" s="1">
        <v>1573196</v>
      </c>
      <c r="B172" s="1" t="s">
        <v>29</v>
      </c>
      <c r="C172" s="1" t="s">
        <v>30</v>
      </c>
      <c r="D172" s="15" t="str">
        <f t="shared" si="20"/>
        <v>Black</v>
      </c>
      <c r="E172" s="2">
        <v>36834</v>
      </c>
      <c r="F172" s="1" t="s">
        <v>31</v>
      </c>
      <c r="G172" s="1">
        <v>4</v>
      </c>
      <c r="H172" s="1">
        <v>90012</v>
      </c>
      <c r="I172" s="1">
        <v>70000</v>
      </c>
      <c r="J172" s="1">
        <v>127</v>
      </c>
      <c r="K172" s="1">
        <v>104</v>
      </c>
      <c r="L172" s="1">
        <v>3</v>
      </c>
      <c r="M172" s="1">
        <v>137</v>
      </c>
      <c r="N172" s="1" t="s">
        <v>38</v>
      </c>
      <c r="O172" s="1" t="s">
        <v>52</v>
      </c>
      <c r="P172" s="1">
        <f t="shared" si="21"/>
        <v>3</v>
      </c>
      <c r="Q172" s="1">
        <f t="shared" si="22"/>
        <v>-137</v>
      </c>
      <c r="R172" s="15">
        <f t="shared" si="23"/>
        <v>4</v>
      </c>
      <c r="S172" s="15">
        <f t="shared" si="24"/>
        <v>1</v>
      </c>
      <c r="T172" s="15">
        <f t="shared" si="25"/>
        <v>1</v>
      </c>
      <c r="U172" s="15" t="str">
        <f t="shared" si="26"/>
        <v>411</v>
      </c>
      <c r="V172" s="15"/>
      <c r="AE172" s="1">
        <f t="shared" si="27"/>
        <v>0</v>
      </c>
      <c r="AF172" s="1">
        <f t="shared" si="28"/>
        <v>1</v>
      </c>
      <c r="AG172" s="1">
        <f t="shared" si="29"/>
        <v>0</v>
      </c>
    </row>
    <row r="173" spans="1:33" ht="15">
      <c r="A173" s="1">
        <v>1573273</v>
      </c>
      <c r="B173" s="1" t="s">
        <v>36</v>
      </c>
      <c r="C173" s="1" t="s">
        <v>37</v>
      </c>
      <c r="D173" s="15" t="str">
        <f t="shared" si="20"/>
        <v>White</v>
      </c>
      <c r="E173" s="2">
        <v>27646</v>
      </c>
      <c r="F173" s="1" t="s">
        <v>31</v>
      </c>
      <c r="G173" s="1">
        <v>5</v>
      </c>
      <c r="H173" s="1">
        <v>90023</v>
      </c>
      <c r="I173" s="1">
        <v>110000</v>
      </c>
      <c r="J173" s="1">
        <v>1497</v>
      </c>
      <c r="K173" s="1">
        <v>1157</v>
      </c>
      <c r="L173" s="1">
        <v>28</v>
      </c>
      <c r="M173" s="1">
        <v>220</v>
      </c>
      <c r="N173" s="1" t="s">
        <v>61</v>
      </c>
      <c r="O173" s="1" t="s">
        <v>48</v>
      </c>
      <c r="P173" s="1">
        <f t="shared" si="21"/>
        <v>4</v>
      </c>
      <c r="Q173" s="1">
        <f t="shared" si="22"/>
        <v>-220</v>
      </c>
      <c r="R173" s="15">
        <f t="shared" si="23"/>
        <v>2</v>
      </c>
      <c r="S173" s="15">
        <f t="shared" si="24"/>
        <v>5</v>
      </c>
      <c r="T173" s="15">
        <f t="shared" si="25"/>
        <v>5</v>
      </c>
      <c r="U173" s="15" t="str">
        <f t="shared" si="26"/>
        <v>255</v>
      </c>
      <c r="V173" s="15"/>
      <c r="AE173" s="1">
        <f t="shared" si="27"/>
        <v>0</v>
      </c>
      <c r="AF173" s="1">
        <f t="shared" si="28"/>
        <v>0</v>
      </c>
      <c r="AG173" s="1">
        <f t="shared" si="29"/>
        <v>0</v>
      </c>
    </row>
    <row r="174" spans="1:33" ht="15">
      <c r="A174" s="1">
        <v>1573758</v>
      </c>
      <c r="B174" s="1" t="s">
        <v>29</v>
      </c>
      <c r="C174" s="1" t="s">
        <v>46</v>
      </c>
      <c r="D174" s="15" t="str">
        <f t="shared" si="20"/>
        <v>Hispanic</v>
      </c>
      <c r="E174" s="2">
        <v>36684</v>
      </c>
      <c r="F174" s="1" t="s">
        <v>47</v>
      </c>
      <c r="G174" s="1">
        <v>3</v>
      </c>
      <c r="H174" s="1">
        <v>90013</v>
      </c>
      <c r="I174" s="1">
        <v>57000</v>
      </c>
      <c r="J174" s="1">
        <v>531</v>
      </c>
      <c r="K174" s="1">
        <v>986</v>
      </c>
      <c r="L174" s="1">
        <v>15</v>
      </c>
      <c r="M174" s="1">
        <v>13</v>
      </c>
      <c r="N174" s="1" t="s">
        <v>61</v>
      </c>
      <c r="O174" s="1" t="s">
        <v>39</v>
      </c>
      <c r="P174" s="1">
        <f t="shared" si="21"/>
        <v>4</v>
      </c>
      <c r="Q174" s="1">
        <f t="shared" si="22"/>
        <v>-13</v>
      </c>
      <c r="R174" s="15">
        <f t="shared" si="23"/>
        <v>4</v>
      </c>
      <c r="S174" s="15">
        <f t="shared" si="24"/>
        <v>5</v>
      </c>
      <c r="T174" s="15">
        <f t="shared" si="25"/>
        <v>5</v>
      </c>
      <c r="U174" s="15" t="str">
        <f t="shared" si="26"/>
        <v>455</v>
      </c>
      <c r="V174" s="15"/>
      <c r="AE174" s="1">
        <f t="shared" si="27"/>
        <v>1</v>
      </c>
      <c r="AF174" s="1">
        <f t="shared" si="28"/>
        <v>0</v>
      </c>
      <c r="AG174" s="1">
        <f t="shared" si="29"/>
        <v>0</v>
      </c>
    </row>
    <row r="175" spans="1:33" ht="15">
      <c r="A175" s="1">
        <v>1573908</v>
      </c>
      <c r="B175" s="1" t="s">
        <v>36</v>
      </c>
      <c r="C175" s="1" t="s">
        <v>37</v>
      </c>
      <c r="D175" s="15" t="str">
        <f t="shared" si="20"/>
        <v>White</v>
      </c>
      <c r="E175" s="2">
        <v>33126</v>
      </c>
      <c r="F175" s="1" t="s">
        <v>47</v>
      </c>
      <c r="G175" s="1">
        <v>4</v>
      </c>
      <c r="H175" s="1">
        <v>90039</v>
      </c>
      <c r="I175" s="1">
        <v>71000</v>
      </c>
      <c r="J175" s="1">
        <v>213</v>
      </c>
      <c r="K175" s="1">
        <v>293</v>
      </c>
      <c r="L175" s="1">
        <v>2</v>
      </c>
      <c r="M175" s="1">
        <v>42</v>
      </c>
      <c r="N175" s="1" t="s">
        <v>42</v>
      </c>
      <c r="O175" s="1" t="s">
        <v>52</v>
      </c>
      <c r="P175" s="1">
        <f t="shared" si="21"/>
        <v>5</v>
      </c>
      <c r="Q175" s="1">
        <f t="shared" si="22"/>
        <v>-42</v>
      </c>
      <c r="R175" s="15">
        <f t="shared" si="23"/>
        <v>4</v>
      </c>
      <c r="S175" s="15">
        <f t="shared" si="24"/>
        <v>1</v>
      </c>
      <c r="T175" s="15">
        <f t="shared" si="25"/>
        <v>1</v>
      </c>
      <c r="U175" s="15" t="str">
        <f t="shared" si="26"/>
        <v>411</v>
      </c>
      <c r="V175" s="15"/>
      <c r="AE175" s="1">
        <f t="shared" si="27"/>
        <v>0</v>
      </c>
      <c r="AF175" s="1">
        <f t="shared" si="28"/>
        <v>1</v>
      </c>
      <c r="AG175" s="1">
        <f t="shared" si="29"/>
        <v>0</v>
      </c>
    </row>
    <row r="176" spans="1:33" ht="15">
      <c r="A176" s="1">
        <v>1574015</v>
      </c>
      <c r="B176" s="1" t="s">
        <v>36</v>
      </c>
      <c r="C176" s="1" t="s">
        <v>37</v>
      </c>
      <c r="D176" s="15" t="str">
        <f t="shared" si="20"/>
        <v>White</v>
      </c>
      <c r="E176" s="2">
        <v>32258</v>
      </c>
      <c r="F176" s="1" t="s">
        <v>47</v>
      </c>
      <c r="G176" s="1">
        <v>2</v>
      </c>
      <c r="H176" s="1">
        <v>90049</v>
      </c>
      <c r="I176" s="1">
        <v>67000</v>
      </c>
      <c r="J176" s="1">
        <v>708</v>
      </c>
      <c r="K176" s="1">
        <v>549</v>
      </c>
      <c r="L176" s="1">
        <v>12</v>
      </c>
      <c r="M176" s="1">
        <v>133</v>
      </c>
      <c r="N176" s="1" t="s">
        <v>38</v>
      </c>
      <c r="O176" s="1" t="s">
        <v>48</v>
      </c>
      <c r="P176" s="1">
        <f t="shared" si="21"/>
        <v>3</v>
      </c>
      <c r="Q176" s="1">
        <f t="shared" si="22"/>
        <v>-133</v>
      </c>
      <c r="R176" s="15">
        <f t="shared" si="23"/>
        <v>4</v>
      </c>
      <c r="S176" s="15">
        <f t="shared" si="24"/>
        <v>5</v>
      </c>
      <c r="T176" s="15">
        <f t="shared" si="25"/>
        <v>2</v>
      </c>
      <c r="U176" s="15" t="str">
        <f t="shared" si="26"/>
        <v>452</v>
      </c>
      <c r="V176" s="15"/>
      <c r="AE176" s="1">
        <f t="shared" si="27"/>
        <v>0</v>
      </c>
      <c r="AF176" s="1">
        <f t="shared" si="28"/>
        <v>0</v>
      </c>
      <c r="AG176" s="1">
        <f t="shared" si="29"/>
        <v>0</v>
      </c>
    </row>
    <row r="177" spans="1:33" ht="15">
      <c r="A177" s="1">
        <v>1574042</v>
      </c>
      <c r="B177" s="1" t="s">
        <v>29</v>
      </c>
      <c r="C177" s="1" t="s">
        <v>46</v>
      </c>
      <c r="D177" s="15" t="str">
        <f t="shared" si="20"/>
        <v>Hispanic</v>
      </c>
      <c r="E177" s="2">
        <v>27321</v>
      </c>
      <c r="F177" s="1" t="s">
        <v>31</v>
      </c>
      <c r="G177" s="1">
        <v>3</v>
      </c>
      <c r="H177" s="1">
        <v>90013</v>
      </c>
      <c r="I177" s="1">
        <v>108000</v>
      </c>
      <c r="J177" s="1">
        <v>593</v>
      </c>
      <c r="K177" s="1">
        <v>1044</v>
      </c>
      <c r="L177" s="1">
        <v>9</v>
      </c>
      <c r="M177" s="1">
        <v>213</v>
      </c>
      <c r="N177" s="1" t="s">
        <v>61</v>
      </c>
      <c r="O177" s="1" t="s">
        <v>39</v>
      </c>
      <c r="P177" s="1">
        <f t="shared" si="21"/>
        <v>4</v>
      </c>
      <c r="Q177" s="1">
        <f t="shared" si="22"/>
        <v>-213</v>
      </c>
      <c r="R177" s="15">
        <f t="shared" si="23"/>
        <v>3</v>
      </c>
      <c r="S177" s="15">
        <f t="shared" si="24"/>
        <v>3</v>
      </c>
      <c r="T177" s="15">
        <f t="shared" si="25"/>
        <v>5</v>
      </c>
      <c r="U177" s="15" t="str">
        <f t="shared" si="26"/>
        <v>335</v>
      </c>
      <c r="V177" s="15"/>
      <c r="AE177" s="1">
        <f t="shared" si="27"/>
        <v>1</v>
      </c>
      <c r="AF177" s="1">
        <f t="shared" si="28"/>
        <v>0</v>
      </c>
      <c r="AG177" s="1">
        <f t="shared" si="29"/>
        <v>0</v>
      </c>
    </row>
    <row r="178" spans="1:33" ht="15">
      <c r="A178" s="1">
        <v>1574047</v>
      </c>
      <c r="B178" s="1" t="s">
        <v>29</v>
      </c>
      <c r="C178" s="1" t="s">
        <v>30</v>
      </c>
      <c r="D178" s="15" t="str">
        <f t="shared" si="20"/>
        <v>Black</v>
      </c>
      <c r="E178" s="2">
        <v>26333</v>
      </c>
      <c r="F178" s="1" t="s">
        <v>31</v>
      </c>
      <c r="G178" s="1">
        <v>1</v>
      </c>
      <c r="H178" s="1">
        <v>90010</v>
      </c>
      <c r="I178" s="1">
        <v>49000</v>
      </c>
      <c r="J178" s="1">
        <v>298</v>
      </c>
      <c r="K178" s="1">
        <v>202</v>
      </c>
      <c r="L178" s="1">
        <v>2</v>
      </c>
      <c r="M178" s="1">
        <v>248</v>
      </c>
      <c r="N178" s="1" t="s">
        <v>61</v>
      </c>
      <c r="O178" s="1" t="s">
        <v>39</v>
      </c>
      <c r="P178" s="1">
        <f t="shared" si="21"/>
        <v>4</v>
      </c>
      <c r="Q178" s="1">
        <f t="shared" si="22"/>
        <v>-248</v>
      </c>
      <c r="R178" s="15">
        <f t="shared" si="23"/>
        <v>2</v>
      </c>
      <c r="S178" s="15">
        <f t="shared" si="24"/>
        <v>1</v>
      </c>
      <c r="T178" s="15">
        <f t="shared" si="25"/>
        <v>1</v>
      </c>
      <c r="U178" s="15" t="str">
        <f t="shared" si="26"/>
        <v>211</v>
      </c>
      <c r="V178" s="15"/>
      <c r="AE178" s="1">
        <f t="shared" si="27"/>
        <v>1</v>
      </c>
      <c r="AF178" s="1">
        <f t="shared" si="28"/>
        <v>0</v>
      </c>
      <c r="AG178" s="1">
        <f t="shared" si="29"/>
        <v>0</v>
      </c>
    </row>
    <row r="179" spans="1:33" ht="15">
      <c r="A179" s="1">
        <v>1574098</v>
      </c>
      <c r="B179" s="1" t="s">
        <v>36</v>
      </c>
      <c r="C179" s="1" t="s">
        <v>46</v>
      </c>
      <c r="D179" s="15" t="str">
        <f t="shared" si="20"/>
        <v>Hispanic</v>
      </c>
      <c r="E179" s="2">
        <v>29183</v>
      </c>
      <c r="F179" s="1" t="s">
        <v>31</v>
      </c>
      <c r="G179" s="1">
        <v>4</v>
      </c>
      <c r="H179" s="1">
        <v>90050</v>
      </c>
      <c r="I179" s="1">
        <v>86000</v>
      </c>
      <c r="J179" s="1">
        <v>75</v>
      </c>
      <c r="K179" s="1">
        <v>68</v>
      </c>
      <c r="L179" s="1">
        <v>1</v>
      </c>
      <c r="M179" s="1">
        <v>176</v>
      </c>
      <c r="N179" s="1" t="s">
        <v>61</v>
      </c>
      <c r="O179" s="1" t="s">
        <v>52</v>
      </c>
      <c r="P179" s="1">
        <f t="shared" si="21"/>
        <v>4</v>
      </c>
      <c r="Q179" s="1">
        <f t="shared" si="22"/>
        <v>-176</v>
      </c>
      <c r="R179" s="15">
        <f t="shared" si="23"/>
        <v>3</v>
      </c>
      <c r="S179" s="15">
        <f t="shared" si="24"/>
        <v>1</v>
      </c>
      <c r="T179" s="15">
        <f t="shared" si="25"/>
        <v>1</v>
      </c>
      <c r="U179" s="15" t="str">
        <f t="shared" si="26"/>
        <v>311</v>
      </c>
      <c r="V179" s="15"/>
      <c r="AE179" s="1">
        <f t="shared" si="27"/>
        <v>0</v>
      </c>
      <c r="AF179" s="1">
        <f t="shared" si="28"/>
        <v>1</v>
      </c>
      <c r="AG179" s="1">
        <f t="shared" si="29"/>
        <v>0</v>
      </c>
    </row>
    <row r="180" spans="1:33" ht="15">
      <c r="A180" s="1">
        <v>1574151</v>
      </c>
      <c r="B180" s="1" t="s">
        <v>29</v>
      </c>
      <c r="C180" s="1" t="s">
        <v>30</v>
      </c>
      <c r="D180" s="15" t="str">
        <f t="shared" si="20"/>
        <v>Black</v>
      </c>
      <c r="E180" s="2">
        <v>29248</v>
      </c>
      <c r="F180" s="1" t="s">
        <v>31</v>
      </c>
      <c r="G180" s="1">
        <v>5</v>
      </c>
      <c r="H180" s="1">
        <v>90012</v>
      </c>
      <c r="I180" s="1">
        <v>61000</v>
      </c>
      <c r="J180" s="1">
        <v>778</v>
      </c>
      <c r="K180" s="1">
        <v>1144</v>
      </c>
      <c r="L180" s="1">
        <v>28</v>
      </c>
      <c r="M180" s="1">
        <v>95</v>
      </c>
      <c r="N180" s="1" t="s">
        <v>61</v>
      </c>
      <c r="O180" s="1" t="s">
        <v>39</v>
      </c>
      <c r="P180" s="1">
        <f t="shared" si="21"/>
        <v>4</v>
      </c>
      <c r="Q180" s="1">
        <f t="shared" si="22"/>
        <v>-95</v>
      </c>
      <c r="R180" s="15">
        <f t="shared" si="23"/>
        <v>4</v>
      </c>
      <c r="S180" s="15">
        <f t="shared" si="24"/>
        <v>5</v>
      </c>
      <c r="T180" s="15">
        <f t="shared" si="25"/>
        <v>5</v>
      </c>
      <c r="U180" s="15" t="str">
        <f t="shared" si="26"/>
        <v>455</v>
      </c>
      <c r="V180" s="15"/>
      <c r="AE180" s="1">
        <f t="shared" si="27"/>
        <v>1</v>
      </c>
      <c r="AF180" s="1">
        <f t="shared" si="28"/>
        <v>0</v>
      </c>
      <c r="AG180" s="1">
        <f t="shared" si="29"/>
        <v>0</v>
      </c>
    </row>
    <row r="181" spans="1:33" ht="15">
      <c r="A181" s="1">
        <v>1574379</v>
      </c>
      <c r="B181" s="1" t="s">
        <v>36</v>
      </c>
      <c r="C181" s="1" t="s">
        <v>30</v>
      </c>
      <c r="D181" s="15" t="str">
        <f t="shared" si="20"/>
        <v>Black</v>
      </c>
      <c r="E181" s="2">
        <v>29099</v>
      </c>
      <c r="F181" s="1" t="s">
        <v>31</v>
      </c>
      <c r="G181" s="1">
        <v>2</v>
      </c>
      <c r="H181" s="1">
        <v>90047</v>
      </c>
      <c r="I181" s="1">
        <v>60000</v>
      </c>
      <c r="J181" s="1">
        <v>514</v>
      </c>
      <c r="K181" s="1">
        <v>636</v>
      </c>
      <c r="L181" s="1">
        <v>10</v>
      </c>
      <c r="M181" s="1">
        <v>265</v>
      </c>
      <c r="N181" s="1" t="s">
        <v>38</v>
      </c>
      <c r="O181" s="1" t="s">
        <v>52</v>
      </c>
      <c r="P181" s="1">
        <f t="shared" si="21"/>
        <v>3</v>
      </c>
      <c r="Q181" s="1">
        <f t="shared" si="22"/>
        <v>-265</v>
      </c>
      <c r="R181" s="15">
        <f t="shared" si="23"/>
        <v>2</v>
      </c>
      <c r="S181" s="15">
        <f t="shared" si="24"/>
        <v>3</v>
      </c>
      <c r="T181" s="15">
        <f t="shared" si="25"/>
        <v>3</v>
      </c>
      <c r="U181" s="15" t="str">
        <f t="shared" si="26"/>
        <v>233</v>
      </c>
      <c r="V181" s="15"/>
      <c r="AE181" s="1">
        <f t="shared" si="27"/>
        <v>0</v>
      </c>
      <c r="AF181" s="1">
        <f t="shared" si="28"/>
        <v>1</v>
      </c>
      <c r="AG181" s="1">
        <f t="shared" si="29"/>
        <v>0</v>
      </c>
    </row>
    <row r="182" spans="1:33" ht="15">
      <c r="A182" s="1">
        <v>1574687</v>
      </c>
      <c r="B182" s="1" t="s">
        <v>29</v>
      </c>
      <c r="C182" s="1" t="s">
        <v>30</v>
      </c>
      <c r="D182" s="15" t="str">
        <f t="shared" si="20"/>
        <v>Black</v>
      </c>
      <c r="E182" s="2">
        <v>25123</v>
      </c>
      <c r="F182" s="1" t="s">
        <v>31</v>
      </c>
      <c r="G182" s="1">
        <v>1</v>
      </c>
      <c r="H182" s="1">
        <v>90030</v>
      </c>
      <c r="I182" s="1">
        <v>54000</v>
      </c>
      <c r="J182" s="1">
        <v>266</v>
      </c>
      <c r="K182" s="1">
        <v>338</v>
      </c>
      <c r="L182" s="1">
        <v>5</v>
      </c>
      <c r="M182" s="1">
        <v>281</v>
      </c>
      <c r="N182" s="1" t="s">
        <v>42</v>
      </c>
      <c r="O182" s="1" t="s">
        <v>52</v>
      </c>
      <c r="P182" s="1">
        <f t="shared" si="21"/>
        <v>5</v>
      </c>
      <c r="Q182" s="1">
        <f t="shared" si="22"/>
        <v>-281</v>
      </c>
      <c r="R182" s="15">
        <f t="shared" si="23"/>
        <v>2</v>
      </c>
      <c r="S182" s="15">
        <f t="shared" si="24"/>
        <v>2</v>
      </c>
      <c r="T182" s="15">
        <f t="shared" si="25"/>
        <v>2</v>
      </c>
      <c r="U182" s="15" t="str">
        <f t="shared" si="26"/>
        <v>222</v>
      </c>
      <c r="V182" s="15"/>
      <c r="AE182" s="1">
        <f t="shared" si="27"/>
        <v>0</v>
      </c>
      <c r="AF182" s="1">
        <f t="shared" si="28"/>
        <v>1</v>
      </c>
      <c r="AG182" s="1">
        <f t="shared" si="29"/>
        <v>0</v>
      </c>
    </row>
    <row r="183" spans="1:33" ht="15">
      <c r="A183" s="1">
        <v>1574764</v>
      </c>
      <c r="B183" s="1" t="s">
        <v>29</v>
      </c>
      <c r="C183" s="1" t="s">
        <v>37</v>
      </c>
      <c r="D183" s="15" t="str">
        <f t="shared" si="20"/>
        <v>White</v>
      </c>
      <c r="E183" s="2">
        <v>29270</v>
      </c>
      <c r="F183" s="1" t="s">
        <v>31</v>
      </c>
      <c r="G183" s="1">
        <v>4</v>
      </c>
      <c r="H183" s="1">
        <v>90041</v>
      </c>
      <c r="I183" s="1">
        <v>87000</v>
      </c>
      <c r="J183" s="1">
        <v>841</v>
      </c>
      <c r="K183" s="1">
        <v>689</v>
      </c>
      <c r="L183" s="1">
        <v>7</v>
      </c>
      <c r="M183" s="1">
        <v>181</v>
      </c>
      <c r="N183" s="1" t="s">
        <v>61</v>
      </c>
      <c r="O183" s="1" t="s">
        <v>39</v>
      </c>
      <c r="P183" s="1">
        <f t="shared" si="21"/>
        <v>4</v>
      </c>
      <c r="Q183" s="1">
        <f t="shared" si="22"/>
        <v>-181</v>
      </c>
      <c r="R183" s="15">
        <f t="shared" si="23"/>
        <v>3</v>
      </c>
      <c r="S183" s="15">
        <f t="shared" si="24"/>
        <v>2</v>
      </c>
      <c r="T183" s="15">
        <f t="shared" si="25"/>
        <v>3</v>
      </c>
      <c r="U183" s="15" t="str">
        <f t="shared" si="26"/>
        <v>323</v>
      </c>
      <c r="V183" s="15"/>
      <c r="AE183" s="1">
        <f t="shared" si="27"/>
        <v>1</v>
      </c>
      <c r="AF183" s="1">
        <f t="shared" si="28"/>
        <v>0</v>
      </c>
      <c r="AG183" s="1">
        <f t="shared" si="29"/>
        <v>0</v>
      </c>
    </row>
    <row r="184" spans="1:33" ht="15">
      <c r="A184" s="1">
        <v>1574841</v>
      </c>
      <c r="B184" s="1" t="s">
        <v>29</v>
      </c>
      <c r="C184" s="1" t="s">
        <v>37</v>
      </c>
      <c r="D184" s="15" t="str">
        <f t="shared" si="20"/>
        <v>White</v>
      </c>
      <c r="E184" s="2">
        <v>29896</v>
      </c>
      <c r="F184" s="1" t="s">
        <v>31</v>
      </c>
      <c r="G184" s="1">
        <v>2</v>
      </c>
      <c r="H184" s="1">
        <v>90037</v>
      </c>
      <c r="I184" s="1">
        <v>57000</v>
      </c>
      <c r="J184" s="1">
        <v>1212</v>
      </c>
      <c r="K184" s="1">
        <v>1122</v>
      </c>
      <c r="L184" s="1">
        <v>28</v>
      </c>
      <c r="M184" s="1">
        <v>228</v>
      </c>
      <c r="N184" s="1" t="s">
        <v>42</v>
      </c>
      <c r="O184" s="1" t="s">
        <v>52</v>
      </c>
      <c r="P184" s="1">
        <f t="shared" si="21"/>
        <v>5</v>
      </c>
      <c r="Q184" s="1">
        <f t="shared" si="22"/>
        <v>-228</v>
      </c>
      <c r="R184" s="15">
        <f t="shared" si="23"/>
        <v>2</v>
      </c>
      <c r="S184" s="15">
        <f t="shared" si="24"/>
        <v>5</v>
      </c>
      <c r="T184" s="15">
        <f t="shared" si="25"/>
        <v>5</v>
      </c>
      <c r="U184" s="15" t="str">
        <f t="shared" si="26"/>
        <v>255</v>
      </c>
      <c r="V184" s="15"/>
      <c r="AE184" s="1">
        <f t="shared" si="27"/>
        <v>0</v>
      </c>
      <c r="AF184" s="1">
        <f t="shared" si="28"/>
        <v>1</v>
      </c>
      <c r="AG184" s="1">
        <f t="shared" si="29"/>
        <v>0</v>
      </c>
    </row>
    <row r="185" spans="1:33" ht="15">
      <c r="A185" s="1">
        <v>1575294</v>
      </c>
      <c r="B185" s="1" t="s">
        <v>36</v>
      </c>
      <c r="C185" s="1" t="s">
        <v>37</v>
      </c>
      <c r="D185" s="15" t="str">
        <f t="shared" si="20"/>
        <v>White</v>
      </c>
      <c r="E185" s="2">
        <v>23248</v>
      </c>
      <c r="F185" s="1" t="s">
        <v>31</v>
      </c>
      <c r="G185" s="1">
        <v>3</v>
      </c>
      <c r="H185" s="1">
        <v>90061</v>
      </c>
      <c r="I185" s="1">
        <v>75000</v>
      </c>
      <c r="J185" s="1">
        <v>175</v>
      </c>
      <c r="K185" s="1">
        <v>172</v>
      </c>
      <c r="L185" s="1">
        <v>2</v>
      </c>
      <c r="M185" s="1">
        <v>211</v>
      </c>
      <c r="N185" s="1" t="s">
        <v>61</v>
      </c>
      <c r="O185" s="1" t="s">
        <v>52</v>
      </c>
      <c r="P185" s="1">
        <f t="shared" si="21"/>
        <v>4</v>
      </c>
      <c r="Q185" s="1">
        <f t="shared" si="22"/>
        <v>-211</v>
      </c>
      <c r="R185" s="15">
        <f t="shared" si="23"/>
        <v>3</v>
      </c>
      <c r="S185" s="15">
        <f t="shared" si="24"/>
        <v>1</v>
      </c>
      <c r="T185" s="15">
        <f t="shared" si="25"/>
        <v>1</v>
      </c>
      <c r="U185" s="15" t="str">
        <f t="shared" si="26"/>
        <v>311</v>
      </c>
      <c r="V185" s="15"/>
      <c r="AE185" s="1">
        <f t="shared" si="27"/>
        <v>0</v>
      </c>
      <c r="AF185" s="1">
        <f t="shared" si="28"/>
        <v>1</v>
      </c>
      <c r="AG185" s="1">
        <f t="shared" si="29"/>
        <v>0</v>
      </c>
    </row>
    <row r="186" spans="1:33" ht="15">
      <c r="A186" s="1">
        <v>1575448</v>
      </c>
      <c r="B186" s="1" t="s">
        <v>36</v>
      </c>
      <c r="C186" s="1" t="s">
        <v>46</v>
      </c>
      <c r="D186" s="15" t="str">
        <f t="shared" si="20"/>
        <v>Hispanic</v>
      </c>
      <c r="E186" s="2">
        <v>35965</v>
      </c>
      <c r="F186" s="1" t="s">
        <v>31</v>
      </c>
      <c r="G186" s="1">
        <v>4</v>
      </c>
      <c r="H186" s="1">
        <v>90050</v>
      </c>
      <c r="I186" s="1">
        <v>100000</v>
      </c>
      <c r="J186" s="1">
        <v>486</v>
      </c>
      <c r="K186" s="1">
        <v>437</v>
      </c>
      <c r="L186" s="1">
        <v>5</v>
      </c>
      <c r="M186" s="1">
        <v>223</v>
      </c>
      <c r="N186" s="1" t="s">
        <v>61</v>
      </c>
      <c r="O186" s="1" t="s">
        <v>52</v>
      </c>
      <c r="P186" s="1">
        <f t="shared" si="21"/>
        <v>4</v>
      </c>
      <c r="Q186" s="1">
        <f t="shared" si="22"/>
        <v>-223</v>
      </c>
      <c r="R186" s="15">
        <f t="shared" si="23"/>
        <v>2</v>
      </c>
      <c r="S186" s="15">
        <f t="shared" si="24"/>
        <v>2</v>
      </c>
      <c r="T186" s="15">
        <f t="shared" si="25"/>
        <v>2</v>
      </c>
      <c r="U186" s="15" t="str">
        <f t="shared" si="26"/>
        <v>222</v>
      </c>
      <c r="V186" s="15"/>
      <c r="AE186" s="1">
        <f t="shared" si="27"/>
        <v>0</v>
      </c>
      <c r="AF186" s="1">
        <f t="shared" si="28"/>
        <v>1</v>
      </c>
      <c r="AG186" s="1">
        <f t="shared" si="29"/>
        <v>0</v>
      </c>
    </row>
    <row r="187" spans="1:33" ht="15">
      <c r="A187" s="1">
        <v>1575538</v>
      </c>
      <c r="B187" s="1" t="s">
        <v>36</v>
      </c>
      <c r="C187" s="1" t="s">
        <v>46</v>
      </c>
      <c r="D187" s="15" t="str">
        <f t="shared" si="20"/>
        <v>Hispanic</v>
      </c>
      <c r="E187" s="2">
        <v>35371</v>
      </c>
      <c r="F187" s="1" t="s">
        <v>31</v>
      </c>
      <c r="G187" s="1">
        <v>5</v>
      </c>
      <c r="H187" s="1">
        <v>90063</v>
      </c>
      <c r="I187" s="1">
        <v>129000</v>
      </c>
      <c r="J187" s="1">
        <v>813</v>
      </c>
      <c r="K187" s="1">
        <v>949</v>
      </c>
      <c r="L187" s="1">
        <v>24</v>
      </c>
      <c r="M187" s="1">
        <v>140</v>
      </c>
      <c r="N187" s="1" t="s">
        <v>38</v>
      </c>
      <c r="O187" s="1" t="s">
        <v>48</v>
      </c>
      <c r="P187" s="1">
        <f t="shared" si="21"/>
        <v>3</v>
      </c>
      <c r="Q187" s="1">
        <f t="shared" si="22"/>
        <v>-140</v>
      </c>
      <c r="R187" s="15">
        <f t="shared" si="23"/>
        <v>4</v>
      </c>
      <c r="S187" s="15">
        <f t="shared" si="24"/>
        <v>5</v>
      </c>
      <c r="T187" s="15">
        <f t="shared" si="25"/>
        <v>5</v>
      </c>
      <c r="U187" s="15" t="str">
        <f t="shared" si="26"/>
        <v>455</v>
      </c>
      <c r="V187" s="15"/>
      <c r="AE187" s="1">
        <f t="shared" si="27"/>
        <v>0</v>
      </c>
      <c r="AF187" s="1">
        <f t="shared" si="28"/>
        <v>0</v>
      </c>
      <c r="AG187" s="1">
        <f t="shared" si="29"/>
        <v>0</v>
      </c>
    </row>
    <row r="188" spans="1:33" ht="15">
      <c r="A188" s="1">
        <v>1575993</v>
      </c>
      <c r="B188" s="1" t="s">
        <v>36</v>
      </c>
      <c r="C188" s="1" t="s">
        <v>37</v>
      </c>
      <c r="D188" s="15" t="str">
        <f t="shared" si="20"/>
        <v>White</v>
      </c>
      <c r="E188" s="2">
        <v>31726</v>
      </c>
      <c r="F188" s="1" t="s">
        <v>31</v>
      </c>
      <c r="G188" s="1">
        <v>3</v>
      </c>
      <c r="H188" s="1">
        <v>90036</v>
      </c>
      <c r="I188" s="1">
        <v>92000</v>
      </c>
      <c r="J188" s="1">
        <v>406</v>
      </c>
      <c r="K188" s="1">
        <v>409</v>
      </c>
      <c r="L188" s="1">
        <v>3</v>
      </c>
      <c r="M188" s="1">
        <v>294</v>
      </c>
      <c r="N188" s="1" t="s">
        <v>61</v>
      </c>
      <c r="O188" s="1" t="s">
        <v>33</v>
      </c>
      <c r="P188" s="1">
        <f t="shared" si="21"/>
        <v>4</v>
      </c>
      <c r="Q188" s="1">
        <f t="shared" si="22"/>
        <v>-294</v>
      </c>
      <c r="R188" s="15">
        <f t="shared" si="23"/>
        <v>2</v>
      </c>
      <c r="S188" s="15">
        <f t="shared" si="24"/>
        <v>1</v>
      </c>
      <c r="T188" s="15">
        <f t="shared" si="25"/>
        <v>2</v>
      </c>
      <c r="U188" s="15" t="str">
        <f t="shared" si="26"/>
        <v>212</v>
      </c>
      <c r="V188" s="15"/>
      <c r="AE188" s="1">
        <f t="shared" si="27"/>
        <v>0</v>
      </c>
      <c r="AF188" s="1">
        <f t="shared" si="28"/>
        <v>0</v>
      </c>
      <c r="AG188" s="1">
        <f t="shared" si="29"/>
        <v>1</v>
      </c>
    </row>
    <row r="189" spans="1:33" ht="15">
      <c r="A189" s="1">
        <v>1576211</v>
      </c>
      <c r="B189" s="1" t="s">
        <v>29</v>
      </c>
      <c r="C189" s="1" t="s">
        <v>37</v>
      </c>
      <c r="D189" s="15" t="str">
        <f t="shared" si="20"/>
        <v>White</v>
      </c>
      <c r="E189" s="2">
        <v>31273</v>
      </c>
      <c r="F189" s="1" t="s">
        <v>47</v>
      </c>
      <c r="G189" s="1">
        <v>1</v>
      </c>
      <c r="H189" s="1">
        <v>90017</v>
      </c>
      <c r="I189" s="1">
        <v>31000</v>
      </c>
      <c r="J189" s="1">
        <v>1336</v>
      </c>
      <c r="K189" s="1">
        <v>1244</v>
      </c>
      <c r="L189" s="1">
        <v>15</v>
      </c>
      <c r="M189" s="1">
        <v>280</v>
      </c>
      <c r="N189" s="1" t="s">
        <v>42</v>
      </c>
      <c r="O189" s="1" t="s">
        <v>48</v>
      </c>
      <c r="P189" s="1">
        <f t="shared" si="21"/>
        <v>5</v>
      </c>
      <c r="Q189" s="1">
        <f t="shared" si="22"/>
        <v>-280</v>
      </c>
      <c r="R189" s="15">
        <f t="shared" si="23"/>
        <v>2</v>
      </c>
      <c r="S189" s="15">
        <f t="shared" si="24"/>
        <v>5</v>
      </c>
      <c r="T189" s="15">
        <f t="shared" si="25"/>
        <v>5</v>
      </c>
      <c r="U189" s="15" t="str">
        <f t="shared" si="26"/>
        <v>255</v>
      </c>
      <c r="V189" s="15"/>
      <c r="AE189" s="1">
        <f t="shared" si="27"/>
        <v>0</v>
      </c>
      <c r="AF189" s="1">
        <f t="shared" si="28"/>
        <v>0</v>
      </c>
      <c r="AG189" s="1">
        <f t="shared" si="29"/>
        <v>0</v>
      </c>
    </row>
    <row r="190" spans="1:33" ht="15">
      <c r="A190" s="1">
        <v>1576752</v>
      </c>
      <c r="B190" s="1" t="s">
        <v>36</v>
      </c>
      <c r="C190" s="1" t="s">
        <v>30</v>
      </c>
      <c r="D190" s="15" t="str">
        <f t="shared" si="20"/>
        <v>Black</v>
      </c>
      <c r="E190" s="2">
        <v>25037</v>
      </c>
      <c r="F190" s="1" t="s">
        <v>31</v>
      </c>
      <c r="G190" s="1">
        <v>4</v>
      </c>
      <c r="H190" s="1">
        <v>90044</v>
      </c>
      <c r="I190" s="1">
        <v>82000</v>
      </c>
      <c r="J190" s="1">
        <v>1322</v>
      </c>
      <c r="K190" s="1">
        <v>1241</v>
      </c>
      <c r="L190" s="1">
        <v>11</v>
      </c>
      <c r="M190" s="1">
        <v>159</v>
      </c>
      <c r="N190" s="1" t="s">
        <v>42</v>
      </c>
      <c r="O190" s="1" t="s">
        <v>39</v>
      </c>
      <c r="P190" s="1">
        <f t="shared" si="21"/>
        <v>5</v>
      </c>
      <c r="Q190" s="1">
        <f t="shared" si="22"/>
        <v>-159</v>
      </c>
      <c r="R190" s="15">
        <f t="shared" si="23"/>
        <v>3</v>
      </c>
      <c r="S190" s="15">
        <f t="shared" si="24"/>
        <v>3</v>
      </c>
      <c r="T190" s="15">
        <f t="shared" si="25"/>
        <v>5</v>
      </c>
      <c r="U190" s="15" t="str">
        <f t="shared" si="26"/>
        <v>335</v>
      </c>
      <c r="V190" s="15"/>
      <c r="AE190" s="1">
        <f t="shared" si="27"/>
        <v>1</v>
      </c>
      <c r="AF190" s="1">
        <f t="shared" si="28"/>
        <v>0</v>
      </c>
      <c r="AG190" s="1">
        <f t="shared" si="29"/>
        <v>0</v>
      </c>
    </row>
    <row r="191" spans="1:33" ht="15">
      <c r="A191" s="1">
        <v>1576984</v>
      </c>
      <c r="B191" s="1" t="s">
        <v>36</v>
      </c>
      <c r="C191" s="1" t="s">
        <v>30</v>
      </c>
      <c r="D191" s="15" t="str">
        <f t="shared" si="20"/>
        <v>Black</v>
      </c>
      <c r="E191" s="2">
        <v>24158</v>
      </c>
      <c r="F191" s="1" t="s">
        <v>31</v>
      </c>
      <c r="G191" s="1">
        <v>4</v>
      </c>
      <c r="H191" s="1">
        <v>90050</v>
      </c>
      <c r="I191" s="1">
        <v>87000</v>
      </c>
      <c r="J191" s="1">
        <v>152</v>
      </c>
      <c r="K191" s="1">
        <v>247</v>
      </c>
      <c r="L191" s="1">
        <v>6</v>
      </c>
      <c r="M191" s="1">
        <v>148</v>
      </c>
      <c r="N191" s="1" t="s">
        <v>38</v>
      </c>
      <c r="O191" s="1" t="s">
        <v>48</v>
      </c>
      <c r="P191" s="1">
        <f t="shared" si="21"/>
        <v>3</v>
      </c>
      <c r="Q191" s="1">
        <f t="shared" si="22"/>
        <v>-148</v>
      </c>
      <c r="R191" s="15">
        <f t="shared" si="23"/>
        <v>3</v>
      </c>
      <c r="S191" s="15">
        <f t="shared" si="24"/>
        <v>2</v>
      </c>
      <c r="T191" s="15">
        <f t="shared" si="25"/>
        <v>1</v>
      </c>
      <c r="U191" s="15" t="str">
        <f t="shared" si="26"/>
        <v>321</v>
      </c>
      <c r="V191" s="15"/>
      <c r="AE191" s="1">
        <f t="shared" si="27"/>
        <v>0</v>
      </c>
      <c r="AF191" s="1">
        <f t="shared" si="28"/>
        <v>0</v>
      </c>
      <c r="AG191" s="1">
        <f t="shared" si="29"/>
        <v>0</v>
      </c>
    </row>
    <row r="192" spans="1:33" ht="15">
      <c r="A192" s="1">
        <v>1577095</v>
      </c>
      <c r="B192" s="1" t="s">
        <v>36</v>
      </c>
      <c r="C192" s="1" t="s">
        <v>37</v>
      </c>
      <c r="D192" s="15" t="str">
        <f t="shared" si="20"/>
        <v>White</v>
      </c>
      <c r="E192" s="2">
        <v>35768</v>
      </c>
      <c r="F192" s="1" t="s">
        <v>31</v>
      </c>
      <c r="G192" s="1">
        <v>2</v>
      </c>
      <c r="H192" s="1">
        <v>90030</v>
      </c>
      <c r="I192" s="1">
        <v>58000</v>
      </c>
      <c r="J192" s="1">
        <v>471</v>
      </c>
      <c r="K192" s="1">
        <v>319</v>
      </c>
      <c r="L192" s="1">
        <v>2</v>
      </c>
      <c r="M192" s="1">
        <v>128</v>
      </c>
      <c r="N192" s="1" t="s">
        <v>61</v>
      </c>
      <c r="O192" s="1" t="s">
        <v>33</v>
      </c>
      <c r="P192" s="1">
        <f t="shared" si="21"/>
        <v>4</v>
      </c>
      <c r="Q192" s="1">
        <f t="shared" si="22"/>
        <v>-128</v>
      </c>
      <c r="R192" s="15">
        <f t="shared" si="23"/>
        <v>4</v>
      </c>
      <c r="S192" s="15">
        <f t="shared" si="24"/>
        <v>1</v>
      </c>
      <c r="T192" s="15">
        <f t="shared" si="25"/>
        <v>2</v>
      </c>
      <c r="U192" s="15" t="str">
        <f t="shared" si="26"/>
        <v>412</v>
      </c>
      <c r="V192" s="15"/>
      <c r="AE192" s="1">
        <f t="shared" si="27"/>
        <v>0</v>
      </c>
      <c r="AF192" s="1">
        <f t="shared" si="28"/>
        <v>0</v>
      </c>
      <c r="AG192" s="1">
        <f t="shared" si="29"/>
        <v>1</v>
      </c>
    </row>
    <row r="193" spans="1:33" ht="15">
      <c r="A193" s="1">
        <v>1577691</v>
      </c>
      <c r="B193" s="1" t="s">
        <v>36</v>
      </c>
      <c r="C193" s="1" t="s">
        <v>46</v>
      </c>
      <c r="D193" s="15" t="str">
        <f t="shared" si="20"/>
        <v>Hispanic</v>
      </c>
      <c r="E193" s="2">
        <v>27846</v>
      </c>
      <c r="F193" s="1" t="s">
        <v>31</v>
      </c>
      <c r="G193" s="1">
        <v>5</v>
      </c>
      <c r="H193" s="1">
        <v>90001</v>
      </c>
      <c r="I193" s="1">
        <v>97000</v>
      </c>
      <c r="J193" s="1">
        <v>70</v>
      </c>
      <c r="K193" s="1">
        <v>89</v>
      </c>
      <c r="L193" s="1">
        <v>2</v>
      </c>
      <c r="M193" s="1">
        <v>205</v>
      </c>
      <c r="N193" s="1" t="s">
        <v>61</v>
      </c>
      <c r="O193" s="1" t="s">
        <v>39</v>
      </c>
      <c r="P193" s="1">
        <f t="shared" si="21"/>
        <v>4</v>
      </c>
      <c r="Q193" s="1">
        <f t="shared" si="22"/>
        <v>-205</v>
      </c>
      <c r="R193" s="15">
        <f t="shared" si="23"/>
        <v>3</v>
      </c>
      <c r="S193" s="15">
        <f t="shared" si="24"/>
        <v>1</v>
      </c>
      <c r="T193" s="15">
        <f t="shared" si="25"/>
        <v>1</v>
      </c>
      <c r="U193" s="15" t="str">
        <f t="shared" si="26"/>
        <v>311</v>
      </c>
      <c r="V193" s="15"/>
      <c r="AE193" s="1">
        <f t="shared" si="27"/>
        <v>1</v>
      </c>
      <c r="AF193" s="1">
        <f t="shared" si="28"/>
        <v>0</v>
      </c>
      <c r="AG193" s="1">
        <f t="shared" si="29"/>
        <v>0</v>
      </c>
    </row>
    <row r="194" spans="1:33" ht="15">
      <c r="A194" s="1">
        <v>1577940</v>
      </c>
      <c r="B194" s="1" t="s">
        <v>29</v>
      </c>
      <c r="C194" s="1" t="s">
        <v>30</v>
      </c>
      <c r="D194" s="15" t="str">
        <f t="shared" si="20"/>
        <v>Black</v>
      </c>
      <c r="E194" s="2">
        <v>26722</v>
      </c>
      <c r="F194" s="1" t="s">
        <v>31</v>
      </c>
      <c r="G194" s="1">
        <v>5</v>
      </c>
      <c r="H194" s="1">
        <v>90019</v>
      </c>
      <c r="I194" s="1">
        <v>94000</v>
      </c>
      <c r="J194" s="1">
        <v>634</v>
      </c>
      <c r="K194" s="1">
        <v>1206</v>
      </c>
      <c r="L194" s="1">
        <v>18</v>
      </c>
      <c r="M194" s="1">
        <v>181</v>
      </c>
      <c r="N194" s="1" t="s">
        <v>61</v>
      </c>
      <c r="O194" s="1" t="s">
        <v>48</v>
      </c>
      <c r="P194" s="1">
        <f t="shared" si="21"/>
        <v>4</v>
      </c>
      <c r="Q194" s="1">
        <f t="shared" si="22"/>
        <v>-181</v>
      </c>
      <c r="R194" s="15">
        <f t="shared" si="23"/>
        <v>3</v>
      </c>
      <c r="S194" s="15">
        <f t="shared" si="24"/>
        <v>5</v>
      </c>
      <c r="T194" s="15">
        <f t="shared" si="25"/>
        <v>5</v>
      </c>
      <c r="U194" s="15" t="str">
        <f t="shared" si="26"/>
        <v>355</v>
      </c>
      <c r="V194" s="15"/>
      <c r="AE194" s="1">
        <f t="shared" si="27"/>
        <v>0</v>
      </c>
      <c r="AF194" s="1">
        <f t="shared" si="28"/>
        <v>0</v>
      </c>
      <c r="AG194" s="1">
        <f t="shared" si="29"/>
        <v>0</v>
      </c>
    </row>
    <row r="195" spans="1:33" ht="15">
      <c r="A195" s="1">
        <v>1578327</v>
      </c>
      <c r="B195" s="1" t="s">
        <v>36</v>
      </c>
      <c r="C195" s="1" t="s">
        <v>46</v>
      </c>
      <c r="D195" s="15" t="str">
        <f t="shared" ref="D195:D201" si="30">IF(OR(C195="American Indian",C195="Pacific Islander"),"Other",C195)</f>
        <v>Hispanic</v>
      </c>
      <c r="E195" s="2">
        <v>24708</v>
      </c>
      <c r="F195" s="1" t="s">
        <v>31</v>
      </c>
      <c r="G195" s="1">
        <v>1</v>
      </c>
      <c r="H195" s="1">
        <v>90024</v>
      </c>
      <c r="I195" s="1">
        <v>49000</v>
      </c>
      <c r="J195" s="1">
        <v>1015</v>
      </c>
      <c r="K195" s="1">
        <v>760</v>
      </c>
      <c r="L195" s="1">
        <v>11</v>
      </c>
      <c r="M195" s="1">
        <v>136</v>
      </c>
      <c r="N195" s="1" t="s">
        <v>38</v>
      </c>
      <c r="O195" s="1" t="s">
        <v>33</v>
      </c>
      <c r="P195" s="1">
        <f t="shared" ref="P195:P201" si="31">IF($N195="Very satisfied",5,IF($N195="Somewhat Satisfied",4,IF($N195="Neutral",3,IF($N195="Somewhat DisSatisfied",2,1))))</f>
        <v>3</v>
      </c>
      <c r="Q195" s="1">
        <f t="shared" ref="Q195:Q201" si="32">-M195</f>
        <v>-136</v>
      </c>
      <c r="R195" s="15">
        <f t="shared" ref="R195:R201" si="33">IF(Q195&lt;=Y$2,1,IF(Q195&lt;=Y$3,2,IF(Q195&lt;=Y$4,3,IF(Q195&lt;=Y198,4,5))))</f>
        <v>4</v>
      </c>
      <c r="S195" s="15">
        <f t="shared" ref="S195:S201" si="34">IF(L195&lt;=Z$2,1,IF(L195&lt;=Z$3,2,IF(L195&lt;=Z$4,3,IF(L195&lt;=Z198,4,5))))</f>
        <v>3</v>
      </c>
      <c r="T195" s="15">
        <f t="shared" ref="T195:T201" si="35">IF(K195&lt;=AA$2,1,IF(K195&lt;=AA$3,2,IF(K195&lt;=AA$4,3,IF(K195&lt;=AA198,4,5))))</f>
        <v>3</v>
      </c>
      <c r="U195" s="15" t="str">
        <f t="shared" ref="U195:U201" si="36">_xlfn.CONCAT(R195,S195,T195,)</f>
        <v>433</v>
      </c>
      <c r="V195" s="15"/>
      <c r="AE195" s="1">
        <f t="shared" ref="AE195:AE201" si="37">IF($O195="TV",1,0)</f>
        <v>0</v>
      </c>
      <c r="AF195" s="1">
        <f t="shared" ref="AF195:AF201" si="38">IF($O195="Referral",1,0)</f>
        <v>0</v>
      </c>
      <c r="AG195" s="1">
        <f t="shared" ref="AG195:AG201" si="39">IF($O195="SM",1,0)</f>
        <v>1</v>
      </c>
    </row>
    <row r="196" spans="1:33" ht="15">
      <c r="A196" s="1">
        <v>1578472</v>
      </c>
      <c r="B196" s="1" t="s">
        <v>29</v>
      </c>
      <c r="C196" s="1" t="s">
        <v>30</v>
      </c>
      <c r="D196" s="15" t="str">
        <f t="shared" si="30"/>
        <v>Black</v>
      </c>
      <c r="E196" s="2">
        <v>22831</v>
      </c>
      <c r="F196" s="1" t="s">
        <v>31</v>
      </c>
      <c r="G196" s="1">
        <v>2</v>
      </c>
      <c r="H196" s="1">
        <v>90067</v>
      </c>
      <c r="I196" s="1">
        <v>76000</v>
      </c>
      <c r="J196" s="1">
        <v>385</v>
      </c>
      <c r="K196" s="1">
        <v>322</v>
      </c>
      <c r="L196" s="1">
        <v>7</v>
      </c>
      <c r="M196" s="1">
        <v>344</v>
      </c>
      <c r="N196" s="1" t="s">
        <v>42</v>
      </c>
      <c r="O196" s="1" t="s">
        <v>48</v>
      </c>
      <c r="P196" s="1">
        <f t="shared" si="31"/>
        <v>5</v>
      </c>
      <c r="Q196" s="1">
        <f t="shared" si="32"/>
        <v>-344</v>
      </c>
      <c r="R196" s="15">
        <f t="shared" si="33"/>
        <v>1</v>
      </c>
      <c r="S196" s="15">
        <f t="shared" si="34"/>
        <v>2</v>
      </c>
      <c r="T196" s="15">
        <f t="shared" si="35"/>
        <v>2</v>
      </c>
      <c r="U196" s="15" t="str">
        <f t="shared" si="36"/>
        <v>122</v>
      </c>
      <c r="V196" s="15"/>
      <c r="AE196" s="1">
        <f t="shared" si="37"/>
        <v>0</v>
      </c>
      <c r="AF196" s="1">
        <f t="shared" si="38"/>
        <v>0</v>
      </c>
      <c r="AG196" s="1">
        <f t="shared" si="39"/>
        <v>0</v>
      </c>
    </row>
    <row r="197" spans="1:33" ht="15">
      <c r="A197" s="1">
        <v>1578525</v>
      </c>
      <c r="B197" s="1" t="s">
        <v>36</v>
      </c>
      <c r="C197" s="1" t="s">
        <v>46</v>
      </c>
      <c r="D197" s="15" t="str">
        <f t="shared" si="30"/>
        <v>Hispanic</v>
      </c>
      <c r="E197" s="2">
        <v>23357</v>
      </c>
      <c r="F197" s="1" t="s">
        <v>31</v>
      </c>
      <c r="G197" s="1">
        <v>1</v>
      </c>
      <c r="H197" s="1">
        <v>90005</v>
      </c>
      <c r="I197" s="1">
        <v>82000</v>
      </c>
      <c r="J197" s="1">
        <v>1521</v>
      </c>
      <c r="K197" s="1">
        <v>1121</v>
      </c>
      <c r="L197" s="1">
        <v>25</v>
      </c>
      <c r="M197" s="1">
        <v>302</v>
      </c>
      <c r="N197" s="1" t="s">
        <v>61</v>
      </c>
      <c r="O197" s="1" t="s">
        <v>48</v>
      </c>
      <c r="P197" s="1">
        <f t="shared" si="31"/>
        <v>4</v>
      </c>
      <c r="Q197" s="1">
        <f t="shared" si="32"/>
        <v>-302</v>
      </c>
      <c r="R197" s="15">
        <f t="shared" si="33"/>
        <v>1</v>
      </c>
      <c r="S197" s="15">
        <f t="shared" si="34"/>
        <v>5</v>
      </c>
      <c r="T197" s="15">
        <f t="shared" si="35"/>
        <v>5</v>
      </c>
      <c r="U197" s="15" t="str">
        <f t="shared" si="36"/>
        <v>155</v>
      </c>
      <c r="V197" s="15"/>
      <c r="AE197" s="1">
        <f t="shared" si="37"/>
        <v>0</v>
      </c>
      <c r="AF197" s="1">
        <f t="shared" si="38"/>
        <v>0</v>
      </c>
      <c r="AG197" s="1">
        <f t="shared" si="39"/>
        <v>0</v>
      </c>
    </row>
    <row r="198" spans="1:33" ht="15">
      <c r="A198" s="1">
        <v>1579349</v>
      </c>
      <c r="B198" s="1" t="s">
        <v>36</v>
      </c>
      <c r="C198" s="1" t="s">
        <v>54</v>
      </c>
      <c r="D198" s="15" t="str">
        <f t="shared" si="30"/>
        <v>Asian</v>
      </c>
      <c r="E198" s="2">
        <v>29574</v>
      </c>
      <c r="F198" s="1" t="s">
        <v>31</v>
      </c>
      <c r="G198" s="1">
        <v>1</v>
      </c>
      <c r="H198" s="1">
        <v>90010</v>
      </c>
      <c r="I198" s="1">
        <v>49000</v>
      </c>
      <c r="J198" s="1">
        <v>217</v>
      </c>
      <c r="K198" s="1">
        <v>397</v>
      </c>
      <c r="L198" s="1">
        <v>10</v>
      </c>
      <c r="M198" s="1">
        <v>200</v>
      </c>
      <c r="N198" s="1" t="s">
        <v>61</v>
      </c>
      <c r="O198" s="1" t="s">
        <v>48</v>
      </c>
      <c r="P198" s="1">
        <f t="shared" si="31"/>
        <v>4</v>
      </c>
      <c r="Q198" s="1">
        <f t="shared" si="32"/>
        <v>-200</v>
      </c>
      <c r="R198" s="15">
        <f t="shared" si="33"/>
        <v>3</v>
      </c>
      <c r="S198" s="15">
        <f t="shared" si="34"/>
        <v>3</v>
      </c>
      <c r="T198" s="15">
        <f t="shared" si="35"/>
        <v>2</v>
      </c>
      <c r="U198" s="15" t="str">
        <f t="shared" si="36"/>
        <v>332</v>
      </c>
      <c r="V198" s="15"/>
      <c r="AE198" s="1">
        <f t="shared" si="37"/>
        <v>0</v>
      </c>
      <c r="AF198" s="1">
        <f t="shared" si="38"/>
        <v>0</v>
      </c>
      <c r="AG198" s="1">
        <f t="shared" si="39"/>
        <v>0</v>
      </c>
    </row>
    <row r="199" spans="1:33" ht="15">
      <c r="A199" s="1">
        <v>1579389</v>
      </c>
      <c r="B199" s="1" t="s">
        <v>29</v>
      </c>
      <c r="C199" s="1" t="s">
        <v>58</v>
      </c>
      <c r="D199" s="15" t="str">
        <f t="shared" si="30"/>
        <v>Other</v>
      </c>
      <c r="E199" s="2">
        <v>36667</v>
      </c>
      <c r="F199" s="1" t="s">
        <v>31</v>
      </c>
      <c r="G199" s="1">
        <v>1</v>
      </c>
      <c r="H199" s="1">
        <v>90009</v>
      </c>
      <c r="I199" s="1">
        <v>50000</v>
      </c>
      <c r="J199" s="1">
        <v>625</v>
      </c>
      <c r="K199" s="1">
        <v>514</v>
      </c>
      <c r="L199" s="1">
        <v>10</v>
      </c>
      <c r="M199" s="1">
        <v>233</v>
      </c>
      <c r="N199" s="1" t="s">
        <v>62</v>
      </c>
      <c r="O199" s="1" t="s">
        <v>52</v>
      </c>
      <c r="P199" s="1">
        <f t="shared" si="31"/>
        <v>2</v>
      </c>
      <c r="Q199" s="1">
        <f t="shared" si="32"/>
        <v>-233</v>
      </c>
      <c r="R199" s="15">
        <f t="shared" si="33"/>
        <v>2</v>
      </c>
      <c r="S199" s="15">
        <f t="shared" si="34"/>
        <v>3</v>
      </c>
      <c r="T199" s="15">
        <f t="shared" si="35"/>
        <v>2</v>
      </c>
      <c r="U199" s="15" t="str">
        <f t="shared" si="36"/>
        <v>232</v>
      </c>
      <c r="V199" s="15"/>
      <c r="AE199" s="1">
        <f t="shared" si="37"/>
        <v>0</v>
      </c>
      <c r="AF199" s="1">
        <f t="shared" si="38"/>
        <v>1</v>
      </c>
      <c r="AG199" s="1">
        <f t="shared" si="39"/>
        <v>0</v>
      </c>
    </row>
    <row r="200" spans="1:33" ht="15">
      <c r="A200" s="1">
        <v>1579857</v>
      </c>
      <c r="B200" s="1" t="s">
        <v>29</v>
      </c>
      <c r="C200" s="1" t="s">
        <v>37</v>
      </c>
      <c r="D200" s="15" t="str">
        <f t="shared" si="30"/>
        <v>White</v>
      </c>
      <c r="E200" s="2">
        <v>33264</v>
      </c>
      <c r="F200" s="1" t="s">
        <v>31</v>
      </c>
      <c r="G200" s="1">
        <v>1</v>
      </c>
      <c r="H200" s="1">
        <v>90055</v>
      </c>
      <c r="I200" s="1">
        <v>52000</v>
      </c>
      <c r="J200" s="1">
        <v>325</v>
      </c>
      <c r="K200" s="1">
        <v>586</v>
      </c>
      <c r="L200" s="1">
        <v>13</v>
      </c>
      <c r="M200" s="1">
        <v>219</v>
      </c>
      <c r="N200" s="1" t="s">
        <v>62</v>
      </c>
      <c r="O200" s="1" t="s">
        <v>52</v>
      </c>
      <c r="P200" s="1">
        <f t="shared" si="31"/>
        <v>2</v>
      </c>
      <c r="Q200" s="1">
        <f t="shared" si="32"/>
        <v>-219</v>
      </c>
      <c r="R200" s="15">
        <f t="shared" si="33"/>
        <v>2</v>
      </c>
      <c r="S200" s="15">
        <f t="shared" si="34"/>
        <v>5</v>
      </c>
      <c r="T200" s="15">
        <f t="shared" si="35"/>
        <v>3</v>
      </c>
      <c r="U200" s="15" t="str">
        <f t="shared" si="36"/>
        <v>253</v>
      </c>
      <c r="V200" s="15"/>
      <c r="AE200" s="1">
        <f t="shared" si="37"/>
        <v>0</v>
      </c>
      <c r="AF200" s="1">
        <f t="shared" si="38"/>
        <v>1</v>
      </c>
      <c r="AG200" s="1">
        <f t="shared" si="39"/>
        <v>0</v>
      </c>
    </row>
    <row r="201" spans="1:33" ht="15">
      <c r="A201" s="1">
        <v>1579979</v>
      </c>
      <c r="B201" s="1" t="s">
        <v>36</v>
      </c>
      <c r="C201" s="1" t="s">
        <v>37</v>
      </c>
      <c r="D201" s="15" t="str">
        <f t="shared" si="30"/>
        <v>White</v>
      </c>
      <c r="E201" s="2">
        <v>36346</v>
      </c>
      <c r="F201" s="1" t="s">
        <v>31</v>
      </c>
      <c r="G201" s="1">
        <v>5</v>
      </c>
      <c r="H201" s="1">
        <v>90043</v>
      </c>
      <c r="I201" s="1">
        <v>102000</v>
      </c>
      <c r="J201" s="1">
        <v>1080</v>
      </c>
      <c r="K201" s="1">
        <v>926</v>
      </c>
      <c r="L201" s="1">
        <v>10</v>
      </c>
      <c r="M201" s="1">
        <v>113</v>
      </c>
      <c r="N201" s="1" t="s">
        <v>61</v>
      </c>
      <c r="O201" s="1" t="s">
        <v>33</v>
      </c>
      <c r="P201" s="1">
        <f t="shared" si="31"/>
        <v>4</v>
      </c>
      <c r="Q201" s="1">
        <f t="shared" si="32"/>
        <v>-113</v>
      </c>
      <c r="R201" s="15">
        <f t="shared" si="33"/>
        <v>4</v>
      </c>
      <c r="S201" s="15">
        <f t="shared" si="34"/>
        <v>3</v>
      </c>
      <c r="T201" s="15">
        <f t="shared" si="35"/>
        <v>5</v>
      </c>
      <c r="U201" s="15" t="str">
        <f t="shared" si="36"/>
        <v>435</v>
      </c>
      <c r="V201" s="15"/>
      <c r="AE201" s="1">
        <f t="shared" si="37"/>
        <v>0</v>
      </c>
      <c r="AF201" s="1">
        <f t="shared" si="38"/>
        <v>0</v>
      </c>
      <c r="AG201" s="1">
        <f t="shared" si="39"/>
        <v>1</v>
      </c>
    </row>
  </sheetData>
  <autoFilter ref="A1:O1" xr:uid="{79646B94-A9E6-4A47-AF7E-4053FED6ADB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0EAA-F4E0-4D59-8CD0-94E5685C9851}">
  <dimension ref="A1:F60"/>
  <sheetViews>
    <sheetView workbookViewId="0">
      <selection activeCell="I11" sqref="I11"/>
    </sheetView>
  </sheetViews>
  <sheetFormatPr defaultColWidth="8.875" defaultRowHeight="14.1"/>
  <cols>
    <col min="1" max="1" width="7.375" bestFit="1" customWidth="1"/>
    <col min="2" max="2" width="13.5" bestFit="1" customWidth="1"/>
    <col min="3" max="3" width="7.5" bestFit="1" customWidth="1"/>
    <col min="4" max="4" width="13.375" bestFit="1" customWidth="1"/>
    <col min="5" max="5" width="13.125" bestFit="1" customWidth="1"/>
    <col min="6" max="6" width="8" bestFit="1" customWidth="1"/>
  </cols>
  <sheetData>
    <row r="1" spans="1:6">
      <c r="A1" s="1" t="s">
        <v>1</v>
      </c>
      <c r="B1" s="1" t="s">
        <v>6</v>
      </c>
      <c r="C1" s="1" t="s">
        <v>8</v>
      </c>
      <c r="D1" s="1" t="s">
        <v>10</v>
      </c>
      <c r="E1" s="1" t="s">
        <v>11</v>
      </c>
      <c r="F1" s="1" t="s">
        <v>14</v>
      </c>
    </row>
    <row r="2" spans="1:6">
      <c r="A2" s="1" t="s">
        <v>29</v>
      </c>
      <c r="B2" s="1">
        <v>5</v>
      </c>
      <c r="C2" s="1">
        <v>53000</v>
      </c>
      <c r="D2" s="1">
        <v>241</v>
      </c>
      <c r="E2" s="1">
        <v>3</v>
      </c>
      <c r="F2" s="1" t="s">
        <v>33</v>
      </c>
    </row>
    <row r="3" spans="1:6">
      <c r="A3" s="1" t="s">
        <v>36</v>
      </c>
      <c r="B3" s="1">
        <v>5</v>
      </c>
      <c r="C3" s="1">
        <v>94000</v>
      </c>
      <c r="D3" s="1">
        <v>843</v>
      </c>
      <c r="E3" s="1">
        <v>12</v>
      </c>
      <c r="F3" s="1" t="s">
        <v>39</v>
      </c>
    </row>
    <row r="4" spans="1:6">
      <c r="A4" s="1" t="s">
        <v>29</v>
      </c>
      <c r="B4" s="1">
        <v>3</v>
      </c>
      <c r="C4" s="1">
        <v>84000</v>
      </c>
      <c r="D4" s="1">
        <v>153</v>
      </c>
      <c r="E4" s="1">
        <v>2</v>
      </c>
      <c r="F4" s="1" t="s">
        <v>48</v>
      </c>
    </row>
    <row r="5" spans="1:6">
      <c r="A5" s="1" t="s">
        <v>36</v>
      </c>
      <c r="B5" s="1">
        <v>1</v>
      </c>
      <c r="C5" s="1">
        <v>97000</v>
      </c>
      <c r="D5" s="1">
        <v>1028</v>
      </c>
      <c r="E5" s="1">
        <v>17</v>
      </c>
      <c r="F5" s="1" t="s">
        <v>48</v>
      </c>
    </row>
    <row r="6" spans="1:6">
      <c r="A6" s="1" t="s">
        <v>29</v>
      </c>
      <c r="B6" s="1">
        <v>3</v>
      </c>
      <c r="C6" s="1">
        <v>64000</v>
      </c>
      <c r="D6" s="1">
        <v>915</v>
      </c>
      <c r="E6" s="1">
        <v>15</v>
      </c>
      <c r="F6" s="1" t="s">
        <v>52</v>
      </c>
    </row>
    <row r="7" spans="1:6">
      <c r="A7" s="1" t="s">
        <v>36</v>
      </c>
      <c r="B7" s="1">
        <v>2</v>
      </c>
      <c r="C7" s="1">
        <v>114000</v>
      </c>
      <c r="D7" s="1">
        <v>665</v>
      </c>
      <c r="E7" s="1">
        <v>7</v>
      </c>
      <c r="F7" s="1" t="s">
        <v>39</v>
      </c>
    </row>
    <row r="8" spans="1:6">
      <c r="A8" s="1" t="s">
        <v>29</v>
      </c>
      <c r="B8" s="1">
        <v>3</v>
      </c>
      <c r="C8" s="1">
        <v>42000</v>
      </c>
      <c r="D8" s="1">
        <v>313</v>
      </c>
      <c r="E8" s="1">
        <v>4</v>
      </c>
      <c r="F8" s="1" t="s">
        <v>39</v>
      </c>
    </row>
    <row r="9" spans="1:6">
      <c r="A9" s="1" t="s">
        <v>36</v>
      </c>
      <c r="B9" s="1">
        <v>2</v>
      </c>
      <c r="C9" s="1">
        <v>94000</v>
      </c>
      <c r="D9" s="1">
        <v>524</v>
      </c>
      <c r="E9" s="1">
        <v>7</v>
      </c>
      <c r="F9" s="1" t="s">
        <v>52</v>
      </c>
    </row>
    <row r="10" spans="1:6">
      <c r="A10" s="1" t="s">
        <v>36</v>
      </c>
      <c r="B10" s="1">
        <v>1</v>
      </c>
      <c r="C10" s="1">
        <v>91000</v>
      </c>
      <c r="D10" s="1">
        <v>800</v>
      </c>
      <c r="E10" s="1">
        <v>10</v>
      </c>
      <c r="F10" s="1" t="s">
        <v>48</v>
      </c>
    </row>
    <row r="11" spans="1:6">
      <c r="A11" s="1" t="s">
        <v>36</v>
      </c>
      <c r="B11" s="1">
        <v>2</v>
      </c>
      <c r="C11" s="1">
        <v>86000</v>
      </c>
      <c r="D11" s="1">
        <v>314</v>
      </c>
      <c r="E11" s="1">
        <v>7</v>
      </c>
      <c r="F11" s="1" t="s">
        <v>33</v>
      </c>
    </row>
    <row r="12" spans="1:6">
      <c r="A12" s="1" t="s">
        <v>36</v>
      </c>
      <c r="B12" s="1">
        <v>5</v>
      </c>
      <c r="C12" s="1">
        <v>51000</v>
      </c>
      <c r="D12" s="1">
        <v>573</v>
      </c>
      <c r="E12" s="1">
        <v>8</v>
      </c>
      <c r="F12" s="1" t="s">
        <v>33</v>
      </c>
    </row>
    <row r="13" spans="1:6">
      <c r="A13" s="1" t="s">
        <v>36</v>
      </c>
      <c r="B13" s="1">
        <v>2</v>
      </c>
      <c r="C13" s="1">
        <v>55000</v>
      </c>
      <c r="D13" s="1">
        <v>563</v>
      </c>
      <c r="E13" s="1">
        <v>12</v>
      </c>
      <c r="F13" s="1" t="s">
        <v>33</v>
      </c>
    </row>
    <row r="14" spans="1:6">
      <c r="A14" s="1" t="s">
        <v>36</v>
      </c>
      <c r="B14" s="1">
        <v>5</v>
      </c>
      <c r="C14" s="1">
        <v>69000</v>
      </c>
      <c r="D14" s="1">
        <v>442</v>
      </c>
      <c r="E14" s="1">
        <v>3</v>
      </c>
      <c r="F14" s="1" t="s">
        <v>39</v>
      </c>
    </row>
    <row r="15" spans="1:6">
      <c r="A15" s="1" t="s">
        <v>36</v>
      </c>
      <c r="B15" s="1">
        <v>4</v>
      </c>
      <c r="C15" s="1">
        <v>68000</v>
      </c>
      <c r="D15" s="1">
        <v>1214</v>
      </c>
      <c r="E15" s="1">
        <v>31</v>
      </c>
      <c r="F15" s="1" t="s">
        <v>52</v>
      </c>
    </row>
    <row r="16" spans="1:6">
      <c r="A16" s="1" t="s">
        <v>36</v>
      </c>
      <c r="B16" s="1">
        <v>2</v>
      </c>
      <c r="C16" s="1">
        <v>68000</v>
      </c>
      <c r="D16" s="1">
        <v>1027</v>
      </c>
      <c r="E16" s="1">
        <v>25</v>
      </c>
      <c r="F16" s="1" t="s">
        <v>39</v>
      </c>
    </row>
    <row r="17" spans="1:6">
      <c r="A17" s="1" t="s">
        <v>36</v>
      </c>
      <c r="B17" s="1">
        <v>3</v>
      </c>
      <c r="C17" s="1">
        <v>78000</v>
      </c>
      <c r="D17" s="1">
        <v>1057</v>
      </c>
      <c r="E17" s="1">
        <v>16</v>
      </c>
      <c r="F17" s="1" t="s">
        <v>33</v>
      </c>
    </row>
    <row r="18" spans="1:6">
      <c r="A18" s="1" t="s">
        <v>36</v>
      </c>
      <c r="B18" s="1">
        <v>3</v>
      </c>
      <c r="C18" s="1">
        <v>69000</v>
      </c>
      <c r="D18" s="1">
        <v>173</v>
      </c>
      <c r="E18" s="1">
        <v>3</v>
      </c>
      <c r="F18" s="1" t="s">
        <v>48</v>
      </c>
    </row>
    <row r="19" spans="1:6">
      <c r="A19" s="1" t="s">
        <v>29</v>
      </c>
      <c r="B19" s="1">
        <v>5</v>
      </c>
      <c r="C19" s="1">
        <v>97000</v>
      </c>
      <c r="D19" s="1">
        <v>911</v>
      </c>
      <c r="E19" s="1">
        <v>16</v>
      </c>
      <c r="F19" s="1" t="s">
        <v>48</v>
      </c>
    </row>
    <row r="20" spans="1:6">
      <c r="A20" s="1" t="s">
        <v>36</v>
      </c>
      <c r="B20" s="1">
        <v>5</v>
      </c>
      <c r="C20" s="1">
        <v>102000</v>
      </c>
      <c r="D20" s="1">
        <v>626</v>
      </c>
      <c r="E20" s="1">
        <v>9</v>
      </c>
      <c r="F20" s="1" t="s">
        <v>52</v>
      </c>
    </row>
    <row r="21" spans="1:6">
      <c r="A21" s="1" t="s">
        <v>36</v>
      </c>
      <c r="B21" s="1">
        <v>4</v>
      </c>
      <c r="C21" s="1">
        <v>65000</v>
      </c>
      <c r="D21" s="1">
        <v>78</v>
      </c>
      <c r="E21" s="1">
        <v>2</v>
      </c>
      <c r="F21" s="1" t="s">
        <v>52</v>
      </c>
    </row>
    <row r="22" spans="1:6">
      <c r="A22" s="1" t="s">
        <v>36</v>
      </c>
      <c r="B22" s="1">
        <v>3</v>
      </c>
      <c r="C22" s="1">
        <v>56000</v>
      </c>
      <c r="D22" s="1">
        <v>790</v>
      </c>
      <c r="E22" s="1">
        <v>10</v>
      </c>
      <c r="F22" s="1" t="s">
        <v>48</v>
      </c>
    </row>
    <row r="23" spans="1:6">
      <c r="A23" s="1" t="s">
        <v>29</v>
      </c>
      <c r="B23" s="1">
        <v>2</v>
      </c>
      <c r="C23" s="1">
        <v>44000</v>
      </c>
      <c r="D23" s="1">
        <v>500</v>
      </c>
      <c r="E23" s="1">
        <v>5</v>
      </c>
      <c r="F23" s="1" t="s">
        <v>39</v>
      </c>
    </row>
    <row r="24" spans="1:6">
      <c r="A24" s="1" t="s">
        <v>36</v>
      </c>
      <c r="B24" s="1">
        <v>1</v>
      </c>
      <c r="C24" s="1">
        <v>151000</v>
      </c>
      <c r="D24" s="1">
        <v>688</v>
      </c>
      <c r="E24" s="1">
        <v>17</v>
      </c>
      <c r="F24" s="1" t="s">
        <v>33</v>
      </c>
    </row>
    <row r="25" spans="1:6">
      <c r="A25" s="1" t="s">
        <v>36</v>
      </c>
      <c r="B25" s="1">
        <v>2</v>
      </c>
      <c r="C25" s="1">
        <v>97000</v>
      </c>
      <c r="D25" s="1">
        <v>1020</v>
      </c>
      <c r="E25" s="1">
        <v>24</v>
      </c>
      <c r="F25" s="1" t="s">
        <v>39</v>
      </c>
    </row>
    <row r="26" spans="1:6">
      <c r="A26" s="1" t="s">
        <v>36</v>
      </c>
      <c r="B26" s="1">
        <v>4</v>
      </c>
      <c r="C26" s="1">
        <v>91000</v>
      </c>
      <c r="D26" s="1">
        <v>423</v>
      </c>
      <c r="E26" s="1">
        <v>6</v>
      </c>
      <c r="F26" s="1" t="s">
        <v>39</v>
      </c>
    </row>
    <row r="27" spans="1:6">
      <c r="A27" s="1" t="s">
        <v>29</v>
      </c>
      <c r="B27" s="1">
        <v>5</v>
      </c>
      <c r="C27" s="1">
        <v>62000</v>
      </c>
      <c r="D27" s="1">
        <v>862</v>
      </c>
      <c r="E27" s="1">
        <v>19</v>
      </c>
      <c r="F27" s="1" t="s">
        <v>48</v>
      </c>
    </row>
    <row r="28" spans="1:6">
      <c r="A28" s="1" t="s">
        <v>29</v>
      </c>
      <c r="B28" s="1">
        <v>5</v>
      </c>
      <c r="C28" s="1">
        <v>92000</v>
      </c>
      <c r="D28" s="1">
        <v>183</v>
      </c>
      <c r="E28" s="1">
        <v>1</v>
      </c>
      <c r="F28" s="1" t="s">
        <v>52</v>
      </c>
    </row>
    <row r="29" spans="1:6">
      <c r="A29" s="1" t="s">
        <v>36</v>
      </c>
      <c r="B29" s="1">
        <v>4</v>
      </c>
      <c r="C29" s="1">
        <v>60000</v>
      </c>
      <c r="D29" s="1">
        <v>684</v>
      </c>
      <c r="E29" s="1">
        <v>14</v>
      </c>
      <c r="F29" s="1" t="s">
        <v>39</v>
      </c>
    </row>
    <row r="30" spans="1:6">
      <c r="A30" s="1" t="s">
        <v>29</v>
      </c>
      <c r="B30" s="1">
        <v>5</v>
      </c>
      <c r="C30" s="1">
        <v>63000</v>
      </c>
      <c r="D30" s="1">
        <v>188</v>
      </c>
      <c r="E30" s="1">
        <v>4</v>
      </c>
      <c r="F30" s="1" t="s">
        <v>48</v>
      </c>
    </row>
    <row r="31" spans="1:6">
      <c r="A31" s="1" t="s">
        <v>36</v>
      </c>
      <c r="B31" s="1">
        <v>3</v>
      </c>
      <c r="C31" s="1">
        <v>94000</v>
      </c>
      <c r="D31" s="1">
        <v>580</v>
      </c>
      <c r="E31" s="1">
        <v>15</v>
      </c>
      <c r="F31" s="1" t="s">
        <v>48</v>
      </c>
    </row>
    <row r="32" spans="1:6">
      <c r="A32" s="1" t="s">
        <v>29</v>
      </c>
      <c r="B32" s="1">
        <v>1</v>
      </c>
      <c r="C32" s="1">
        <v>55000</v>
      </c>
      <c r="D32" s="1">
        <v>602</v>
      </c>
      <c r="E32" s="1">
        <v>5</v>
      </c>
      <c r="F32" s="1" t="s">
        <v>48</v>
      </c>
    </row>
    <row r="33" spans="1:6">
      <c r="A33" s="1" t="s">
        <v>36</v>
      </c>
      <c r="B33" s="1">
        <v>4</v>
      </c>
      <c r="C33" s="1">
        <v>68000</v>
      </c>
      <c r="D33" s="1">
        <v>82</v>
      </c>
      <c r="E33" s="1">
        <v>2</v>
      </c>
      <c r="F33" s="1" t="s">
        <v>33</v>
      </c>
    </row>
    <row r="34" spans="1:6">
      <c r="A34" s="1" t="s">
        <v>29</v>
      </c>
      <c r="B34" s="1">
        <v>2</v>
      </c>
      <c r="C34" s="1">
        <v>47000</v>
      </c>
      <c r="D34" s="1">
        <v>745</v>
      </c>
      <c r="E34" s="1">
        <v>5</v>
      </c>
      <c r="F34" s="1" t="s">
        <v>33</v>
      </c>
    </row>
    <row r="35" spans="1:6">
      <c r="A35" s="1" t="s">
        <v>36</v>
      </c>
      <c r="B35" s="1">
        <v>3</v>
      </c>
      <c r="C35" s="1">
        <v>50000</v>
      </c>
      <c r="D35" s="1">
        <v>482</v>
      </c>
      <c r="E35" s="1">
        <v>11</v>
      </c>
      <c r="F35" s="1" t="s">
        <v>33</v>
      </c>
    </row>
    <row r="36" spans="1:6">
      <c r="A36" s="1" t="s">
        <v>36</v>
      </c>
      <c r="B36" s="1">
        <v>3</v>
      </c>
      <c r="C36" s="1">
        <v>89000</v>
      </c>
      <c r="D36" s="1">
        <v>1004</v>
      </c>
      <c r="E36" s="1">
        <v>16</v>
      </c>
      <c r="F36" s="1" t="s">
        <v>48</v>
      </c>
    </row>
    <row r="37" spans="1:6">
      <c r="A37" s="1" t="s">
        <v>29</v>
      </c>
      <c r="B37" s="1">
        <v>3</v>
      </c>
      <c r="C37" s="1">
        <v>42000</v>
      </c>
      <c r="D37" s="1">
        <v>1101</v>
      </c>
      <c r="E37" s="1">
        <v>11</v>
      </c>
      <c r="F37" s="1" t="s">
        <v>39</v>
      </c>
    </row>
    <row r="38" spans="1:6">
      <c r="A38" s="1" t="s">
        <v>29</v>
      </c>
      <c r="B38" s="1">
        <v>5</v>
      </c>
      <c r="C38" s="1">
        <v>62000</v>
      </c>
      <c r="D38" s="1">
        <v>724</v>
      </c>
      <c r="E38" s="1">
        <v>19</v>
      </c>
      <c r="F38" s="1" t="s">
        <v>52</v>
      </c>
    </row>
    <row r="39" spans="1:6">
      <c r="A39" s="1" t="s">
        <v>29</v>
      </c>
      <c r="B39" s="1">
        <v>4</v>
      </c>
      <c r="C39" s="1">
        <v>58000</v>
      </c>
      <c r="D39" s="1">
        <v>1123</v>
      </c>
      <c r="E39" s="1">
        <v>8</v>
      </c>
      <c r="F39" s="1" t="s">
        <v>52</v>
      </c>
    </row>
    <row r="40" spans="1:6">
      <c r="A40" s="1" t="s">
        <v>29</v>
      </c>
      <c r="B40" s="1">
        <v>2</v>
      </c>
      <c r="C40" s="1">
        <v>72000</v>
      </c>
      <c r="D40" s="1">
        <v>728</v>
      </c>
      <c r="E40" s="1">
        <v>13</v>
      </c>
      <c r="F40" s="1" t="s">
        <v>39</v>
      </c>
    </row>
    <row r="41" spans="1:6">
      <c r="A41" s="1" t="s">
        <v>36</v>
      </c>
      <c r="B41" s="1">
        <v>5</v>
      </c>
      <c r="C41" s="1">
        <v>50000</v>
      </c>
      <c r="D41" s="1">
        <v>210</v>
      </c>
      <c r="E41" s="1">
        <v>3</v>
      </c>
      <c r="F41" s="1" t="s">
        <v>33</v>
      </c>
    </row>
    <row r="42" spans="1:6">
      <c r="A42" s="1" t="s">
        <v>36</v>
      </c>
      <c r="B42" s="1">
        <v>3</v>
      </c>
      <c r="C42" s="1">
        <v>46000</v>
      </c>
      <c r="D42" s="1">
        <v>745</v>
      </c>
      <c r="E42" s="1">
        <v>15</v>
      </c>
      <c r="F42" s="1" t="s">
        <v>33</v>
      </c>
    </row>
    <row r="43" spans="1:6">
      <c r="A43" s="1" t="s">
        <v>36</v>
      </c>
      <c r="B43" s="1">
        <v>4</v>
      </c>
      <c r="C43" s="1">
        <v>58000</v>
      </c>
      <c r="D43" s="1">
        <v>673</v>
      </c>
      <c r="E43" s="1">
        <v>15</v>
      </c>
      <c r="F43" s="1" t="s">
        <v>33</v>
      </c>
    </row>
    <row r="44" spans="1:6">
      <c r="A44" s="1" t="s">
        <v>36</v>
      </c>
      <c r="B44" s="1">
        <v>3</v>
      </c>
      <c r="C44" s="1">
        <v>95000</v>
      </c>
      <c r="D44" s="1">
        <v>407</v>
      </c>
      <c r="E44" s="1">
        <v>9</v>
      </c>
      <c r="F44" s="1" t="s">
        <v>33</v>
      </c>
    </row>
    <row r="45" spans="1:6">
      <c r="A45" s="1" t="s">
        <v>36</v>
      </c>
      <c r="B45" s="1">
        <v>5</v>
      </c>
      <c r="C45" s="1">
        <v>167000</v>
      </c>
      <c r="D45" s="1">
        <v>692</v>
      </c>
      <c r="E45" s="1">
        <v>12</v>
      </c>
      <c r="F45" s="1" t="s">
        <v>33</v>
      </c>
    </row>
    <row r="46" spans="1:6">
      <c r="A46" s="1" t="s">
        <v>29</v>
      </c>
      <c r="B46" s="1">
        <v>4</v>
      </c>
      <c r="C46" s="1">
        <v>102000</v>
      </c>
      <c r="D46" s="1">
        <v>449</v>
      </c>
      <c r="E46" s="1">
        <v>6</v>
      </c>
      <c r="F46" s="1" t="s">
        <v>48</v>
      </c>
    </row>
    <row r="47" spans="1:6">
      <c r="A47" s="1" t="s">
        <v>36</v>
      </c>
      <c r="B47" s="1">
        <v>1</v>
      </c>
      <c r="C47" s="1">
        <v>69000</v>
      </c>
      <c r="D47" s="1">
        <v>499</v>
      </c>
      <c r="E47" s="1">
        <v>9</v>
      </c>
      <c r="F47" s="1" t="s">
        <v>52</v>
      </c>
    </row>
    <row r="48" spans="1:6">
      <c r="A48" s="1" t="s">
        <v>36</v>
      </c>
      <c r="B48" s="1">
        <v>4</v>
      </c>
      <c r="C48" s="1">
        <v>91000</v>
      </c>
      <c r="D48" s="1">
        <v>842</v>
      </c>
      <c r="E48" s="1">
        <v>7</v>
      </c>
      <c r="F48" s="1" t="s">
        <v>39</v>
      </c>
    </row>
    <row r="49" spans="1:6">
      <c r="A49" s="1" t="s">
        <v>29</v>
      </c>
      <c r="B49" s="1">
        <v>1</v>
      </c>
      <c r="C49" s="1">
        <v>34000</v>
      </c>
      <c r="D49" s="1">
        <v>761</v>
      </c>
      <c r="E49" s="1">
        <v>12</v>
      </c>
      <c r="F49" s="1" t="s">
        <v>33</v>
      </c>
    </row>
    <row r="50" spans="1:6">
      <c r="A50" s="1" t="s">
        <v>36</v>
      </c>
      <c r="B50" s="1">
        <v>1</v>
      </c>
      <c r="C50" s="1">
        <v>47000</v>
      </c>
      <c r="D50" s="1">
        <v>517</v>
      </c>
      <c r="E50" s="1">
        <v>10</v>
      </c>
      <c r="F50" s="1" t="s">
        <v>39</v>
      </c>
    </row>
    <row r="51" spans="1:6">
      <c r="A51" s="1" t="s">
        <v>29</v>
      </c>
      <c r="B51" s="1">
        <v>3</v>
      </c>
      <c r="C51" s="1">
        <v>78000</v>
      </c>
      <c r="D51" s="1">
        <v>1105</v>
      </c>
      <c r="E51" s="1">
        <v>13</v>
      </c>
      <c r="F51" s="1" t="s">
        <v>48</v>
      </c>
    </row>
    <row r="52" spans="1:6">
      <c r="A52" s="1" t="s">
        <v>29</v>
      </c>
      <c r="B52" s="1">
        <v>2</v>
      </c>
      <c r="C52" s="1">
        <v>40000</v>
      </c>
      <c r="D52" s="1">
        <v>556</v>
      </c>
      <c r="E52" s="1">
        <v>5</v>
      </c>
      <c r="F52" s="1" t="s">
        <v>52</v>
      </c>
    </row>
    <row r="53" spans="1:6">
      <c r="A53" s="1" t="s">
        <v>29</v>
      </c>
      <c r="B53" s="1">
        <v>1</v>
      </c>
      <c r="C53" s="1">
        <v>44000</v>
      </c>
      <c r="D53" s="1">
        <v>823</v>
      </c>
      <c r="E53" s="1">
        <v>20</v>
      </c>
      <c r="F53" s="1" t="s">
        <v>48</v>
      </c>
    </row>
    <row r="54" spans="1:6">
      <c r="A54" s="1" t="s">
        <v>36</v>
      </c>
      <c r="B54" s="1">
        <v>1</v>
      </c>
      <c r="C54" s="1">
        <v>99000</v>
      </c>
      <c r="D54" s="1">
        <v>1099</v>
      </c>
      <c r="E54" s="1">
        <v>13</v>
      </c>
      <c r="F54" s="1" t="s">
        <v>33</v>
      </c>
    </row>
    <row r="55" spans="1:6">
      <c r="A55" s="1" t="s">
        <v>36</v>
      </c>
      <c r="B55" s="1">
        <v>4</v>
      </c>
      <c r="C55" s="1">
        <v>100000</v>
      </c>
      <c r="D55" s="1">
        <v>437</v>
      </c>
      <c r="E55" s="1">
        <v>5</v>
      </c>
      <c r="F55" s="1" t="s">
        <v>52</v>
      </c>
    </row>
    <row r="56" spans="1:6">
      <c r="A56" s="1" t="s">
        <v>36</v>
      </c>
      <c r="B56" s="1">
        <v>5</v>
      </c>
      <c r="C56" s="1">
        <v>129000</v>
      </c>
      <c r="D56" s="1">
        <v>949</v>
      </c>
      <c r="E56" s="1">
        <v>24</v>
      </c>
      <c r="F56" s="1" t="s">
        <v>48</v>
      </c>
    </row>
    <row r="57" spans="1:6">
      <c r="A57" s="1" t="s">
        <v>36</v>
      </c>
      <c r="B57" s="1">
        <v>3</v>
      </c>
      <c r="C57" s="1">
        <v>92000</v>
      </c>
      <c r="D57" s="1">
        <v>409</v>
      </c>
      <c r="E57" s="1">
        <v>3</v>
      </c>
      <c r="F57" s="1" t="s">
        <v>33</v>
      </c>
    </row>
    <row r="58" spans="1:6">
      <c r="A58" s="1" t="s">
        <v>36</v>
      </c>
      <c r="B58" s="1">
        <v>2</v>
      </c>
      <c r="C58" s="1">
        <v>58000</v>
      </c>
      <c r="D58" s="1">
        <v>319</v>
      </c>
      <c r="E58" s="1">
        <v>2</v>
      </c>
      <c r="F58" s="1" t="s">
        <v>33</v>
      </c>
    </row>
    <row r="59" spans="1:6">
      <c r="A59" s="1" t="s">
        <v>29</v>
      </c>
      <c r="B59" s="1">
        <v>1</v>
      </c>
      <c r="C59" s="1">
        <v>52000</v>
      </c>
      <c r="D59" s="1">
        <v>586</v>
      </c>
      <c r="E59" s="1">
        <v>13</v>
      </c>
      <c r="F59" s="1" t="s">
        <v>52</v>
      </c>
    </row>
    <row r="60" spans="1:6">
      <c r="A60" s="1" t="s">
        <v>36</v>
      </c>
      <c r="B60" s="1">
        <v>5</v>
      </c>
      <c r="C60" s="1">
        <v>102000</v>
      </c>
      <c r="D60" s="1">
        <v>926</v>
      </c>
      <c r="E60" s="1">
        <v>10</v>
      </c>
      <c r="F60" s="1" t="s">
        <v>33</v>
      </c>
    </row>
  </sheetData>
  <autoFilter ref="A1:F60" xr:uid="{F8450EAA-F4E0-4D59-8CD0-94E5685C985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FF42-777A-4E28-8315-7855846D41D0}">
  <dimension ref="A1:H153"/>
  <sheetViews>
    <sheetView workbookViewId="0">
      <selection activeCell="C1" sqref="C1"/>
    </sheetView>
  </sheetViews>
  <sheetFormatPr defaultColWidth="8.875" defaultRowHeight="14.1"/>
  <cols>
    <col min="1" max="1" width="13" style="1" customWidth="1"/>
    <col min="2" max="2" width="11.375" style="1" customWidth="1"/>
    <col min="3" max="3" width="12.375" style="1" customWidth="1"/>
    <col min="4" max="4" width="9.875" style="1" customWidth="1"/>
    <col min="5" max="5" width="9" style="1"/>
  </cols>
  <sheetData>
    <row r="1" spans="1:8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H1" s="1" t="s">
        <v>68</v>
      </c>
    </row>
    <row r="2" spans="1:8">
      <c r="A2" s="1">
        <v>1</v>
      </c>
      <c r="B2" s="1">
        <v>4</v>
      </c>
      <c r="C2" s="1">
        <v>5</v>
      </c>
      <c r="D2" s="1">
        <v>6</v>
      </c>
      <c r="E2" s="1">
        <v>4</v>
      </c>
      <c r="H2" t="s">
        <v>69</v>
      </c>
    </row>
    <row r="3" spans="1:8">
      <c r="A3" s="1">
        <v>2</v>
      </c>
      <c r="B3" s="1">
        <v>6</v>
      </c>
      <c r="C3" s="1">
        <v>6</v>
      </c>
      <c r="E3" s="1">
        <v>6</v>
      </c>
      <c r="H3" t="s">
        <v>70</v>
      </c>
    </row>
    <row r="4" spans="1:8">
      <c r="A4" s="1">
        <v>3</v>
      </c>
      <c r="B4" s="1">
        <v>5</v>
      </c>
      <c r="C4" s="1">
        <v>6</v>
      </c>
      <c r="D4" s="1">
        <v>6</v>
      </c>
      <c r="E4" s="1">
        <v>7</v>
      </c>
      <c r="H4" t="s">
        <v>71</v>
      </c>
    </row>
    <row r="5" spans="1:8">
      <c r="A5" s="1">
        <v>4</v>
      </c>
      <c r="B5" s="1">
        <v>4</v>
      </c>
      <c r="C5" s="1">
        <v>7</v>
      </c>
      <c r="D5" s="1">
        <v>5</v>
      </c>
      <c r="E5" s="1">
        <v>4</v>
      </c>
      <c r="H5" t="s">
        <v>72</v>
      </c>
    </row>
    <row r="6" spans="1:8">
      <c r="A6" s="1">
        <v>5</v>
      </c>
      <c r="B6" s="1">
        <v>4</v>
      </c>
      <c r="C6" s="1">
        <v>7</v>
      </c>
      <c r="D6" s="1">
        <v>7</v>
      </c>
      <c r="E6" s="1">
        <v>4</v>
      </c>
    </row>
    <row r="7" spans="1:8">
      <c r="A7" s="1">
        <v>6</v>
      </c>
      <c r="B7" s="1">
        <v>3</v>
      </c>
      <c r="C7" s="1">
        <v>5</v>
      </c>
      <c r="D7" s="1">
        <v>6</v>
      </c>
      <c r="E7" s="1">
        <v>7</v>
      </c>
    </row>
    <row r="8" spans="1:8">
      <c r="A8" s="1">
        <v>7</v>
      </c>
      <c r="B8" s="1">
        <v>3</v>
      </c>
      <c r="C8" s="1">
        <v>5</v>
      </c>
      <c r="D8" s="1">
        <v>6</v>
      </c>
      <c r="E8" s="1">
        <v>6</v>
      </c>
    </row>
    <row r="9" spans="1:8">
      <c r="A9" s="1">
        <v>8</v>
      </c>
      <c r="B9" s="1">
        <v>4</v>
      </c>
      <c r="C9" s="1">
        <v>5</v>
      </c>
      <c r="D9" s="1">
        <v>7</v>
      </c>
      <c r="E9" s="1">
        <v>7</v>
      </c>
    </row>
    <row r="10" spans="1:8">
      <c r="A10" s="1">
        <v>9</v>
      </c>
      <c r="B10" s="1">
        <v>5</v>
      </c>
      <c r="C10" s="1">
        <v>5</v>
      </c>
      <c r="D10" s="1">
        <v>6</v>
      </c>
      <c r="E10" s="1">
        <v>3</v>
      </c>
    </row>
    <row r="11" spans="1:8">
      <c r="A11" s="1">
        <v>10</v>
      </c>
      <c r="B11" s="1">
        <v>3</v>
      </c>
      <c r="C11" s="1">
        <v>7</v>
      </c>
      <c r="D11" s="1">
        <v>7</v>
      </c>
      <c r="E11" s="1">
        <v>7</v>
      </c>
    </row>
    <row r="12" spans="1:8">
      <c r="A12" s="1">
        <v>11</v>
      </c>
      <c r="B12" s="1">
        <v>4</v>
      </c>
      <c r="C12" s="1">
        <v>4</v>
      </c>
      <c r="D12" s="1">
        <v>5</v>
      </c>
      <c r="E12" s="1">
        <v>3</v>
      </c>
    </row>
    <row r="13" spans="1:8">
      <c r="A13" s="1">
        <v>12</v>
      </c>
      <c r="B13" s="1">
        <v>4</v>
      </c>
      <c r="C13" s="1">
        <v>5</v>
      </c>
      <c r="D13" s="1">
        <v>6</v>
      </c>
      <c r="E13" s="1">
        <v>7</v>
      </c>
    </row>
    <row r="14" spans="1:8">
      <c r="A14" s="1">
        <v>13</v>
      </c>
      <c r="B14" s="1">
        <v>6</v>
      </c>
      <c r="D14" s="1">
        <v>7</v>
      </c>
      <c r="E14" s="1">
        <v>5</v>
      </c>
    </row>
    <row r="15" spans="1:8">
      <c r="A15" s="1">
        <v>14</v>
      </c>
      <c r="B15" s="1">
        <v>5</v>
      </c>
      <c r="C15" s="1">
        <v>7</v>
      </c>
      <c r="D15" s="1">
        <v>7</v>
      </c>
      <c r="E15" s="1">
        <v>7</v>
      </c>
    </row>
    <row r="16" spans="1:8">
      <c r="A16" s="1">
        <v>15</v>
      </c>
      <c r="B16" s="1">
        <v>3</v>
      </c>
      <c r="C16" s="1">
        <v>5</v>
      </c>
      <c r="D16" s="1">
        <v>5</v>
      </c>
      <c r="E16" s="1">
        <v>5</v>
      </c>
    </row>
    <row r="17" spans="1:5">
      <c r="A17" s="1">
        <v>16</v>
      </c>
      <c r="B17" s="1">
        <v>6</v>
      </c>
      <c r="C17" s="1">
        <v>4</v>
      </c>
      <c r="D17" s="1">
        <v>5</v>
      </c>
      <c r="E17" s="1">
        <v>6</v>
      </c>
    </row>
    <row r="18" spans="1:5">
      <c r="A18" s="1">
        <v>17</v>
      </c>
      <c r="B18" s="1">
        <v>4</v>
      </c>
      <c r="C18" s="1">
        <v>5</v>
      </c>
      <c r="D18" s="1">
        <v>5</v>
      </c>
      <c r="E18" s="1">
        <v>5</v>
      </c>
    </row>
    <row r="19" spans="1:5">
      <c r="A19" s="1">
        <v>18</v>
      </c>
      <c r="B19" s="1">
        <v>3</v>
      </c>
      <c r="C19" s="1">
        <v>6</v>
      </c>
      <c r="D19" s="1">
        <v>7</v>
      </c>
      <c r="E19" s="1">
        <v>6</v>
      </c>
    </row>
    <row r="20" spans="1:5">
      <c r="A20" s="1">
        <v>19</v>
      </c>
      <c r="B20" s="1">
        <v>4</v>
      </c>
      <c r="C20" s="1">
        <v>7</v>
      </c>
      <c r="D20" s="1">
        <v>5</v>
      </c>
      <c r="E20" s="1">
        <v>3</v>
      </c>
    </row>
    <row r="21" spans="1:5">
      <c r="A21" s="1">
        <v>20</v>
      </c>
      <c r="B21" s="1">
        <v>5</v>
      </c>
      <c r="C21" s="1">
        <v>7</v>
      </c>
      <c r="D21" s="1">
        <v>6</v>
      </c>
      <c r="E21" s="1">
        <v>3</v>
      </c>
    </row>
    <row r="22" spans="1:5">
      <c r="A22" s="1">
        <v>21</v>
      </c>
      <c r="B22" s="1">
        <v>6</v>
      </c>
      <c r="C22" s="1">
        <v>6</v>
      </c>
      <c r="D22" s="1">
        <v>5</v>
      </c>
      <c r="E22" s="1">
        <v>4</v>
      </c>
    </row>
    <row r="23" spans="1:5">
      <c r="A23" s="1">
        <v>22</v>
      </c>
      <c r="B23" s="1">
        <v>5</v>
      </c>
      <c r="C23" s="1">
        <v>7</v>
      </c>
      <c r="D23" s="1">
        <v>6</v>
      </c>
      <c r="E23" s="1">
        <v>7</v>
      </c>
    </row>
    <row r="24" spans="1:5">
      <c r="A24" s="1">
        <v>23</v>
      </c>
      <c r="B24" s="1">
        <v>4</v>
      </c>
      <c r="C24" s="1">
        <v>5</v>
      </c>
      <c r="D24" s="1">
        <v>7</v>
      </c>
      <c r="E24" s="1">
        <v>4</v>
      </c>
    </row>
    <row r="25" spans="1:5">
      <c r="A25" s="1">
        <v>24</v>
      </c>
      <c r="B25" s="1">
        <v>6</v>
      </c>
      <c r="C25" s="1">
        <v>4</v>
      </c>
      <c r="D25" s="1">
        <v>5</v>
      </c>
      <c r="E25" s="1">
        <v>6</v>
      </c>
    </row>
    <row r="26" spans="1:5">
      <c r="A26" s="1">
        <v>25</v>
      </c>
      <c r="B26" s="1">
        <v>6</v>
      </c>
      <c r="C26" s="1">
        <v>7</v>
      </c>
      <c r="D26" s="1">
        <v>6</v>
      </c>
      <c r="E26" s="1">
        <v>7</v>
      </c>
    </row>
    <row r="27" spans="1:5">
      <c r="A27" s="1">
        <v>26</v>
      </c>
      <c r="B27" s="1">
        <v>6</v>
      </c>
      <c r="C27" s="1">
        <v>7</v>
      </c>
      <c r="D27" s="1">
        <v>5</v>
      </c>
    </row>
    <row r="28" spans="1:5">
      <c r="A28" s="1">
        <v>27</v>
      </c>
      <c r="B28" s="1">
        <v>5</v>
      </c>
      <c r="C28" s="1">
        <v>7</v>
      </c>
      <c r="D28" s="1">
        <v>5</v>
      </c>
      <c r="E28" s="1">
        <v>7</v>
      </c>
    </row>
    <row r="29" spans="1:5">
      <c r="A29" s="1">
        <v>28</v>
      </c>
      <c r="B29" s="1">
        <v>6</v>
      </c>
      <c r="C29" s="1">
        <v>5</v>
      </c>
      <c r="D29" s="1">
        <v>5</v>
      </c>
      <c r="E29" s="1">
        <v>6</v>
      </c>
    </row>
    <row r="30" spans="1:5">
      <c r="A30" s="1">
        <v>29</v>
      </c>
      <c r="B30" s="1">
        <v>3</v>
      </c>
      <c r="C30" s="1">
        <v>5</v>
      </c>
      <c r="D30" s="1">
        <v>6</v>
      </c>
      <c r="E30" s="1">
        <v>3</v>
      </c>
    </row>
    <row r="31" spans="1:5">
      <c r="A31" s="1">
        <v>30</v>
      </c>
      <c r="B31" s="1">
        <v>6</v>
      </c>
      <c r="C31" s="1">
        <v>4</v>
      </c>
      <c r="D31" s="1">
        <v>7</v>
      </c>
      <c r="E31" s="1">
        <v>3</v>
      </c>
    </row>
    <row r="32" spans="1:5">
      <c r="A32" s="1">
        <v>31</v>
      </c>
      <c r="B32" s="1">
        <v>4</v>
      </c>
      <c r="C32" s="1">
        <v>6</v>
      </c>
      <c r="D32" s="1">
        <v>6</v>
      </c>
      <c r="E32" s="1">
        <v>4</v>
      </c>
    </row>
    <row r="33" spans="1:5">
      <c r="A33" s="1">
        <v>32</v>
      </c>
      <c r="B33" s="1">
        <v>4</v>
      </c>
      <c r="C33" s="1">
        <v>5</v>
      </c>
      <c r="D33" s="1">
        <v>5</v>
      </c>
      <c r="E33" s="1">
        <v>6</v>
      </c>
    </row>
    <row r="34" spans="1:5">
      <c r="A34" s="1">
        <v>33</v>
      </c>
      <c r="B34" s="1">
        <v>3</v>
      </c>
      <c r="C34" s="1">
        <v>5</v>
      </c>
      <c r="D34" s="1">
        <v>6</v>
      </c>
      <c r="E34" s="1">
        <v>5</v>
      </c>
    </row>
    <row r="35" spans="1:5">
      <c r="A35" s="1">
        <v>34</v>
      </c>
      <c r="B35" s="1">
        <v>5</v>
      </c>
      <c r="C35" s="1">
        <v>7</v>
      </c>
      <c r="D35" s="1">
        <v>7</v>
      </c>
      <c r="E35" s="1">
        <v>6</v>
      </c>
    </row>
    <row r="36" spans="1:5">
      <c r="A36" s="1">
        <v>35</v>
      </c>
      <c r="B36" s="1">
        <v>4</v>
      </c>
      <c r="C36" s="1">
        <v>6</v>
      </c>
      <c r="D36" s="1">
        <v>6</v>
      </c>
      <c r="E36" s="1">
        <v>4</v>
      </c>
    </row>
    <row r="37" spans="1:5">
      <c r="A37" s="1">
        <v>36</v>
      </c>
      <c r="B37" s="1">
        <v>3</v>
      </c>
      <c r="C37" s="1">
        <v>5</v>
      </c>
      <c r="D37" s="1">
        <v>5</v>
      </c>
      <c r="E37" s="1">
        <v>6</v>
      </c>
    </row>
    <row r="38" spans="1:5">
      <c r="A38" s="1">
        <v>37</v>
      </c>
      <c r="B38" s="1">
        <v>3</v>
      </c>
      <c r="C38" s="1">
        <v>4</v>
      </c>
      <c r="D38" s="1">
        <v>5</v>
      </c>
      <c r="E38" s="1">
        <v>3</v>
      </c>
    </row>
    <row r="39" spans="1:5">
      <c r="A39" s="1">
        <v>38</v>
      </c>
      <c r="B39" s="1">
        <v>4</v>
      </c>
      <c r="C39" s="1">
        <v>7</v>
      </c>
      <c r="D39" s="1">
        <v>6</v>
      </c>
      <c r="E39" s="1">
        <v>7</v>
      </c>
    </row>
    <row r="40" spans="1:5">
      <c r="A40" s="1">
        <v>39</v>
      </c>
      <c r="B40" s="1">
        <v>4</v>
      </c>
      <c r="C40" s="1">
        <v>4</v>
      </c>
      <c r="D40" s="1">
        <v>7</v>
      </c>
      <c r="E40" s="1">
        <v>7</v>
      </c>
    </row>
    <row r="41" spans="1:5">
      <c r="A41" s="1">
        <v>40</v>
      </c>
      <c r="B41" s="1">
        <v>3</v>
      </c>
      <c r="C41" s="1">
        <v>5</v>
      </c>
      <c r="D41" s="1">
        <v>7</v>
      </c>
      <c r="E41" s="1">
        <v>7</v>
      </c>
    </row>
    <row r="42" spans="1:5">
      <c r="A42" s="1">
        <v>41</v>
      </c>
      <c r="B42" s="1">
        <v>6</v>
      </c>
      <c r="C42" s="1">
        <v>4</v>
      </c>
      <c r="D42" s="1">
        <v>5</v>
      </c>
      <c r="E42" s="1">
        <v>3</v>
      </c>
    </row>
    <row r="43" spans="1:5">
      <c r="A43" s="1">
        <v>42</v>
      </c>
      <c r="B43" s="1">
        <v>4</v>
      </c>
      <c r="C43" s="1">
        <v>5</v>
      </c>
      <c r="D43" s="1">
        <v>6</v>
      </c>
      <c r="E43" s="1">
        <v>5</v>
      </c>
    </row>
    <row r="44" spans="1:5">
      <c r="A44" s="1">
        <v>43</v>
      </c>
      <c r="B44" s="1">
        <v>4</v>
      </c>
      <c r="C44" s="1">
        <v>5</v>
      </c>
      <c r="D44" s="1">
        <v>7</v>
      </c>
      <c r="E44" s="1">
        <v>7</v>
      </c>
    </row>
    <row r="45" spans="1:5">
      <c r="A45" s="1">
        <v>44</v>
      </c>
      <c r="B45" s="1">
        <v>3</v>
      </c>
      <c r="C45" s="1">
        <v>6</v>
      </c>
      <c r="D45" s="1">
        <v>7</v>
      </c>
      <c r="E45" s="1">
        <v>3</v>
      </c>
    </row>
    <row r="46" spans="1:5">
      <c r="A46" s="1">
        <v>45</v>
      </c>
      <c r="B46" s="1">
        <v>5</v>
      </c>
      <c r="C46" s="1">
        <v>6</v>
      </c>
      <c r="D46" s="1">
        <v>7</v>
      </c>
      <c r="E46" s="1">
        <v>3</v>
      </c>
    </row>
    <row r="47" spans="1:5">
      <c r="A47" s="1">
        <v>46</v>
      </c>
      <c r="B47" s="1">
        <v>6</v>
      </c>
      <c r="C47" s="1">
        <v>6</v>
      </c>
      <c r="D47" s="1">
        <v>7</v>
      </c>
      <c r="E47" s="1">
        <v>5</v>
      </c>
    </row>
    <row r="48" spans="1:5">
      <c r="A48" s="1">
        <v>47</v>
      </c>
      <c r="B48" s="1">
        <v>6</v>
      </c>
      <c r="C48" s="1">
        <v>7</v>
      </c>
      <c r="D48" s="1">
        <v>7</v>
      </c>
      <c r="E48" s="1">
        <v>5</v>
      </c>
    </row>
    <row r="49" spans="1:5">
      <c r="A49" s="1">
        <v>48</v>
      </c>
      <c r="B49" s="1">
        <v>3</v>
      </c>
      <c r="C49" s="1">
        <v>6</v>
      </c>
      <c r="D49" s="1">
        <v>5</v>
      </c>
      <c r="E49" s="1">
        <v>3</v>
      </c>
    </row>
    <row r="50" spans="1:5">
      <c r="A50" s="1">
        <v>49</v>
      </c>
      <c r="B50" s="1">
        <v>5</v>
      </c>
      <c r="C50" s="1">
        <v>6</v>
      </c>
      <c r="D50" s="1">
        <v>6</v>
      </c>
      <c r="E50" s="1">
        <v>4</v>
      </c>
    </row>
    <row r="51" spans="1:5">
      <c r="A51" s="1">
        <v>50</v>
      </c>
      <c r="B51" s="1">
        <v>6</v>
      </c>
      <c r="C51" s="1">
        <v>4</v>
      </c>
      <c r="D51" s="1">
        <v>5</v>
      </c>
      <c r="E51" s="1">
        <v>3</v>
      </c>
    </row>
    <row r="52" spans="1:5">
      <c r="A52" s="1">
        <v>51</v>
      </c>
      <c r="B52" s="1">
        <v>5</v>
      </c>
      <c r="C52" s="1">
        <v>5</v>
      </c>
      <c r="D52" s="1">
        <v>7</v>
      </c>
      <c r="E52" s="1">
        <v>4</v>
      </c>
    </row>
    <row r="53" spans="1:5">
      <c r="A53" s="1">
        <v>52</v>
      </c>
      <c r="B53" s="1">
        <v>4</v>
      </c>
      <c r="C53" s="1">
        <v>6</v>
      </c>
      <c r="D53" s="1">
        <v>5</v>
      </c>
      <c r="E53" s="1">
        <v>7</v>
      </c>
    </row>
    <row r="54" spans="1:5">
      <c r="A54" s="1">
        <v>53</v>
      </c>
      <c r="B54" s="1">
        <v>4</v>
      </c>
      <c r="C54" s="1">
        <v>6</v>
      </c>
      <c r="D54" s="1">
        <v>6</v>
      </c>
      <c r="E54" s="1">
        <v>6</v>
      </c>
    </row>
    <row r="55" spans="1:5">
      <c r="A55" s="1">
        <v>54</v>
      </c>
      <c r="B55" s="1">
        <v>5</v>
      </c>
      <c r="C55" s="1">
        <v>7</v>
      </c>
      <c r="D55" s="1">
        <v>6</v>
      </c>
      <c r="E55" s="1">
        <v>4</v>
      </c>
    </row>
    <row r="56" spans="1:5">
      <c r="A56" s="1">
        <v>55</v>
      </c>
      <c r="B56" s="1">
        <v>5</v>
      </c>
      <c r="C56" s="1">
        <v>6</v>
      </c>
      <c r="D56" s="1">
        <v>5</v>
      </c>
      <c r="E56" s="1">
        <v>6</v>
      </c>
    </row>
    <row r="57" spans="1:5">
      <c r="A57" s="1">
        <v>56</v>
      </c>
      <c r="B57" s="1">
        <v>5</v>
      </c>
      <c r="C57" s="1">
        <v>6</v>
      </c>
      <c r="D57" s="1">
        <v>7</v>
      </c>
      <c r="E57" s="1">
        <v>6</v>
      </c>
    </row>
    <row r="58" spans="1:5">
      <c r="A58" s="1">
        <v>57</v>
      </c>
      <c r="B58" s="1">
        <v>6</v>
      </c>
      <c r="C58" s="1">
        <v>5</v>
      </c>
      <c r="D58" s="1">
        <v>6</v>
      </c>
      <c r="E58" s="1">
        <v>4</v>
      </c>
    </row>
    <row r="59" spans="1:5">
      <c r="A59" s="1">
        <v>58</v>
      </c>
      <c r="B59" s="1">
        <v>4</v>
      </c>
      <c r="C59" s="1">
        <v>4</v>
      </c>
      <c r="D59" s="1">
        <v>6</v>
      </c>
      <c r="E59" s="1">
        <v>4</v>
      </c>
    </row>
    <row r="60" spans="1:5">
      <c r="A60" s="1">
        <v>59</v>
      </c>
      <c r="B60" s="1">
        <v>6</v>
      </c>
      <c r="C60" s="1">
        <v>4</v>
      </c>
      <c r="D60" s="1">
        <v>6</v>
      </c>
      <c r="E60" s="1">
        <v>5</v>
      </c>
    </row>
    <row r="61" spans="1:5">
      <c r="A61" s="1">
        <v>60</v>
      </c>
      <c r="B61" s="1">
        <v>4</v>
      </c>
      <c r="C61" s="1">
        <v>7</v>
      </c>
      <c r="D61" s="1">
        <v>6</v>
      </c>
      <c r="E61" s="1">
        <v>6</v>
      </c>
    </row>
    <row r="62" spans="1:5">
      <c r="A62" s="1">
        <v>61</v>
      </c>
      <c r="B62" s="1">
        <v>5</v>
      </c>
      <c r="C62" s="1">
        <v>5</v>
      </c>
      <c r="D62" s="1">
        <v>7</v>
      </c>
      <c r="E62" s="1">
        <v>4</v>
      </c>
    </row>
    <row r="63" spans="1:5">
      <c r="A63" s="1">
        <v>62</v>
      </c>
      <c r="B63" s="1">
        <v>4</v>
      </c>
      <c r="C63" s="1">
        <v>5</v>
      </c>
      <c r="D63" s="1">
        <v>6</v>
      </c>
      <c r="E63" s="1">
        <v>7</v>
      </c>
    </row>
    <row r="64" spans="1:5">
      <c r="A64" s="1">
        <v>63</v>
      </c>
      <c r="B64" s="1">
        <v>4</v>
      </c>
      <c r="C64" s="1">
        <v>4</v>
      </c>
      <c r="D64" s="1">
        <v>7</v>
      </c>
      <c r="E64" s="1">
        <v>4</v>
      </c>
    </row>
    <row r="65" spans="1:5">
      <c r="A65" s="1">
        <v>64</v>
      </c>
      <c r="B65" s="1">
        <v>3</v>
      </c>
      <c r="C65" s="1">
        <v>5</v>
      </c>
      <c r="D65" s="1">
        <v>5</v>
      </c>
      <c r="E65" s="1">
        <v>6</v>
      </c>
    </row>
    <row r="66" spans="1:5">
      <c r="A66" s="1">
        <v>65</v>
      </c>
      <c r="B66" s="1">
        <v>5</v>
      </c>
      <c r="C66" s="1">
        <v>7</v>
      </c>
      <c r="D66" s="1">
        <v>6</v>
      </c>
      <c r="E66" s="1">
        <v>5</v>
      </c>
    </row>
    <row r="67" spans="1:5">
      <c r="A67" s="1">
        <v>66</v>
      </c>
      <c r="B67" s="1">
        <v>3</v>
      </c>
      <c r="C67" s="1">
        <v>6</v>
      </c>
      <c r="D67" s="1">
        <v>5</v>
      </c>
      <c r="E67" s="1">
        <v>3</v>
      </c>
    </row>
    <row r="68" spans="1:5">
      <c r="A68" s="1">
        <v>67</v>
      </c>
      <c r="B68" s="1">
        <v>3</v>
      </c>
      <c r="C68" s="1">
        <v>7</v>
      </c>
      <c r="D68" s="1">
        <v>5</v>
      </c>
      <c r="E68" s="1">
        <v>7</v>
      </c>
    </row>
    <row r="69" spans="1:5">
      <c r="A69" s="1">
        <v>68</v>
      </c>
      <c r="B69" s="1">
        <v>5</v>
      </c>
      <c r="C69" s="1">
        <v>4</v>
      </c>
      <c r="D69" s="1">
        <v>6</v>
      </c>
      <c r="E69" s="1">
        <v>3</v>
      </c>
    </row>
    <row r="70" spans="1:5">
      <c r="A70" s="1">
        <v>69</v>
      </c>
      <c r="B70" s="1">
        <v>3</v>
      </c>
      <c r="C70" s="1">
        <v>6</v>
      </c>
      <c r="D70" s="1">
        <v>7</v>
      </c>
      <c r="E70" s="1">
        <v>4</v>
      </c>
    </row>
    <row r="71" spans="1:5">
      <c r="A71" s="1">
        <v>70</v>
      </c>
      <c r="B71" s="1">
        <v>6</v>
      </c>
      <c r="C71" s="1">
        <v>6</v>
      </c>
      <c r="D71" s="1">
        <v>7</v>
      </c>
      <c r="E71" s="1">
        <v>6</v>
      </c>
    </row>
    <row r="72" spans="1:5">
      <c r="A72" s="1">
        <v>71</v>
      </c>
      <c r="B72" s="1">
        <v>6</v>
      </c>
      <c r="C72" s="1">
        <v>5</v>
      </c>
      <c r="D72" s="1">
        <v>6</v>
      </c>
      <c r="E72" s="1">
        <v>3</v>
      </c>
    </row>
    <row r="73" spans="1:5">
      <c r="A73" s="1">
        <v>72</v>
      </c>
      <c r="B73" s="1">
        <v>5</v>
      </c>
      <c r="C73" s="1">
        <v>4</v>
      </c>
      <c r="D73" s="1">
        <v>6</v>
      </c>
      <c r="E73" s="1">
        <v>5</v>
      </c>
    </row>
    <row r="74" spans="1:5">
      <c r="A74" s="1">
        <v>73</v>
      </c>
      <c r="B74" s="1">
        <v>4</v>
      </c>
      <c r="C74" s="1">
        <v>6</v>
      </c>
      <c r="D74" s="1">
        <v>6</v>
      </c>
      <c r="E74" s="1">
        <v>7</v>
      </c>
    </row>
    <row r="75" spans="1:5">
      <c r="A75" s="1">
        <v>74</v>
      </c>
      <c r="B75" s="1">
        <v>4</v>
      </c>
      <c r="C75" s="1">
        <v>6</v>
      </c>
      <c r="D75" s="1">
        <v>7</v>
      </c>
      <c r="E75" s="1">
        <v>3</v>
      </c>
    </row>
    <row r="76" spans="1:5">
      <c r="A76" s="1">
        <v>75</v>
      </c>
      <c r="B76" s="1">
        <v>3</v>
      </c>
      <c r="C76" s="1">
        <v>6</v>
      </c>
      <c r="D76" s="1">
        <v>7</v>
      </c>
      <c r="E76" s="1">
        <v>6</v>
      </c>
    </row>
    <row r="77" spans="1:5">
      <c r="A77" s="1">
        <v>76</v>
      </c>
      <c r="B77" s="1">
        <v>6</v>
      </c>
      <c r="C77" s="1">
        <v>6</v>
      </c>
      <c r="D77" s="1">
        <v>6</v>
      </c>
      <c r="E77" s="1">
        <v>5</v>
      </c>
    </row>
    <row r="78" spans="1:5">
      <c r="A78" s="1">
        <v>77</v>
      </c>
      <c r="B78" s="1">
        <v>6</v>
      </c>
      <c r="C78" s="1">
        <v>4</v>
      </c>
      <c r="D78" s="1">
        <v>7</v>
      </c>
      <c r="E78" s="1">
        <v>5</v>
      </c>
    </row>
    <row r="79" spans="1:5">
      <c r="A79" s="1">
        <v>78</v>
      </c>
      <c r="B79" s="1">
        <v>5</v>
      </c>
      <c r="C79" s="1">
        <v>5</v>
      </c>
      <c r="D79" s="1">
        <v>5</v>
      </c>
      <c r="E79" s="1">
        <v>7</v>
      </c>
    </row>
    <row r="80" spans="1:5">
      <c r="A80" s="1">
        <v>79</v>
      </c>
      <c r="B80" s="1">
        <v>4</v>
      </c>
      <c r="C80" s="1">
        <v>5</v>
      </c>
      <c r="D80" s="1">
        <v>7</v>
      </c>
      <c r="E80" s="1">
        <v>3</v>
      </c>
    </row>
    <row r="81" spans="1:5">
      <c r="A81" s="1">
        <v>80</v>
      </c>
      <c r="B81" s="1">
        <v>3</v>
      </c>
      <c r="C81" s="1">
        <v>7</v>
      </c>
      <c r="D81" s="1">
        <v>7</v>
      </c>
      <c r="E81" s="1">
        <v>7</v>
      </c>
    </row>
    <row r="82" spans="1:5">
      <c r="A82" s="1">
        <v>81</v>
      </c>
      <c r="B82" s="1">
        <v>6</v>
      </c>
      <c r="C82" s="1">
        <v>5</v>
      </c>
      <c r="D82" s="1">
        <v>6</v>
      </c>
      <c r="E82" s="1">
        <v>6</v>
      </c>
    </row>
    <row r="83" spans="1:5">
      <c r="A83" s="1">
        <v>82</v>
      </c>
      <c r="B83" s="1">
        <v>3</v>
      </c>
      <c r="C83" s="1">
        <v>6</v>
      </c>
      <c r="D83" s="1">
        <v>7</v>
      </c>
      <c r="E83" s="1">
        <v>5</v>
      </c>
    </row>
    <row r="84" spans="1:5">
      <c r="A84" s="1">
        <v>83</v>
      </c>
      <c r="B84" s="1">
        <v>4</v>
      </c>
      <c r="C84" s="1">
        <v>5</v>
      </c>
      <c r="D84" s="1">
        <v>6</v>
      </c>
      <c r="E84" s="1">
        <v>6</v>
      </c>
    </row>
    <row r="85" spans="1:5">
      <c r="A85" s="1">
        <v>84</v>
      </c>
      <c r="B85" s="1">
        <v>4</v>
      </c>
      <c r="C85" s="1">
        <v>4</v>
      </c>
      <c r="D85" s="1">
        <v>7</v>
      </c>
      <c r="E85" s="1">
        <v>5</v>
      </c>
    </row>
    <row r="86" spans="1:5">
      <c r="A86" s="1">
        <v>85</v>
      </c>
      <c r="B86" s="1">
        <v>3</v>
      </c>
      <c r="C86" s="1">
        <v>6</v>
      </c>
      <c r="D86" s="1">
        <v>5</v>
      </c>
      <c r="E86" s="1">
        <v>5</v>
      </c>
    </row>
    <row r="87" spans="1:5">
      <c r="A87" s="1">
        <v>86</v>
      </c>
      <c r="B87" s="1">
        <v>3</v>
      </c>
      <c r="C87" s="1">
        <v>6</v>
      </c>
      <c r="D87" s="1">
        <v>5</v>
      </c>
      <c r="E87" s="1">
        <v>5</v>
      </c>
    </row>
    <row r="88" spans="1:5">
      <c r="A88" s="1">
        <v>87</v>
      </c>
      <c r="B88" s="1">
        <v>4</v>
      </c>
      <c r="C88" s="1">
        <v>6</v>
      </c>
      <c r="D88" s="1">
        <v>7</v>
      </c>
      <c r="E88" s="1">
        <v>5</v>
      </c>
    </row>
    <row r="89" spans="1:5">
      <c r="A89" s="1">
        <v>88</v>
      </c>
      <c r="B89" s="1">
        <v>3</v>
      </c>
      <c r="C89" s="1">
        <v>5</v>
      </c>
      <c r="D89" s="1">
        <v>7</v>
      </c>
      <c r="E89" s="1">
        <v>5</v>
      </c>
    </row>
    <row r="90" spans="1:5">
      <c r="A90" s="1">
        <v>89</v>
      </c>
      <c r="B90" s="1">
        <v>4</v>
      </c>
      <c r="C90" s="1">
        <v>5</v>
      </c>
      <c r="D90" s="1">
        <v>5</v>
      </c>
      <c r="E90" s="1">
        <v>5</v>
      </c>
    </row>
    <row r="91" spans="1:5">
      <c r="A91" s="1">
        <v>90</v>
      </c>
      <c r="B91" s="1">
        <v>6</v>
      </c>
      <c r="C91" s="1">
        <v>5</v>
      </c>
      <c r="D91" s="1">
        <v>5</v>
      </c>
      <c r="E91" s="1">
        <v>7</v>
      </c>
    </row>
    <row r="92" spans="1:5">
      <c r="A92" s="1">
        <v>91</v>
      </c>
      <c r="B92" s="1">
        <v>3</v>
      </c>
      <c r="C92" s="1">
        <v>4</v>
      </c>
      <c r="D92" s="1">
        <v>5</v>
      </c>
      <c r="E92" s="1">
        <v>5</v>
      </c>
    </row>
    <row r="93" spans="1:5">
      <c r="A93" s="1">
        <v>92</v>
      </c>
      <c r="B93" s="1">
        <v>3</v>
      </c>
      <c r="C93" s="1">
        <v>4</v>
      </c>
      <c r="D93" s="1">
        <v>6</v>
      </c>
      <c r="E93" s="1">
        <v>7</v>
      </c>
    </row>
    <row r="94" spans="1:5">
      <c r="A94" s="1">
        <v>93</v>
      </c>
      <c r="B94" s="1">
        <v>6</v>
      </c>
      <c r="C94" s="1">
        <v>7</v>
      </c>
      <c r="D94" s="1">
        <v>6</v>
      </c>
      <c r="E94" s="1">
        <v>7</v>
      </c>
    </row>
    <row r="95" spans="1:5">
      <c r="A95" s="1">
        <v>94</v>
      </c>
      <c r="B95" s="1">
        <v>3</v>
      </c>
      <c r="C95" s="1">
        <v>7</v>
      </c>
      <c r="D95" s="1">
        <v>6</v>
      </c>
      <c r="E95" s="1">
        <v>7</v>
      </c>
    </row>
    <row r="96" spans="1:5">
      <c r="A96" s="1">
        <v>95</v>
      </c>
      <c r="B96" s="1">
        <v>4</v>
      </c>
      <c r="C96" s="1">
        <v>5</v>
      </c>
      <c r="D96" s="1">
        <v>5</v>
      </c>
      <c r="E96" s="1">
        <v>3</v>
      </c>
    </row>
    <row r="97" spans="1:5">
      <c r="A97" s="1">
        <v>96</v>
      </c>
      <c r="B97" s="1">
        <v>5</v>
      </c>
      <c r="C97" s="1">
        <v>4</v>
      </c>
      <c r="D97" s="1">
        <v>5</v>
      </c>
      <c r="E97" s="1">
        <v>7</v>
      </c>
    </row>
    <row r="98" spans="1:5">
      <c r="A98" s="1">
        <v>97</v>
      </c>
      <c r="B98" s="1">
        <v>5</v>
      </c>
      <c r="C98" s="1">
        <v>4</v>
      </c>
      <c r="D98" s="1">
        <v>5</v>
      </c>
      <c r="E98" s="1">
        <v>3</v>
      </c>
    </row>
    <row r="99" spans="1:5">
      <c r="A99" s="1">
        <v>98</v>
      </c>
      <c r="B99" s="1">
        <v>4</v>
      </c>
      <c r="C99" s="1">
        <v>5</v>
      </c>
      <c r="D99" s="1">
        <v>7</v>
      </c>
      <c r="E99" s="1">
        <v>7</v>
      </c>
    </row>
    <row r="100" spans="1:5">
      <c r="A100" s="1">
        <v>99</v>
      </c>
      <c r="B100" s="1">
        <v>4</v>
      </c>
      <c r="C100" s="1">
        <v>5</v>
      </c>
      <c r="D100" s="1">
        <v>5</v>
      </c>
      <c r="E100" s="1">
        <v>3</v>
      </c>
    </row>
    <row r="101" spans="1:5">
      <c r="A101" s="1">
        <v>100</v>
      </c>
      <c r="B101" s="1">
        <v>6</v>
      </c>
      <c r="C101" s="1">
        <v>6</v>
      </c>
      <c r="E101" s="1">
        <v>3</v>
      </c>
    </row>
    <row r="102" spans="1:5">
      <c r="A102" s="1">
        <v>101</v>
      </c>
      <c r="B102" s="1">
        <v>6</v>
      </c>
      <c r="C102" s="1">
        <v>7</v>
      </c>
      <c r="D102" s="1">
        <v>6</v>
      </c>
      <c r="E102" s="1">
        <v>6</v>
      </c>
    </row>
    <row r="103" spans="1:5">
      <c r="A103" s="1">
        <v>102</v>
      </c>
      <c r="B103" s="1">
        <v>4</v>
      </c>
      <c r="C103" s="1">
        <v>7</v>
      </c>
      <c r="D103" s="1">
        <v>7</v>
      </c>
      <c r="E103" s="1">
        <v>6</v>
      </c>
    </row>
    <row r="104" spans="1:5">
      <c r="A104" s="1">
        <v>103</v>
      </c>
      <c r="B104" s="1">
        <v>6</v>
      </c>
      <c r="C104" s="1">
        <v>5</v>
      </c>
      <c r="D104" s="1">
        <v>5</v>
      </c>
      <c r="E104" s="1">
        <v>3</v>
      </c>
    </row>
    <row r="105" spans="1:5">
      <c r="A105" s="1">
        <v>104</v>
      </c>
      <c r="B105" s="1">
        <v>5</v>
      </c>
      <c r="C105" s="1">
        <v>4</v>
      </c>
      <c r="D105" s="1">
        <v>6</v>
      </c>
      <c r="E105" s="1">
        <v>4</v>
      </c>
    </row>
    <row r="106" spans="1:5">
      <c r="A106" s="1">
        <v>105</v>
      </c>
      <c r="B106" s="1">
        <v>5</v>
      </c>
      <c r="C106" s="1">
        <v>7</v>
      </c>
      <c r="D106" s="1">
        <v>5</v>
      </c>
      <c r="E106" s="1">
        <v>5</v>
      </c>
    </row>
    <row r="107" spans="1:5">
      <c r="A107" s="1">
        <v>106</v>
      </c>
      <c r="B107" s="1">
        <v>3</v>
      </c>
      <c r="C107" s="1">
        <v>4</v>
      </c>
      <c r="D107" s="1">
        <v>6</v>
      </c>
      <c r="E107" s="1">
        <v>7</v>
      </c>
    </row>
    <row r="108" spans="1:5">
      <c r="A108" s="1">
        <v>107</v>
      </c>
      <c r="B108" s="1">
        <v>4</v>
      </c>
      <c r="C108" s="1">
        <v>6</v>
      </c>
      <c r="D108" s="1">
        <v>7</v>
      </c>
      <c r="E108" s="1">
        <v>3</v>
      </c>
    </row>
    <row r="109" spans="1:5">
      <c r="A109" s="1">
        <v>108</v>
      </c>
      <c r="B109" s="1">
        <v>3</v>
      </c>
      <c r="C109" s="1">
        <v>6</v>
      </c>
      <c r="D109" s="1">
        <v>6</v>
      </c>
      <c r="E109" s="1">
        <v>6</v>
      </c>
    </row>
    <row r="110" spans="1:5">
      <c r="A110" s="1">
        <v>109</v>
      </c>
      <c r="B110" s="1">
        <v>4</v>
      </c>
      <c r="C110" s="1">
        <v>5</v>
      </c>
      <c r="D110" s="1">
        <v>5</v>
      </c>
      <c r="E110" s="1">
        <v>4</v>
      </c>
    </row>
    <row r="111" spans="1:5">
      <c r="A111" s="1">
        <v>110</v>
      </c>
      <c r="B111" s="1">
        <v>6</v>
      </c>
      <c r="C111" s="1">
        <v>6</v>
      </c>
      <c r="D111" s="1">
        <v>5</v>
      </c>
      <c r="E111" s="1">
        <v>6</v>
      </c>
    </row>
    <row r="112" spans="1:5">
      <c r="A112" s="1">
        <v>111</v>
      </c>
      <c r="B112" s="1">
        <v>3</v>
      </c>
      <c r="C112" s="1">
        <v>6</v>
      </c>
      <c r="D112" s="1">
        <v>6</v>
      </c>
      <c r="E112" s="1">
        <v>4</v>
      </c>
    </row>
    <row r="113" spans="1:5">
      <c r="A113" s="1">
        <v>112</v>
      </c>
      <c r="B113" s="1">
        <v>3</v>
      </c>
      <c r="C113" s="1">
        <v>4</v>
      </c>
      <c r="D113" s="1">
        <v>5</v>
      </c>
      <c r="E113" s="1">
        <v>5</v>
      </c>
    </row>
    <row r="114" spans="1:5">
      <c r="A114" s="1">
        <v>113</v>
      </c>
      <c r="B114" s="1">
        <v>6</v>
      </c>
      <c r="C114" s="1">
        <v>5</v>
      </c>
      <c r="D114" s="1">
        <v>7</v>
      </c>
      <c r="E114" s="1">
        <v>7</v>
      </c>
    </row>
    <row r="115" spans="1:5">
      <c r="A115" s="1">
        <v>114</v>
      </c>
      <c r="B115" s="1">
        <v>6</v>
      </c>
      <c r="C115" s="1">
        <v>5</v>
      </c>
      <c r="D115" s="1">
        <v>5</v>
      </c>
      <c r="E115" s="1">
        <v>5</v>
      </c>
    </row>
    <row r="116" spans="1:5">
      <c r="A116" s="1">
        <v>115</v>
      </c>
      <c r="B116" s="1">
        <v>6</v>
      </c>
      <c r="C116" s="1">
        <v>4</v>
      </c>
      <c r="D116" s="1">
        <v>6</v>
      </c>
      <c r="E116" s="1">
        <v>5</v>
      </c>
    </row>
    <row r="117" spans="1:5">
      <c r="A117" s="1">
        <v>116</v>
      </c>
      <c r="B117" s="1">
        <v>5</v>
      </c>
      <c r="C117" s="1">
        <v>4</v>
      </c>
      <c r="D117" s="1">
        <v>7</v>
      </c>
      <c r="E117" s="1">
        <v>6</v>
      </c>
    </row>
    <row r="118" spans="1:5">
      <c r="A118" s="1">
        <v>117</v>
      </c>
      <c r="B118" s="1">
        <v>3</v>
      </c>
      <c r="C118" s="1">
        <v>5</v>
      </c>
      <c r="D118" s="1">
        <v>5</v>
      </c>
      <c r="E118" s="1">
        <v>7</v>
      </c>
    </row>
    <row r="119" spans="1:5">
      <c r="A119" s="1">
        <v>118</v>
      </c>
      <c r="B119" s="1">
        <v>5</v>
      </c>
      <c r="C119" s="1">
        <v>7</v>
      </c>
      <c r="D119" s="1">
        <v>5</v>
      </c>
      <c r="E119" s="1">
        <v>6</v>
      </c>
    </row>
    <row r="120" spans="1:5">
      <c r="A120" s="1">
        <v>119</v>
      </c>
      <c r="B120" s="1">
        <v>5</v>
      </c>
      <c r="C120" s="1">
        <v>4</v>
      </c>
      <c r="D120" s="1">
        <v>7</v>
      </c>
      <c r="E120" s="1">
        <v>3</v>
      </c>
    </row>
    <row r="121" spans="1:5">
      <c r="A121" s="1">
        <v>120</v>
      </c>
      <c r="B121" s="1">
        <v>5</v>
      </c>
      <c r="C121" s="1">
        <v>4</v>
      </c>
      <c r="D121" s="1">
        <v>7</v>
      </c>
      <c r="E121" s="1">
        <v>5</v>
      </c>
    </row>
    <row r="122" spans="1:5">
      <c r="A122" s="1">
        <v>121</v>
      </c>
      <c r="B122" s="1">
        <v>6</v>
      </c>
      <c r="C122" s="1">
        <v>5</v>
      </c>
      <c r="D122" s="1">
        <v>6</v>
      </c>
      <c r="E122" s="1">
        <v>4</v>
      </c>
    </row>
    <row r="123" spans="1:5">
      <c r="A123" s="1">
        <v>122</v>
      </c>
      <c r="B123" s="1">
        <v>3</v>
      </c>
      <c r="C123" s="1">
        <v>4</v>
      </c>
      <c r="D123" s="1">
        <v>5</v>
      </c>
      <c r="E123" s="1">
        <v>7</v>
      </c>
    </row>
    <row r="124" spans="1:5">
      <c r="A124" s="1">
        <v>123</v>
      </c>
      <c r="B124" s="1">
        <v>5</v>
      </c>
      <c r="C124" s="1">
        <v>7</v>
      </c>
      <c r="D124" s="1">
        <v>6</v>
      </c>
      <c r="E124" s="1">
        <v>6</v>
      </c>
    </row>
    <row r="125" spans="1:5">
      <c r="A125" s="1">
        <v>124</v>
      </c>
      <c r="B125" s="1">
        <v>6</v>
      </c>
      <c r="C125" s="1">
        <v>4</v>
      </c>
      <c r="D125" s="1">
        <v>5</v>
      </c>
      <c r="E125" s="1">
        <v>5</v>
      </c>
    </row>
    <row r="126" spans="1:5">
      <c r="A126" s="1">
        <v>125</v>
      </c>
      <c r="B126" s="1">
        <v>4</v>
      </c>
      <c r="C126" s="1">
        <v>5</v>
      </c>
      <c r="D126" s="1">
        <v>5</v>
      </c>
      <c r="E126" s="1">
        <v>3</v>
      </c>
    </row>
    <row r="127" spans="1:5">
      <c r="A127" s="1">
        <v>126</v>
      </c>
      <c r="B127" s="1">
        <v>3</v>
      </c>
      <c r="C127" s="1">
        <v>6</v>
      </c>
      <c r="D127" s="1">
        <v>7</v>
      </c>
      <c r="E127" s="1">
        <v>5</v>
      </c>
    </row>
    <row r="128" spans="1:5">
      <c r="A128" s="1">
        <v>127</v>
      </c>
      <c r="B128" s="1">
        <v>3</v>
      </c>
      <c r="C128" s="1">
        <v>4</v>
      </c>
      <c r="D128" s="1">
        <v>7</v>
      </c>
      <c r="E128" s="1">
        <v>5</v>
      </c>
    </row>
    <row r="129" spans="1:5">
      <c r="A129" s="1">
        <v>128</v>
      </c>
      <c r="B129" s="1">
        <v>4</v>
      </c>
      <c r="C129" s="1">
        <v>5</v>
      </c>
      <c r="D129" s="1">
        <v>5</v>
      </c>
      <c r="E129" s="1">
        <v>4</v>
      </c>
    </row>
    <row r="130" spans="1:5">
      <c r="A130" s="1">
        <v>129</v>
      </c>
      <c r="B130" s="1">
        <v>3</v>
      </c>
      <c r="C130" s="1">
        <v>4</v>
      </c>
      <c r="D130" s="1">
        <v>7</v>
      </c>
      <c r="E130" s="1">
        <v>3</v>
      </c>
    </row>
    <row r="131" spans="1:5">
      <c r="A131" s="1">
        <v>130</v>
      </c>
      <c r="B131" s="1">
        <v>4</v>
      </c>
      <c r="C131" s="1">
        <v>7</v>
      </c>
      <c r="D131" s="1">
        <v>5</v>
      </c>
      <c r="E131" s="1">
        <v>3</v>
      </c>
    </row>
    <row r="132" spans="1:5">
      <c r="A132" s="1">
        <v>131</v>
      </c>
      <c r="B132" s="1">
        <v>4</v>
      </c>
      <c r="C132" s="1">
        <v>7</v>
      </c>
      <c r="D132" s="1">
        <v>6</v>
      </c>
      <c r="E132" s="1">
        <v>5</v>
      </c>
    </row>
    <row r="133" spans="1:5">
      <c r="A133" s="1">
        <v>132</v>
      </c>
      <c r="B133" s="1">
        <v>3</v>
      </c>
      <c r="C133" s="1">
        <v>5</v>
      </c>
      <c r="D133" s="1">
        <v>6</v>
      </c>
      <c r="E133" s="1">
        <v>3</v>
      </c>
    </row>
    <row r="134" spans="1:5">
      <c r="A134" s="1">
        <v>133</v>
      </c>
      <c r="B134" s="1">
        <v>5</v>
      </c>
      <c r="C134" s="1">
        <v>7</v>
      </c>
      <c r="D134" s="1">
        <v>5</v>
      </c>
      <c r="E134" s="1">
        <v>7</v>
      </c>
    </row>
    <row r="135" spans="1:5">
      <c r="A135" s="1">
        <v>134</v>
      </c>
      <c r="B135" s="1">
        <v>4.4000000000000004</v>
      </c>
      <c r="C135" s="1">
        <v>5</v>
      </c>
      <c r="E135" s="1">
        <v>6</v>
      </c>
    </row>
    <row r="136" spans="1:5">
      <c r="A136" s="1">
        <v>135</v>
      </c>
      <c r="B136" s="1">
        <v>6</v>
      </c>
      <c r="C136" s="1">
        <v>6</v>
      </c>
      <c r="D136" s="1">
        <v>5</v>
      </c>
      <c r="E136" s="1">
        <v>7</v>
      </c>
    </row>
    <row r="137" spans="1:5">
      <c r="A137" s="1">
        <v>136</v>
      </c>
      <c r="B137" s="1">
        <v>6</v>
      </c>
      <c r="C137" s="1">
        <v>7</v>
      </c>
      <c r="D137" s="1">
        <v>7</v>
      </c>
      <c r="E137" s="1">
        <v>4</v>
      </c>
    </row>
    <row r="138" spans="1:5">
      <c r="A138" s="1">
        <v>137</v>
      </c>
      <c r="B138" s="1">
        <v>3</v>
      </c>
      <c r="C138" s="1">
        <v>4</v>
      </c>
      <c r="D138" s="1">
        <v>7</v>
      </c>
      <c r="E138" s="1">
        <v>6</v>
      </c>
    </row>
    <row r="139" spans="1:5">
      <c r="A139" s="1">
        <v>138</v>
      </c>
      <c r="B139" s="1">
        <v>5</v>
      </c>
      <c r="C139" s="1">
        <v>7</v>
      </c>
      <c r="D139" s="1">
        <v>5</v>
      </c>
      <c r="E139" s="1">
        <v>6</v>
      </c>
    </row>
    <row r="140" spans="1:5">
      <c r="A140" s="1">
        <v>139</v>
      </c>
      <c r="B140" s="1">
        <v>3</v>
      </c>
      <c r="C140" s="1">
        <v>7</v>
      </c>
      <c r="D140" s="1">
        <v>7</v>
      </c>
      <c r="E140" s="1">
        <v>4</v>
      </c>
    </row>
    <row r="141" spans="1:5">
      <c r="A141" s="1">
        <v>140</v>
      </c>
      <c r="B141" s="1">
        <v>3</v>
      </c>
      <c r="C141" s="1">
        <v>4</v>
      </c>
      <c r="D141" s="1">
        <v>7</v>
      </c>
      <c r="E141" s="1">
        <v>5</v>
      </c>
    </row>
    <row r="142" spans="1:5">
      <c r="A142" s="1">
        <v>141</v>
      </c>
      <c r="B142" s="1">
        <v>4</v>
      </c>
      <c r="C142" s="1">
        <v>6</v>
      </c>
      <c r="D142" s="1">
        <v>5</v>
      </c>
      <c r="E142" s="1">
        <v>6</v>
      </c>
    </row>
    <row r="143" spans="1:5">
      <c r="A143" s="1">
        <v>142</v>
      </c>
      <c r="B143" s="1">
        <v>6</v>
      </c>
      <c r="C143" s="1">
        <v>6</v>
      </c>
      <c r="D143" s="1">
        <v>6</v>
      </c>
      <c r="E143" s="1">
        <v>5</v>
      </c>
    </row>
    <row r="144" spans="1:5">
      <c r="A144" s="1">
        <v>143</v>
      </c>
      <c r="B144" s="1">
        <v>5</v>
      </c>
      <c r="C144" s="1">
        <v>6</v>
      </c>
      <c r="D144" s="1">
        <v>5</v>
      </c>
      <c r="E144" s="1">
        <v>4</v>
      </c>
    </row>
    <row r="145" spans="1:5">
      <c r="A145" s="1">
        <v>144</v>
      </c>
      <c r="B145" s="1">
        <v>5</v>
      </c>
      <c r="C145" s="1">
        <v>6</v>
      </c>
      <c r="D145" s="1">
        <v>6</v>
      </c>
      <c r="E145" s="1">
        <v>6</v>
      </c>
    </row>
    <row r="146" spans="1:5">
      <c r="A146" s="1">
        <v>145</v>
      </c>
      <c r="B146" s="1">
        <v>5</v>
      </c>
      <c r="C146" s="1">
        <v>4</v>
      </c>
      <c r="D146" s="1">
        <v>7</v>
      </c>
      <c r="E146" s="1">
        <v>4</v>
      </c>
    </row>
    <row r="147" spans="1:5">
      <c r="A147" s="1">
        <v>146</v>
      </c>
      <c r="B147" s="1">
        <v>5</v>
      </c>
      <c r="C147" s="1">
        <v>6</v>
      </c>
      <c r="D147" s="1">
        <v>6</v>
      </c>
      <c r="E147" s="1">
        <v>3</v>
      </c>
    </row>
    <row r="148" spans="1:5">
      <c r="A148" s="1">
        <v>147</v>
      </c>
      <c r="B148" s="1">
        <v>4</v>
      </c>
      <c r="C148" s="1">
        <v>6</v>
      </c>
      <c r="D148" s="1">
        <v>5</v>
      </c>
      <c r="E148" s="1">
        <v>6</v>
      </c>
    </row>
    <row r="149" spans="1:5">
      <c r="A149" s="1">
        <v>148</v>
      </c>
      <c r="B149" s="1">
        <v>5</v>
      </c>
      <c r="C149" s="1">
        <v>6</v>
      </c>
      <c r="D149" s="1">
        <v>7</v>
      </c>
      <c r="E149" s="1">
        <v>5</v>
      </c>
    </row>
    <row r="150" spans="1:5">
      <c r="A150" s="1">
        <v>149</v>
      </c>
      <c r="B150" s="1">
        <v>5</v>
      </c>
      <c r="C150" s="1">
        <v>5</v>
      </c>
      <c r="D150" s="1">
        <v>5</v>
      </c>
      <c r="E150" s="1">
        <v>4</v>
      </c>
    </row>
    <row r="151" spans="1:5">
      <c r="A151" s="1">
        <v>150</v>
      </c>
      <c r="B151" s="1">
        <v>3</v>
      </c>
      <c r="C151" s="1">
        <v>5</v>
      </c>
      <c r="D151" s="1">
        <v>6</v>
      </c>
      <c r="E151" s="1">
        <v>7</v>
      </c>
    </row>
    <row r="152" spans="1:5">
      <c r="B152" s="13">
        <f>COUNT(B2:B151)</f>
        <v>150</v>
      </c>
      <c r="C152" s="13">
        <f t="shared" ref="C152:E152" si="0">COUNT(C2:C151)</f>
        <v>149</v>
      </c>
      <c r="D152" s="13">
        <f t="shared" si="0"/>
        <v>147</v>
      </c>
      <c r="E152" s="13">
        <f t="shared" si="0"/>
        <v>149</v>
      </c>
    </row>
    <row r="153" spans="1:5">
      <c r="B153" s="14">
        <f>AVERAGE(B2:B151)</f>
        <v>4.4293333333333331</v>
      </c>
      <c r="C153" s="14">
        <f t="shared" ref="C153:E153" si="1">AVERAGE(C2:C151)</f>
        <v>5.4630872483221475</v>
      </c>
      <c r="D153" s="14">
        <f t="shared" si="1"/>
        <v>5.9659863945578229</v>
      </c>
      <c r="E153" s="14">
        <f t="shared" si="1"/>
        <v>5.0805369127516782</v>
      </c>
    </row>
  </sheetData>
  <conditionalFormatting sqref="A1:E152">
    <cfRule type="containsBlanks" dxfId="1" priority="1">
      <formula>LEN(TRIM(A1))=0</formula>
    </cfRule>
  </conditionalFormatting>
  <conditionalFormatting sqref="H1">
    <cfRule type="containsBlanks" dxfId="0" priority="2">
      <formula>LEN(TRIM(H1))=0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83E72-508B-4202-9C90-245F73E49C82}">
  <dimension ref="A1:I605"/>
  <sheetViews>
    <sheetView workbookViewId="0">
      <selection activeCell="D8" sqref="D8"/>
    </sheetView>
  </sheetViews>
  <sheetFormatPr defaultColWidth="8.875" defaultRowHeight="14.1"/>
  <cols>
    <col min="1" max="1" width="13.375" customWidth="1"/>
    <col min="2" max="2" width="13" customWidth="1"/>
    <col min="3" max="3" width="14.375" customWidth="1"/>
    <col min="4" max="4" width="14.5" customWidth="1"/>
    <col min="5" max="5" width="34.125" customWidth="1"/>
    <col min="8" max="8" width="19.375" customWidth="1"/>
  </cols>
  <sheetData>
    <row r="1" spans="1:8">
      <c r="A1" s="3" t="s">
        <v>73</v>
      </c>
      <c r="B1" s="3" t="s">
        <v>74</v>
      </c>
      <c r="C1" s="3" t="s">
        <v>75</v>
      </c>
      <c r="D1" s="3" t="s">
        <v>76</v>
      </c>
      <c r="F1" s="4" t="s">
        <v>77</v>
      </c>
      <c r="G1" s="5">
        <v>604</v>
      </c>
      <c r="H1" t="s">
        <v>78</v>
      </c>
    </row>
    <row r="2" spans="1:8">
      <c r="A2" s="3">
        <v>110</v>
      </c>
      <c r="B2" s="3">
        <v>51</v>
      </c>
      <c r="C2" s="3" t="s">
        <v>79</v>
      </c>
      <c r="D2" s="3" t="s">
        <v>80</v>
      </c>
      <c r="E2" t="s">
        <v>81</v>
      </c>
      <c r="F2" s="10" t="s">
        <v>82</v>
      </c>
      <c r="G2" s="11" t="s">
        <v>83</v>
      </c>
      <c r="H2" t="s">
        <v>84</v>
      </c>
    </row>
    <row r="3" spans="1:8">
      <c r="A3" s="3">
        <v>79</v>
      </c>
      <c r="B3" s="3">
        <v>50</v>
      </c>
      <c r="C3" s="3" t="s">
        <v>85</v>
      </c>
      <c r="D3" s="3" t="s">
        <v>86</v>
      </c>
      <c r="E3" t="s">
        <v>74</v>
      </c>
      <c r="F3" s="6">
        <f>COUNTA(B2:B605)</f>
        <v>604</v>
      </c>
      <c r="G3" s="7">
        <f>G1-F3</f>
        <v>0</v>
      </c>
      <c r="H3" t="s">
        <v>87</v>
      </c>
    </row>
    <row r="4" spans="1:8">
      <c r="A4" s="3">
        <v>348</v>
      </c>
      <c r="B4" s="3">
        <v>49.91</v>
      </c>
      <c r="C4" s="3" t="s">
        <v>79</v>
      </c>
      <c r="D4" s="3" t="s">
        <v>88</v>
      </c>
      <c r="E4" t="s">
        <v>75</v>
      </c>
      <c r="F4" s="6">
        <f>COUNTA(C2:C605)</f>
        <v>594</v>
      </c>
      <c r="G4" s="7">
        <f>G1-F4</f>
        <v>10</v>
      </c>
      <c r="H4" t="s">
        <v>89</v>
      </c>
    </row>
    <row r="5" spans="1:8">
      <c r="A5" s="3">
        <v>373</v>
      </c>
      <c r="B5" s="3">
        <v>49.91</v>
      </c>
      <c r="C5" s="3" t="s">
        <v>79</v>
      </c>
      <c r="D5" s="3" t="s">
        <v>88</v>
      </c>
      <c r="E5" t="s">
        <v>76</v>
      </c>
      <c r="F5" s="6">
        <f>COUNTA(D2:D605)</f>
        <v>588</v>
      </c>
      <c r="G5" s="7">
        <f>G1-F5</f>
        <v>16</v>
      </c>
      <c r="H5" t="s">
        <v>89</v>
      </c>
    </row>
    <row r="6" spans="1:8">
      <c r="A6" s="3">
        <v>599</v>
      </c>
      <c r="B6" s="3">
        <v>49.84</v>
      </c>
      <c r="C6" s="3" t="s">
        <v>85</v>
      </c>
      <c r="D6" s="3" t="s">
        <v>86</v>
      </c>
      <c r="F6" s="6"/>
      <c r="G6" s="7"/>
    </row>
    <row r="7" spans="1:8">
      <c r="A7" s="3">
        <v>70</v>
      </c>
      <c r="B7" s="3">
        <v>49.77</v>
      </c>
      <c r="C7" s="3" t="s">
        <v>79</v>
      </c>
      <c r="D7" s="3" t="s">
        <v>88</v>
      </c>
      <c r="E7" t="s">
        <v>90</v>
      </c>
      <c r="F7" s="6"/>
      <c r="G7" s="7">
        <f>COUNTIF(C2:C605,"Automotive")</f>
        <v>190</v>
      </c>
      <c r="H7" t="s">
        <v>91</v>
      </c>
    </row>
    <row r="8" spans="1:8">
      <c r="A8" s="3">
        <v>92</v>
      </c>
      <c r="B8" s="3">
        <v>49.77</v>
      </c>
      <c r="C8" s="3" t="s">
        <v>79</v>
      </c>
      <c r="D8" s="3" t="s">
        <v>88</v>
      </c>
      <c r="E8" t="s">
        <v>92</v>
      </c>
      <c r="F8" s="6"/>
      <c r="G8" s="7">
        <f>COUNTIF(B2:B605,"&gt;30")</f>
        <v>536</v>
      </c>
      <c r="H8" t="s">
        <v>91</v>
      </c>
    </row>
    <row r="9" spans="1:8">
      <c r="A9" s="3">
        <v>25</v>
      </c>
      <c r="B9" s="3">
        <v>49.7</v>
      </c>
      <c r="C9" s="3" t="s">
        <v>85</v>
      </c>
      <c r="D9" s="3" t="s">
        <v>86</v>
      </c>
      <c r="E9" t="s">
        <v>93</v>
      </c>
      <c r="F9" s="6"/>
      <c r="G9" s="7">
        <f>COUNTIFS(C2:C605,"Automotive",B2:B605,"&gt;30")</f>
        <v>181</v>
      </c>
      <c r="H9" t="s">
        <v>94</v>
      </c>
    </row>
    <row r="10" spans="1:8">
      <c r="A10" s="3">
        <v>331</v>
      </c>
      <c r="B10" s="3">
        <v>49.7</v>
      </c>
      <c r="C10" s="3" t="s">
        <v>79</v>
      </c>
      <c r="D10" s="3" t="s">
        <v>86</v>
      </c>
      <c r="F10" s="10" t="s">
        <v>95</v>
      </c>
      <c r="G10" s="12" t="s">
        <v>96</v>
      </c>
    </row>
    <row r="11" spans="1:8">
      <c r="A11" s="3">
        <v>544</v>
      </c>
      <c r="B11" s="3">
        <v>49.7</v>
      </c>
      <c r="C11" s="3" t="s">
        <v>85</v>
      </c>
      <c r="D11" s="3" t="s">
        <v>86</v>
      </c>
      <c r="E11" t="s">
        <v>97</v>
      </c>
      <c r="F11" s="6" t="s">
        <v>78</v>
      </c>
      <c r="G11" s="7" t="s">
        <v>78</v>
      </c>
    </row>
    <row r="12" spans="1:8">
      <c r="A12" s="3">
        <v>227</v>
      </c>
      <c r="B12" s="3">
        <v>49.69</v>
      </c>
      <c r="C12" s="3" t="s">
        <v>85</v>
      </c>
      <c r="D12" s="3" t="s">
        <v>86</v>
      </c>
      <c r="E12" t="s">
        <v>98</v>
      </c>
      <c r="F12" s="6">
        <v>24.28</v>
      </c>
      <c r="G12" s="7">
        <v>51</v>
      </c>
      <c r="H12" t="s">
        <v>99</v>
      </c>
    </row>
    <row r="13" spans="1:8">
      <c r="A13" s="3">
        <v>418</v>
      </c>
      <c r="B13" s="3">
        <v>49.66</v>
      </c>
      <c r="C13" s="3" t="s">
        <v>79</v>
      </c>
      <c r="D13" s="3" t="s">
        <v>100</v>
      </c>
      <c r="E13" t="s">
        <v>101</v>
      </c>
      <c r="F13" s="6">
        <v>28.74</v>
      </c>
      <c r="G13" s="7">
        <v>49.32</v>
      </c>
      <c r="H13">
        <f>_xlfn.MINIFS(B2:B605,D2:D605,"Accountant",C2:C605,"Automotive")</f>
        <v>28.74</v>
      </c>
    </row>
    <row r="14" spans="1:8" ht="15" thickBot="1">
      <c r="A14" s="3">
        <v>307</v>
      </c>
      <c r="B14" s="3">
        <v>49.6</v>
      </c>
      <c r="C14" s="3" t="s">
        <v>79</v>
      </c>
      <c r="D14" s="3" t="s">
        <v>80</v>
      </c>
      <c r="E14" t="s">
        <v>102</v>
      </c>
      <c r="F14" s="8">
        <v>36.130000000000003</v>
      </c>
      <c r="G14" s="9">
        <v>49.49</v>
      </c>
    </row>
    <row r="15" spans="1:8">
      <c r="A15" s="3">
        <v>21</v>
      </c>
      <c r="B15" s="3">
        <v>49.59</v>
      </c>
      <c r="C15" s="3" t="s">
        <v>79</v>
      </c>
      <c r="D15" s="3"/>
    </row>
    <row r="16" spans="1:8">
      <c r="A16" s="3">
        <v>453</v>
      </c>
      <c r="B16" s="3">
        <v>49.59</v>
      </c>
      <c r="C16" s="3" t="s">
        <v>79</v>
      </c>
      <c r="D16" s="3" t="s">
        <v>103</v>
      </c>
    </row>
    <row r="17" spans="1:9">
      <c r="A17" s="3">
        <v>217</v>
      </c>
      <c r="B17" s="3">
        <v>49.55</v>
      </c>
      <c r="C17" s="3" t="s">
        <v>104</v>
      </c>
      <c r="D17" s="3" t="s">
        <v>86</v>
      </c>
      <c r="F17" t="s">
        <v>78</v>
      </c>
    </row>
    <row r="18" spans="1:9">
      <c r="A18" s="3">
        <v>141</v>
      </c>
      <c r="B18" s="3">
        <v>49.49</v>
      </c>
      <c r="C18" s="3" t="s">
        <v>104</v>
      </c>
      <c r="D18" s="3" t="s">
        <v>88</v>
      </c>
      <c r="F18" t="s">
        <v>78</v>
      </c>
    </row>
    <row r="19" spans="1:9">
      <c r="A19" s="3">
        <v>332</v>
      </c>
      <c r="B19" s="3">
        <v>49.47</v>
      </c>
      <c r="C19" s="3" t="s">
        <v>104</v>
      </c>
      <c r="D19" s="3" t="s">
        <v>105</v>
      </c>
      <c r="F19" t="s">
        <v>78</v>
      </c>
    </row>
    <row r="20" spans="1:9">
      <c r="A20" s="3">
        <v>471</v>
      </c>
      <c r="B20" s="3">
        <v>49.32</v>
      </c>
      <c r="C20" s="3" t="s">
        <v>85</v>
      </c>
      <c r="D20" s="3" t="s">
        <v>103</v>
      </c>
    </row>
    <row r="21" spans="1:9">
      <c r="A21" s="3">
        <v>567</v>
      </c>
      <c r="B21" s="3">
        <v>28.74</v>
      </c>
      <c r="C21" s="3" t="s">
        <v>85</v>
      </c>
      <c r="D21" s="3" t="s">
        <v>88</v>
      </c>
      <c r="I21" t="s">
        <v>78</v>
      </c>
    </row>
    <row r="22" spans="1:9">
      <c r="A22" s="3">
        <v>521</v>
      </c>
      <c r="B22" s="3">
        <v>49.09</v>
      </c>
      <c r="C22" s="3" t="s">
        <v>85</v>
      </c>
      <c r="D22" s="3" t="s">
        <v>86</v>
      </c>
    </row>
    <row r="23" spans="1:9">
      <c r="A23" s="3">
        <v>190</v>
      </c>
      <c r="B23" s="3">
        <v>49.01</v>
      </c>
      <c r="C23" s="3" t="s">
        <v>85</v>
      </c>
      <c r="D23" s="3" t="s">
        <v>86</v>
      </c>
    </row>
    <row r="24" spans="1:9">
      <c r="A24" s="3">
        <v>188</v>
      </c>
      <c r="B24" s="3">
        <v>49</v>
      </c>
      <c r="C24" s="3" t="s">
        <v>85</v>
      </c>
      <c r="D24" s="3" t="s">
        <v>105</v>
      </c>
    </row>
    <row r="25" spans="1:9">
      <c r="A25" s="3">
        <v>282</v>
      </c>
      <c r="B25" s="3">
        <v>49</v>
      </c>
      <c r="C25" s="3" t="s">
        <v>85</v>
      </c>
      <c r="D25" s="3" t="s">
        <v>86</v>
      </c>
    </row>
    <row r="26" spans="1:9">
      <c r="A26" s="3">
        <v>558</v>
      </c>
      <c r="B26" s="3">
        <v>49</v>
      </c>
      <c r="C26" s="3" t="s">
        <v>85</v>
      </c>
      <c r="D26" s="3" t="s">
        <v>86</v>
      </c>
    </row>
    <row r="27" spans="1:9">
      <c r="A27" s="3">
        <v>130</v>
      </c>
      <c r="B27" s="3">
        <v>48.98</v>
      </c>
      <c r="C27" s="3" t="s">
        <v>85</v>
      </c>
      <c r="D27" s="3" t="s">
        <v>100</v>
      </c>
    </row>
    <row r="28" spans="1:9">
      <c r="A28" s="3">
        <v>593</v>
      </c>
      <c r="B28" s="3">
        <v>48.98</v>
      </c>
      <c r="C28" s="3" t="s">
        <v>85</v>
      </c>
      <c r="D28" s="3"/>
    </row>
    <row r="29" spans="1:9">
      <c r="A29" s="3">
        <v>77</v>
      </c>
      <c r="B29" s="3">
        <v>29</v>
      </c>
      <c r="C29" s="3" t="s">
        <v>85</v>
      </c>
      <c r="D29" s="3" t="s">
        <v>88</v>
      </c>
    </row>
    <row r="30" spans="1:9">
      <c r="A30" s="3">
        <v>352</v>
      </c>
      <c r="B30" s="3">
        <v>48.97</v>
      </c>
      <c r="C30" s="3" t="s">
        <v>85</v>
      </c>
      <c r="D30" s="3" t="s">
        <v>105</v>
      </c>
    </row>
    <row r="31" spans="1:9">
      <c r="A31" s="3">
        <v>54</v>
      </c>
      <c r="B31" s="3">
        <v>48.95</v>
      </c>
      <c r="C31" s="3" t="s">
        <v>85</v>
      </c>
      <c r="D31" s="3" t="s">
        <v>86</v>
      </c>
    </row>
    <row r="32" spans="1:9">
      <c r="A32" s="3">
        <v>119</v>
      </c>
      <c r="B32" s="3">
        <v>48.93</v>
      </c>
      <c r="C32" s="3" t="s">
        <v>79</v>
      </c>
      <c r="D32" s="3" t="s">
        <v>80</v>
      </c>
    </row>
    <row r="33" spans="1:4">
      <c r="A33" s="3">
        <v>419</v>
      </c>
      <c r="B33" s="3">
        <v>48.93</v>
      </c>
      <c r="C33" s="3" t="s">
        <v>79</v>
      </c>
      <c r="D33" s="3" t="s">
        <v>86</v>
      </c>
    </row>
    <row r="34" spans="1:4">
      <c r="A34" s="3">
        <v>534</v>
      </c>
      <c r="B34" s="3">
        <v>48.89</v>
      </c>
      <c r="C34" s="3" t="s">
        <v>85</v>
      </c>
      <c r="D34" s="3" t="s">
        <v>86</v>
      </c>
    </row>
    <row r="35" spans="1:4">
      <c r="A35" s="3">
        <v>29</v>
      </c>
      <c r="B35" s="3">
        <v>48.87</v>
      </c>
      <c r="C35" s="3" t="s">
        <v>104</v>
      </c>
      <c r="D35" s="3" t="s">
        <v>103</v>
      </c>
    </row>
    <row r="36" spans="1:4">
      <c r="A36" s="3">
        <v>137</v>
      </c>
      <c r="B36" s="3">
        <v>48.87</v>
      </c>
      <c r="C36" s="3" t="s">
        <v>104</v>
      </c>
      <c r="D36" s="3" t="s">
        <v>103</v>
      </c>
    </row>
    <row r="37" spans="1:4">
      <c r="A37" s="3">
        <v>197</v>
      </c>
      <c r="B37" s="3">
        <v>48.87</v>
      </c>
      <c r="C37" s="3" t="s">
        <v>104</v>
      </c>
      <c r="D37" s="3" t="s">
        <v>103</v>
      </c>
    </row>
    <row r="38" spans="1:4">
      <c r="A38" s="3">
        <v>292</v>
      </c>
      <c r="B38" s="3">
        <v>48.87</v>
      </c>
      <c r="C38" s="3" t="s">
        <v>104</v>
      </c>
      <c r="D38" s="3" t="s">
        <v>88</v>
      </c>
    </row>
    <row r="39" spans="1:4">
      <c r="A39" s="3">
        <v>175</v>
      </c>
      <c r="B39" s="3">
        <v>48.8</v>
      </c>
      <c r="C39" s="3" t="s">
        <v>85</v>
      </c>
      <c r="D39" s="3"/>
    </row>
    <row r="40" spans="1:4">
      <c r="A40" s="3">
        <v>23</v>
      </c>
      <c r="B40" s="3">
        <v>48.77</v>
      </c>
      <c r="C40" s="3" t="s">
        <v>79</v>
      </c>
      <c r="D40" s="3" t="s">
        <v>86</v>
      </c>
    </row>
    <row r="41" spans="1:4">
      <c r="A41" s="3">
        <v>305</v>
      </c>
      <c r="B41" s="3">
        <v>48.76</v>
      </c>
      <c r="C41" s="3" t="s">
        <v>85</v>
      </c>
      <c r="D41" s="3" t="s">
        <v>86</v>
      </c>
    </row>
    <row r="42" spans="1:4">
      <c r="A42" s="3">
        <v>186</v>
      </c>
      <c r="B42" s="3">
        <v>48.75</v>
      </c>
      <c r="C42" s="3" t="s">
        <v>79</v>
      </c>
      <c r="D42" s="3" t="s">
        <v>80</v>
      </c>
    </row>
    <row r="43" spans="1:4">
      <c r="A43" s="3">
        <v>105</v>
      </c>
      <c r="B43" s="3">
        <v>48.71</v>
      </c>
      <c r="C43" s="3" t="s">
        <v>85</v>
      </c>
      <c r="D43" s="3" t="s">
        <v>86</v>
      </c>
    </row>
    <row r="44" spans="1:4">
      <c r="A44" s="3">
        <v>121</v>
      </c>
      <c r="B44" s="3">
        <v>48.71</v>
      </c>
      <c r="C44" s="3" t="s">
        <v>79</v>
      </c>
      <c r="D44" s="3" t="s">
        <v>80</v>
      </c>
    </row>
    <row r="45" spans="1:4">
      <c r="A45" s="3">
        <v>259</v>
      </c>
      <c r="B45" s="3">
        <v>48.71</v>
      </c>
      <c r="C45" s="3" t="s">
        <v>85</v>
      </c>
      <c r="D45" s="3" t="s">
        <v>86</v>
      </c>
    </row>
    <row r="46" spans="1:4">
      <c r="A46" s="3">
        <v>44</v>
      </c>
      <c r="B46" s="3">
        <v>48.66</v>
      </c>
      <c r="C46" s="3" t="s">
        <v>85</v>
      </c>
      <c r="D46" s="3" t="s">
        <v>86</v>
      </c>
    </row>
    <row r="47" spans="1:4">
      <c r="A47" s="3">
        <v>469</v>
      </c>
      <c r="B47" s="3">
        <v>48.65</v>
      </c>
      <c r="C47" s="3" t="s">
        <v>85</v>
      </c>
      <c r="D47" s="3" t="s">
        <v>86</v>
      </c>
    </row>
    <row r="48" spans="1:4">
      <c r="A48" s="3">
        <v>574</v>
      </c>
      <c r="B48" s="3">
        <v>32.1</v>
      </c>
      <c r="C48" s="3" t="s">
        <v>85</v>
      </c>
      <c r="D48" s="3" t="s">
        <v>88</v>
      </c>
    </row>
    <row r="49" spans="1:4">
      <c r="A49" s="3">
        <v>374</v>
      </c>
      <c r="B49" s="3">
        <v>48.56</v>
      </c>
      <c r="C49" s="3" t="s">
        <v>85</v>
      </c>
      <c r="D49" s="3" t="s">
        <v>86</v>
      </c>
    </row>
    <row r="50" spans="1:4">
      <c r="A50" s="3">
        <v>37</v>
      </c>
      <c r="B50" s="3">
        <v>48.53</v>
      </c>
      <c r="C50" s="3" t="s">
        <v>79</v>
      </c>
      <c r="D50" s="3" t="s">
        <v>86</v>
      </c>
    </row>
    <row r="51" spans="1:4">
      <c r="A51" s="3">
        <v>42</v>
      </c>
      <c r="B51" s="3">
        <v>48.53</v>
      </c>
      <c r="C51" s="3" t="s">
        <v>79</v>
      </c>
      <c r="D51" s="3" t="s">
        <v>86</v>
      </c>
    </row>
    <row r="52" spans="1:4">
      <c r="A52" s="3">
        <v>123</v>
      </c>
      <c r="B52" s="3">
        <v>48.53</v>
      </c>
      <c r="C52" s="3" t="s">
        <v>79</v>
      </c>
      <c r="D52" s="3" t="s">
        <v>86</v>
      </c>
    </row>
    <row r="53" spans="1:4">
      <c r="A53" s="3">
        <v>146</v>
      </c>
      <c r="B53" s="3">
        <v>48.53</v>
      </c>
      <c r="C53" s="3" t="s">
        <v>79</v>
      </c>
      <c r="D53" s="3" t="s">
        <v>86</v>
      </c>
    </row>
    <row r="54" spans="1:4">
      <c r="A54" s="3">
        <v>327</v>
      </c>
      <c r="B54" s="3">
        <v>48.53</v>
      </c>
      <c r="C54" s="3" t="s">
        <v>79</v>
      </c>
      <c r="D54" s="3" t="s">
        <v>103</v>
      </c>
    </row>
    <row r="55" spans="1:4">
      <c r="A55" s="3">
        <v>356</v>
      </c>
      <c r="B55" s="3">
        <v>48.53</v>
      </c>
      <c r="C55" s="3" t="s">
        <v>79</v>
      </c>
      <c r="D55" s="3" t="s">
        <v>86</v>
      </c>
    </row>
    <row r="56" spans="1:4">
      <c r="A56" s="3">
        <v>363</v>
      </c>
      <c r="B56" s="3">
        <v>48.53</v>
      </c>
      <c r="C56" s="3" t="s">
        <v>79</v>
      </c>
      <c r="D56" s="3" t="s">
        <v>86</v>
      </c>
    </row>
    <row r="57" spans="1:4">
      <c r="A57" s="3">
        <v>369</v>
      </c>
      <c r="B57" s="3">
        <v>48.53</v>
      </c>
      <c r="C57" s="3" t="s">
        <v>79</v>
      </c>
      <c r="D57" s="3" t="s">
        <v>86</v>
      </c>
    </row>
    <row r="58" spans="1:4">
      <c r="A58" s="3">
        <v>416</v>
      </c>
      <c r="B58" s="3">
        <v>48.53</v>
      </c>
      <c r="C58" s="3" t="s">
        <v>79</v>
      </c>
      <c r="D58" s="3" t="s">
        <v>86</v>
      </c>
    </row>
    <row r="59" spans="1:4">
      <c r="A59" s="3">
        <v>417</v>
      </c>
      <c r="B59" s="3">
        <v>48.53</v>
      </c>
      <c r="C59" s="3" t="s">
        <v>79</v>
      </c>
      <c r="D59" s="3" t="s">
        <v>86</v>
      </c>
    </row>
    <row r="60" spans="1:4">
      <c r="A60" s="3">
        <v>539</v>
      </c>
      <c r="B60" s="3">
        <v>48.53</v>
      </c>
      <c r="C60" s="3" t="s">
        <v>79</v>
      </c>
      <c r="D60" s="3" t="s">
        <v>86</v>
      </c>
    </row>
    <row r="61" spans="1:4">
      <c r="A61" s="3">
        <v>556</v>
      </c>
      <c r="B61" s="3">
        <v>48.53</v>
      </c>
      <c r="C61" s="3" t="s">
        <v>79</v>
      </c>
      <c r="D61" s="3" t="s">
        <v>86</v>
      </c>
    </row>
    <row r="62" spans="1:4">
      <c r="A62" s="3">
        <v>573</v>
      </c>
      <c r="B62" s="3">
        <v>48.53</v>
      </c>
      <c r="C62" s="3" t="s">
        <v>79</v>
      </c>
      <c r="D62" s="3" t="s">
        <v>86</v>
      </c>
    </row>
    <row r="63" spans="1:4">
      <c r="A63" s="3">
        <v>313</v>
      </c>
      <c r="B63" s="3">
        <v>48.5</v>
      </c>
      <c r="C63" s="3" t="s">
        <v>79</v>
      </c>
      <c r="D63" s="3" t="s">
        <v>100</v>
      </c>
    </row>
    <row r="64" spans="1:4">
      <c r="A64" s="3">
        <v>445</v>
      </c>
      <c r="B64" s="3">
        <v>48.5</v>
      </c>
      <c r="C64" s="3" t="s">
        <v>85</v>
      </c>
      <c r="D64" s="3" t="s">
        <v>86</v>
      </c>
    </row>
    <row r="65" spans="1:4">
      <c r="A65" s="3">
        <v>182</v>
      </c>
      <c r="B65" s="3">
        <v>48.47</v>
      </c>
      <c r="C65" s="3" t="s">
        <v>79</v>
      </c>
      <c r="D65" s="3" t="s">
        <v>80</v>
      </c>
    </row>
    <row r="66" spans="1:4">
      <c r="A66" s="3">
        <v>564</v>
      </c>
      <c r="B66" s="3">
        <v>48.4</v>
      </c>
      <c r="C66" s="3" t="s">
        <v>85</v>
      </c>
      <c r="D66" s="3" t="s">
        <v>86</v>
      </c>
    </row>
    <row r="67" spans="1:4">
      <c r="A67" s="3">
        <v>458</v>
      </c>
      <c r="B67" s="3">
        <v>48.32</v>
      </c>
      <c r="C67" s="3" t="s">
        <v>85</v>
      </c>
      <c r="D67" s="3" t="s">
        <v>86</v>
      </c>
    </row>
    <row r="68" spans="1:4">
      <c r="A68" s="3">
        <v>490</v>
      </c>
      <c r="B68" s="3">
        <v>48.26</v>
      </c>
      <c r="C68" s="3" t="s">
        <v>79</v>
      </c>
      <c r="D68" s="3" t="s">
        <v>103</v>
      </c>
    </row>
    <row r="69" spans="1:4">
      <c r="A69" s="3">
        <v>324</v>
      </c>
      <c r="B69" s="3">
        <v>48.19</v>
      </c>
      <c r="C69" s="3" t="s">
        <v>85</v>
      </c>
      <c r="D69" s="3" t="s">
        <v>86</v>
      </c>
    </row>
    <row r="70" spans="1:4">
      <c r="A70" s="3">
        <v>4</v>
      </c>
      <c r="B70" s="3">
        <v>48.09</v>
      </c>
      <c r="C70" s="3" t="s">
        <v>85</v>
      </c>
      <c r="D70" s="3" t="s">
        <v>80</v>
      </c>
    </row>
    <row r="71" spans="1:4">
      <c r="A71" s="3">
        <v>97</v>
      </c>
      <c r="B71" s="3">
        <v>48.09</v>
      </c>
      <c r="C71" s="3" t="s">
        <v>79</v>
      </c>
      <c r="D71" s="3" t="s">
        <v>80</v>
      </c>
    </row>
    <row r="72" spans="1:4">
      <c r="A72" s="3">
        <v>160</v>
      </c>
      <c r="B72" s="3">
        <v>48.09</v>
      </c>
      <c r="C72" s="3" t="s">
        <v>79</v>
      </c>
      <c r="D72" s="3" t="s">
        <v>80</v>
      </c>
    </row>
    <row r="73" spans="1:4">
      <c r="A73" s="3">
        <v>179</v>
      </c>
      <c r="B73" s="3">
        <v>48.09</v>
      </c>
      <c r="C73" s="3" t="s">
        <v>79</v>
      </c>
      <c r="D73" s="3" t="s">
        <v>88</v>
      </c>
    </row>
    <row r="74" spans="1:4">
      <c r="A74" s="3">
        <v>201</v>
      </c>
      <c r="B74" s="3">
        <v>48.09</v>
      </c>
      <c r="C74" s="3" t="s">
        <v>79</v>
      </c>
      <c r="D74" s="3" t="s">
        <v>80</v>
      </c>
    </row>
    <row r="75" spans="1:4">
      <c r="A75" s="3">
        <v>341</v>
      </c>
      <c r="B75" s="3">
        <v>48.09</v>
      </c>
      <c r="C75" s="3" t="s">
        <v>79</v>
      </c>
      <c r="D75" s="3" t="s">
        <v>80</v>
      </c>
    </row>
    <row r="76" spans="1:4">
      <c r="A76" s="3">
        <v>378</v>
      </c>
      <c r="B76" s="3">
        <v>48.09</v>
      </c>
      <c r="C76" s="3"/>
      <c r="D76" s="3" t="s">
        <v>80</v>
      </c>
    </row>
    <row r="77" spans="1:4">
      <c r="A77" s="3">
        <v>385</v>
      </c>
      <c r="B77" s="3">
        <v>48.09</v>
      </c>
      <c r="C77" s="3" t="s">
        <v>79</v>
      </c>
      <c r="D77" s="3" t="s">
        <v>80</v>
      </c>
    </row>
    <row r="78" spans="1:4">
      <c r="A78" s="3">
        <v>437</v>
      </c>
      <c r="B78" s="3">
        <v>48.09</v>
      </c>
      <c r="C78" s="3" t="s">
        <v>79</v>
      </c>
      <c r="D78" s="3" t="s">
        <v>88</v>
      </c>
    </row>
    <row r="79" spans="1:4">
      <c r="A79" s="3">
        <v>511</v>
      </c>
      <c r="B79" s="3">
        <v>48.09</v>
      </c>
      <c r="C79" s="3" t="s">
        <v>79</v>
      </c>
      <c r="D79" s="3" t="s">
        <v>80</v>
      </c>
    </row>
    <row r="80" spans="1:4">
      <c r="A80" s="3">
        <v>514</v>
      </c>
      <c r="B80" s="3">
        <v>48.09</v>
      </c>
      <c r="C80" s="3" t="s">
        <v>79</v>
      </c>
      <c r="D80" s="3" t="s">
        <v>88</v>
      </c>
    </row>
    <row r="81" spans="1:4">
      <c r="A81" s="3">
        <v>518</v>
      </c>
      <c r="B81" s="3">
        <v>48.09</v>
      </c>
      <c r="C81" s="3" t="s">
        <v>79</v>
      </c>
      <c r="D81" s="3" t="s">
        <v>80</v>
      </c>
    </row>
    <row r="82" spans="1:4">
      <c r="A82" s="3">
        <v>519</v>
      </c>
      <c r="B82" s="3">
        <v>48.09</v>
      </c>
      <c r="C82" s="3" t="s">
        <v>79</v>
      </c>
      <c r="D82" s="3" t="s">
        <v>88</v>
      </c>
    </row>
    <row r="83" spans="1:4">
      <c r="A83" s="3">
        <v>163</v>
      </c>
      <c r="B83" s="3">
        <v>48.08</v>
      </c>
      <c r="C83" s="3" t="s">
        <v>104</v>
      </c>
      <c r="D83" s="3" t="s">
        <v>103</v>
      </c>
    </row>
    <row r="84" spans="1:4">
      <c r="A84" s="3">
        <v>233</v>
      </c>
      <c r="B84" s="3">
        <v>48</v>
      </c>
      <c r="C84" s="3" t="s">
        <v>85</v>
      </c>
      <c r="D84" s="3" t="s">
        <v>80</v>
      </c>
    </row>
    <row r="85" spans="1:4">
      <c r="A85" s="3">
        <v>36</v>
      </c>
      <c r="B85" s="3">
        <v>38.28</v>
      </c>
      <c r="C85" s="3" t="s">
        <v>85</v>
      </c>
      <c r="D85" s="3" t="s">
        <v>88</v>
      </c>
    </row>
    <row r="86" spans="1:4">
      <c r="A86" s="3">
        <v>476</v>
      </c>
      <c r="B86" s="3">
        <v>39.67</v>
      </c>
      <c r="C86" s="3" t="s">
        <v>85</v>
      </c>
      <c r="D86" s="3" t="s">
        <v>88</v>
      </c>
    </row>
    <row r="87" spans="1:4">
      <c r="A87" s="3">
        <v>412</v>
      </c>
      <c r="B87" s="3">
        <v>48</v>
      </c>
      <c r="C87" s="3" t="s">
        <v>85</v>
      </c>
      <c r="D87" s="3" t="s">
        <v>80</v>
      </c>
    </row>
    <row r="88" spans="1:4">
      <c r="A88" s="3">
        <v>455</v>
      </c>
      <c r="B88" s="3">
        <v>48</v>
      </c>
      <c r="C88" s="3" t="s">
        <v>79</v>
      </c>
      <c r="D88" s="3" t="s">
        <v>80</v>
      </c>
    </row>
    <row r="89" spans="1:4">
      <c r="A89" s="3">
        <v>465</v>
      </c>
      <c r="B89" s="3">
        <v>48</v>
      </c>
      <c r="C89" s="3" t="s">
        <v>85</v>
      </c>
      <c r="D89" s="3" t="s">
        <v>80</v>
      </c>
    </row>
    <row r="90" spans="1:4">
      <c r="A90" s="3">
        <v>22</v>
      </c>
      <c r="B90" s="3">
        <v>47.97</v>
      </c>
      <c r="C90" s="3" t="s">
        <v>79</v>
      </c>
      <c r="D90" s="3" t="s">
        <v>88</v>
      </c>
    </row>
    <row r="91" spans="1:4">
      <c r="A91" s="3">
        <v>245</v>
      </c>
      <c r="B91" s="3">
        <v>47.96</v>
      </c>
      <c r="C91" s="3" t="s">
        <v>85</v>
      </c>
      <c r="D91" s="3" t="s">
        <v>86</v>
      </c>
    </row>
    <row r="92" spans="1:4">
      <c r="A92" s="3">
        <v>468</v>
      </c>
      <c r="B92" s="3">
        <v>47.95</v>
      </c>
      <c r="C92" s="3" t="s">
        <v>85</v>
      </c>
      <c r="D92" s="3" t="s">
        <v>86</v>
      </c>
    </row>
    <row r="93" spans="1:4">
      <c r="A93" s="3">
        <v>530</v>
      </c>
      <c r="B93" s="3">
        <v>47.91</v>
      </c>
      <c r="C93" s="3" t="s">
        <v>85</v>
      </c>
      <c r="D93" s="3" t="s">
        <v>80</v>
      </c>
    </row>
    <row r="94" spans="1:4">
      <c r="A94" s="3">
        <v>222</v>
      </c>
      <c r="B94" s="3">
        <v>47.81</v>
      </c>
      <c r="C94" s="3" t="s">
        <v>85</v>
      </c>
      <c r="D94" s="3" t="s">
        <v>86</v>
      </c>
    </row>
    <row r="95" spans="1:4">
      <c r="A95" s="3">
        <v>129</v>
      </c>
      <c r="B95" s="3">
        <v>47.79</v>
      </c>
      <c r="C95" s="3" t="s">
        <v>85</v>
      </c>
      <c r="D95" s="3" t="s">
        <v>86</v>
      </c>
    </row>
    <row r="96" spans="1:4">
      <c r="A96" s="3">
        <v>413</v>
      </c>
      <c r="B96" s="3">
        <v>47.73</v>
      </c>
      <c r="C96" s="3" t="s">
        <v>85</v>
      </c>
      <c r="D96" s="3" t="s">
        <v>86</v>
      </c>
    </row>
    <row r="97" spans="1:4">
      <c r="A97" s="3">
        <v>101</v>
      </c>
      <c r="B97" s="3">
        <v>47.72</v>
      </c>
      <c r="C97" s="3" t="s">
        <v>79</v>
      </c>
      <c r="D97" s="3" t="s">
        <v>103</v>
      </c>
    </row>
    <row r="98" spans="1:4">
      <c r="A98" s="3">
        <v>125</v>
      </c>
      <c r="B98" s="3">
        <v>47.72</v>
      </c>
      <c r="C98" s="3" t="s">
        <v>104</v>
      </c>
      <c r="D98" s="3" t="s">
        <v>86</v>
      </c>
    </row>
    <row r="99" spans="1:4">
      <c r="A99" s="3">
        <v>368</v>
      </c>
      <c r="B99" s="3">
        <v>47.72</v>
      </c>
      <c r="C99" s="3" t="s">
        <v>79</v>
      </c>
      <c r="D99" s="3" t="s">
        <v>80</v>
      </c>
    </row>
    <row r="100" spans="1:4">
      <c r="A100" s="3">
        <v>491</v>
      </c>
      <c r="B100" s="3">
        <v>47.72</v>
      </c>
      <c r="C100" s="3" t="s">
        <v>104</v>
      </c>
      <c r="D100" s="3" t="s">
        <v>86</v>
      </c>
    </row>
    <row r="101" spans="1:4">
      <c r="A101" s="3">
        <v>155</v>
      </c>
      <c r="B101" s="3">
        <v>47.54</v>
      </c>
      <c r="C101" s="3" t="s">
        <v>85</v>
      </c>
      <c r="D101" s="3" t="s">
        <v>80</v>
      </c>
    </row>
    <row r="102" spans="1:4">
      <c r="A102" s="3">
        <v>376</v>
      </c>
      <c r="B102" s="3">
        <v>47.54</v>
      </c>
      <c r="C102" s="3" t="s">
        <v>79</v>
      </c>
      <c r="D102" s="3" t="s">
        <v>80</v>
      </c>
    </row>
    <row r="103" spans="1:4">
      <c r="A103" s="3">
        <v>46</v>
      </c>
      <c r="B103" s="3">
        <v>47.46</v>
      </c>
      <c r="C103" s="3" t="s">
        <v>85</v>
      </c>
      <c r="D103" s="3" t="s">
        <v>86</v>
      </c>
    </row>
    <row r="104" spans="1:4">
      <c r="A104" s="3">
        <v>399</v>
      </c>
      <c r="B104" s="3">
        <v>47.46</v>
      </c>
      <c r="C104" s="3" t="s">
        <v>85</v>
      </c>
      <c r="D104" s="3" t="s">
        <v>86</v>
      </c>
    </row>
    <row r="105" spans="1:4">
      <c r="A105" s="3">
        <v>200</v>
      </c>
      <c r="B105" s="3">
        <v>47.44</v>
      </c>
      <c r="C105" s="3" t="s">
        <v>79</v>
      </c>
      <c r="D105" s="3" t="s">
        <v>103</v>
      </c>
    </row>
    <row r="106" spans="1:4">
      <c r="A106" s="3">
        <v>145</v>
      </c>
      <c r="B106" s="3">
        <v>47.38</v>
      </c>
      <c r="C106" s="3" t="s">
        <v>85</v>
      </c>
      <c r="D106" s="3" t="s">
        <v>86</v>
      </c>
    </row>
    <row r="107" spans="1:4">
      <c r="A107" s="3">
        <v>18</v>
      </c>
      <c r="B107" s="3">
        <v>47.25</v>
      </c>
      <c r="C107" s="3" t="s">
        <v>85</v>
      </c>
      <c r="D107" s="3" t="s">
        <v>80</v>
      </c>
    </row>
    <row r="108" spans="1:4">
      <c r="A108" s="3">
        <v>55</v>
      </c>
      <c r="B108" s="3">
        <v>47.18</v>
      </c>
      <c r="C108" s="3" t="s">
        <v>79</v>
      </c>
      <c r="D108" s="3" t="s">
        <v>103</v>
      </c>
    </row>
    <row r="109" spans="1:4">
      <c r="A109" s="3">
        <v>248</v>
      </c>
      <c r="B109" s="3">
        <v>47.18</v>
      </c>
      <c r="C109" s="3" t="s">
        <v>79</v>
      </c>
      <c r="D109" s="3" t="s">
        <v>103</v>
      </c>
    </row>
    <row r="110" spans="1:4">
      <c r="A110" s="3">
        <v>272</v>
      </c>
      <c r="B110" s="3">
        <v>47.18</v>
      </c>
      <c r="C110" s="3" t="s">
        <v>79</v>
      </c>
      <c r="D110" s="3" t="s">
        <v>103</v>
      </c>
    </row>
    <row r="111" spans="1:4">
      <c r="A111" s="3">
        <v>323</v>
      </c>
      <c r="B111" s="3">
        <v>47.18</v>
      </c>
      <c r="C111" s="3" t="s">
        <v>79</v>
      </c>
      <c r="D111" s="3" t="s">
        <v>103</v>
      </c>
    </row>
    <row r="112" spans="1:4">
      <c r="A112" s="3">
        <v>349</v>
      </c>
      <c r="B112" s="3">
        <v>47.18</v>
      </c>
      <c r="C112" s="3" t="s">
        <v>79</v>
      </c>
      <c r="D112" s="3" t="s">
        <v>103</v>
      </c>
    </row>
    <row r="113" spans="1:4">
      <c r="A113" s="3">
        <v>483</v>
      </c>
      <c r="B113" s="3">
        <v>47.18</v>
      </c>
      <c r="C113" s="3" t="s">
        <v>79</v>
      </c>
      <c r="D113" s="3" t="s">
        <v>103</v>
      </c>
    </row>
    <row r="114" spans="1:4">
      <c r="A114" s="3">
        <v>114</v>
      </c>
      <c r="B114" s="3">
        <v>47.16</v>
      </c>
      <c r="C114" s="3" t="s">
        <v>85</v>
      </c>
      <c r="D114" s="3" t="s">
        <v>86</v>
      </c>
    </row>
    <row r="115" spans="1:4">
      <c r="A115" s="3">
        <v>100</v>
      </c>
      <c r="B115" s="3">
        <v>47.13</v>
      </c>
      <c r="C115" s="3" t="s">
        <v>79</v>
      </c>
      <c r="D115" s="3" t="s">
        <v>86</v>
      </c>
    </row>
    <row r="116" spans="1:4">
      <c r="A116" s="3">
        <v>242</v>
      </c>
      <c r="B116" s="3">
        <v>47.13</v>
      </c>
      <c r="C116" s="3" t="s">
        <v>104</v>
      </c>
      <c r="D116" s="3" t="s">
        <v>100</v>
      </c>
    </row>
    <row r="117" spans="1:4">
      <c r="A117" s="3">
        <v>400</v>
      </c>
      <c r="B117" s="3">
        <v>47.13</v>
      </c>
      <c r="C117" s="3" t="s">
        <v>79</v>
      </c>
      <c r="D117" s="3" t="s">
        <v>86</v>
      </c>
    </row>
    <row r="118" spans="1:4">
      <c r="A118" s="3">
        <v>540</v>
      </c>
      <c r="B118" s="3">
        <v>47.13</v>
      </c>
      <c r="C118" s="3" t="s">
        <v>104</v>
      </c>
      <c r="D118" s="3" t="s">
        <v>88</v>
      </c>
    </row>
    <row r="119" spans="1:4">
      <c r="A119" s="3">
        <v>128</v>
      </c>
      <c r="B119" s="3">
        <v>47.1</v>
      </c>
      <c r="C119" s="3" t="s">
        <v>85</v>
      </c>
      <c r="D119" s="3" t="s">
        <v>80</v>
      </c>
    </row>
    <row r="120" spans="1:4">
      <c r="A120" s="3">
        <v>358</v>
      </c>
      <c r="B120" s="3">
        <v>47.09</v>
      </c>
      <c r="C120" s="3" t="s">
        <v>85</v>
      </c>
      <c r="D120" s="3" t="s">
        <v>86</v>
      </c>
    </row>
    <row r="121" spans="1:4">
      <c r="A121" s="3">
        <v>432</v>
      </c>
      <c r="B121" s="3">
        <v>47.08</v>
      </c>
      <c r="C121" s="3" t="s">
        <v>79</v>
      </c>
      <c r="D121" s="3" t="s">
        <v>80</v>
      </c>
    </row>
    <row r="122" spans="1:4">
      <c r="A122" s="3">
        <v>176</v>
      </c>
      <c r="B122" s="3">
        <v>47.02</v>
      </c>
      <c r="C122" s="3" t="s">
        <v>85</v>
      </c>
      <c r="D122" s="3" t="s">
        <v>86</v>
      </c>
    </row>
    <row r="123" spans="1:4">
      <c r="A123" s="3">
        <v>241</v>
      </c>
      <c r="B123" s="3">
        <v>47.02</v>
      </c>
      <c r="C123" s="3" t="s">
        <v>79</v>
      </c>
      <c r="D123" s="3" t="s">
        <v>100</v>
      </c>
    </row>
    <row r="124" spans="1:4">
      <c r="A124" s="3">
        <v>17</v>
      </c>
      <c r="B124" s="3">
        <v>47</v>
      </c>
      <c r="C124" s="3" t="s">
        <v>85</v>
      </c>
      <c r="D124" s="3" t="s">
        <v>80</v>
      </c>
    </row>
    <row r="125" spans="1:4">
      <c r="A125" s="3">
        <v>367</v>
      </c>
      <c r="B125" s="3">
        <v>47</v>
      </c>
      <c r="C125" s="3" t="s">
        <v>85</v>
      </c>
      <c r="D125" s="3" t="s">
        <v>86</v>
      </c>
    </row>
    <row r="126" spans="1:4">
      <c r="A126" s="3">
        <v>553</v>
      </c>
      <c r="B126" s="3">
        <v>39.67</v>
      </c>
      <c r="C126" s="3" t="s">
        <v>85</v>
      </c>
      <c r="D126" s="3" t="s">
        <v>88</v>
      </c>
    </row>
    <row r="127" spans="1:4">
      <c r="A127" s="3">
        <v>482</v>
      </c>
      <c r="B127" s="3">
        <v>47</v>
      </c>
      <c r="C127" s="3" t="s">
        <v>85</v>
      </c>
      <c r="D127" s="3" t="s">
        <v>86</v>
      </c>
    </row>
    <row r="128" spans="1:4">
      <c r="A128" s="3">
        <v>6</v>
      </c>
      <c r="B128" s="3">
        <v>46.98</v>
      </c>
      <c r="C128" s="3" t="s">
        <v>79</v>
      </c>
      <c r="D128" s="3" t="s">
        <v>86</v>
      </c>
    </row>
    <row r="129" spans="1:4">
      <c r="A129" s="3">
        <v>288</v>
      </c>
      <c r="B129" s="3">
        <v>46.98</v>
      </c>
      <c r="C129" s="3" t="s">
        <v>79</v>
      </c>
      <c r="D129" s="3" t="s">
        <v>86</v>
      </c>
    </row>
    <row r="130" spans="1:4">
      <c r="A130" s="3">
        <v>31</v>
      </c>
      <c r="B130" s="3">
        <v>46.66</v>
      </c>
      <c r="C130" s="3" t="s">
        <v>85</v>
      </c>
      <c r="D130" s="3" t="s">
        <v>86</v>
      </c>
    </row>
    <row r="131" spans="1:4">
      <c r="A131" s="3">
        <v>532</v>
      </c>
      <c r="B131" s="3">
        <v>46.6</v>
      </c>
      <c r="C131" s="3" t="s">
        <v>85</v>
      </c>
      <c r="D131" s="3" t="s">
        <v>86</v>
      </c>
    </row>
    <row r="132" spans="1:4">
      <c r="A132" s="3">
        <v>466</v>
      </c>
      <c r="B132" s="3">
        <v>46.54</v>
      </c>
      <c r="C132" s="3" t="s">
        <v>79</v>
      </c>
      <c r="D132" s="3" t="s">
        <v>105</v>
      </c>
    </row>
    <row r="133" spans="1:4">
      <c r="A133" s="3">
        <v>392</v>
      </c>
      <c r="B133" s="3">
        <v>46.51</v>
      </c>
      <c r="C133" s="3" t="s">
        <v>79</v>
      </c>
      <c r="D133" s="3" t="s">
        <v>80</v>
      </c>
    </row>
    <row r="134" spans="1:4">
      <c r="A134" s="3">
        <v>209</v>
      </c>
      <c r="B134" s="3">
        <v>46.45</v>
      </c>
      <c r="C134" s="3" t="s">
        <v>85</v>
      </c>
      <c r="D134" s="3" t="s">
        <v>86</v>
      </c>
    </row>
    <row r="135" spans="1:4">
      <c r="A135" s="3">
        <v>481</v>
      </c>
      <c r="B135" s="3">
        <v>46.45</v>
      </c>
      <c r="C135" s="3" t="s">
        <v>85</v>
      </c>
      <c r="D135" s="3" t="s">
        <v>86</v>
      </c>
    </row>
    <row r="136" spans="1:4">
      <c r="A136" s="3">
        <v>338</v>
      </c>
      <c r="B136" s="3">
        <v>46.42</v>
      </c>
      <c r="C136" s="3" t="s">
        <v>85</v>
      </c>
      <c r="D136" s="3" t="s">
        <v>86</v>
      </c>
    </row>
    <row r="137" spans="1:4">
      <c r="A137" s="3">
        <v>30</v>
      </c>
      <c r="B137" s="3">
        <v>46.39</v>
      </c>
      <c r="C137" s="3" t="s">
        <v>85</v>
      </c>
      <c r="D137" s="3" t="s">
        <v>86</v>
      </c>
    </row>
    <row r="138" spans="1:4">
      <c r="A138" s="3">
        <v>315</v>
      </c>
      <c r="B138" s="3">
        <v>46.37</v>
      </c>
      <c r="C138" s="3" t="s">
        <v>79</v>
      </c>
      <c r="D138" s="3" t="s">
        <v>86</v>
      </c>
    </row>
    <row r="139" spans="1:4">
      <c r="A139" s="3">
        <v>161</v>
      </c>
      <c r="B139" s="3">
        <v>46.35</v>
      </c>
      <c r="C139" s="3" t="s">
        <v>79</v>
      </c>
      <c r="D139" s="3" t="s">
        <v>80</v>
      </c>
    </row>
    <row r="140" spans="1:4">
      <c r="A140" s="3">
        <v>234</v>
      </c>
      <c r="B140" s="3">
        <v>46.35</v>
      </c>
      <c r="C140" s="3" t="s">
        <v>79</v>
      </c>
      <c r="D140" s="3" t="s">
        <v>105</v>
      </c>
    </row>
    <row r="141" spans="1:4">
      <c r="A141" s="3">
        <v>587</v>
      </c>
      <c r="B141" s="3">
        <v>46.35</v>
      </c>
      <c r="C141" s="3" t="s">
        <v>79</v>
      </c>
      <c r="D141" s="3" t="s">
        <v>88</v>
      </c>
    </row>
    <row r="142" spans="1:4">
      <c r="A142" s="3">
        <v>98</v>
      </c>
      <c r="B142" s="3">
        <v>46.18</v>
      </c>
      <c r="C142" s="3" t="s">
        <v>85</v>
      </c>
      <c r="D142" s="3" t="s">
        <v>86</v>
      </c>
    </row>
    <row r="143" spans="1:4">
      <c r="A143" s="3">
        <v>524</v>
      </c>
      <c r="B143" s="3">
        <v>46.18</v>
      </c>
      <c r="C143" s="3" t="s">
        <v>85</v>
      </c>
      <c r="D143" s="3" t="s">
        <v>86</v>
      </c>
    </row>
    <row r="144" spans="1:4">
      <c r="A144" s="3">
        <v>164</v>
      </c>
      <c r="B144" s="3">
        <v>46.17</v>
      </c>
      <c r="C144" s="3" t="s">
        <v>85</v>
      </c>
      <c r="D144" s="3" t="s">
        <v>86</v>
      </c>
    </row>
    <row r="145" spans="1:4">
      <c r="A145" s="3">
        <v>10</v>
      </c>
      <c r="B145" s="3">
        <v>46.13</v>
      </c>
      <c r="C145" s="3" t="s">
        <v>79</v>
      </c>
      <c r="D145" s="3" t="s">
        <v>88</v>
      </c>
    </row>
    <row r="146" spans="1:4">
      <c r="A146" s="3">
        <v>280</v>
      </c>
      <c r="B146" s="3">
        <v>46.13</v>
      </c>
      <c r="C146" s="3" t="s">
        <v>85</v>
      </c>
      <c r="D146" s="3" t="s">
        <v>86</v>
      </c>
    </row>
    <row r="147" spans="1:4">
      <c r="A147" s="3">
        <v>401</v>
      </c>
      <c r="B147" s="3">
        <v>46.13</v>
      </c>
      <c r="C147" s="3" t="s">
        <v>79</v>
      </c>
      <c r="D147" s="3" t="s">
        <v>88</v>
      </c>
    </row>
    <row r="148" spans="1:4">
      <c r="A148" s="3">
        <v>536</v>
      </c>
      <c r="B148" s="3">
        <v>41.06</v>
      </c>
      <c r="C148" s="3" t="s">
        <v>85</v>
      </c>
      <c r="D148" s="3" t="s">
        <v>88</v>
      </c>
    </row>
    <row r="149" spans="1:4">
      <c r="A149" s="3">
        <v>261</v>
      </c>
      <c r="B149" s="3">
        <v>46.08</v>
      </c>
      <c r="C149" s="3" t="s">
        <v>79</v>
      </c>
      <c r="D149" s="3" t="s">
        <v>80</v>
      </c>
    </row>
    <row r="150" spans="1:4">
      <c r="A150" s="3">
        <v>232</v>
      </c>
      <c r="B150" s="3">
        <v>46.02</v>
      </c>
      <c r="C150" s="3" t="s">
        <v>85</v>
      </c>
      <c r="D150" s="3" t="s">
        <v>86</v>
      </c>
    </row>
    <row r="151" spans="1:4">
      <c r="A151" s="3">
        <v>2</v>
      </c>
      <c r="B151" s="3">
        <v>46</v>
      </c>
      <c r="C151" s="3" t="s">
        <v>85</v>
      </c>
      <c r="D151" s="3" t="s">
        <v>86</v>
      </c>
    </row>
    <row r="152" spans="1:4">
      <c r="A152" s="3">
        <v>354</v>
      </c>
      <c r="B152" s="3">
        <v>46</v>
      </c>
      <c r="C152" s="3" t="s">
        <v>85</v>
      </c>
      <c r="D152" s="3" t="s">
        <v>86</v>
      </c>
    </row>
    <row r="153" spans="1:4">
      <c r="A153" s="3">
        <v>492</v>
      </c>
      <c r="B153" s="3">
        <v>45.82</v>
      </c>
      <c r="C153" s="3" t="s">
        <v>85</v>
      </c>
      <c r="D153" s="3" t="s">
        <v>86</v>
      </c>
    </row>
    <row r="154" spans="1:4">
      <c r="A154" s="3">
        <v>300</v>
      </c>
      <c r="B154" s="3">
        <v>45.77</v>
      </c>
      <c r="C154" s="3" t="s">
        <v>79</v>
      </c>
      <c r="D154" s="3" t="s">
        <v>86</v>
      </c>
    </row>
    <row r="155" spans="1:4">
      <c r="A155" s="3">
        <v>462</v>
      </c>
      <c r="B155" s="3">
        <v>45.76</v>
      </c>
      <c r="C155" s="3" t="s">
        <v>79</v>
      </c>
      <c r="D155" s="3" t="s">
        <v>103</v>
      </c>
    </row>
    <row r="156" spans="1:4">
      <c r="A156" s="3">
        <v>496</v>
      </c>
      <c r="B156" s="3">
        <v>45.76</v>
      </c>
      <c r="C156" s="3" t="s">
        <v>85</v>
      </c>
      <c r="D156" s="3" t="s">
        <v>86</v>
      </c>
    </row>
    <row r="157" spans="1:4">
      <c r="A157" s="3">
        <v>99</v>
      </c>
      <c r="B157" s="3">
        <v>45.73</v>
      </c>
      <c r="C157" s="3" t="s">
        <v>85</v>
      </c>
      <c r="D157" s="3" t="s">
        <v>86</v>
      </c>
    </row>
    <row r="158" spans="1:4">
      <c r="A158" s="3">
        <v>266</v>
      </c>
      <c r="B158" s="3">
        <v>45.71</v>
      </c>
      <c r="C158" s="3" t="s">
        <v>79</v>
      </c>
      <c r="D158" s="3" t="s">
        <v>86</v>
      </c>
    </row>
    <row r="159" spans="1:4">
      <c r="A159" s="3">
        <v>407</v>
      </c>
      <c r="B159" s="3">
        <v>45.71</v>
      </c>
      <c r="C159" s="3" t="s">
        <v>79</v>
      </c>
      <c r="D159" s="3" t="s">
        <v>86</v>
      </c>
    </row>
    <row r="160" spans="1:4">
      <c r="A160" s="3">
        <v>596</v>
      </c>
      <c r="B160" s="3">
        <v>45.68</v>
      </c>
      <c r="C160" s="3" t="s">
        <v>85</v>
      </c>
      <c r="D160" s="3" t="s">
        <v>86</v>
      </c>
    </row>
    <row r="161" spans="1:4">
      <c r="A161" s="3">
        <v>545</v>
      </c>
      <c r="B161" s="3">
        <v>45.67</v>
      </c>
      <c r="C161" s="3" t="s">
        <v>85</v>
      </c>
      <c r="D161" s="3" t="s">
        <v>86</v>
      </c>
    </row>
    <row r="162" spans="1:4">
      <c r="A162" s="3">
        <v>202</v>
      </c>
      <c r="B162" s="3">
        <v>45.66</v>
      </c>
      <c r="C162" s="3" t="s">
        <v>85</v>
      </c>
      <c r="D162" s="3" t="s">
        <v>86</v>
      </c>
    </row>
    <row r="163" spans="1:4">
      <c r="A163" s="3">
        <v>134</v>
      </c>
      <c r="B163" s="3">
        <v>45.49</v>
      </c>
      <c r="C163" s="3" t="s">
        <v>104</v>
      </c>
      <c r="D163" s="3" t="s">
        <v>80</v>
      </c>
    </row>
    <row r="164" spans="1:4">
      <c r="A164" s="3">
        <v>594</v>
      </c>
      <c r="B164" s="3">
        <v>45.48</v>
      </c>
      <c r="C164" s="3" t="s">
        <v>79</v>
      </c>
      <c r="D164" s="3" t="s">
        <v>86</v>
      </c>
    </row>
    <row r="165" spans="1:4">
      <c r="A165" s="3">
        <v>72</v>
      </c>
      <c r="B165" s="3">
        <v>45.47</v>
      </c>
      <c r="C165" s="3" t="s">
        <v>85</v>
      </c>
      <c r="D165" s="3" t="s">
        <v>86</v>
      </c>
    </row>
    <row r="166" spans="1:4">
      <c r="A166" s="3">
        <v>281</v>
      </c>
      <c r="B166" s="3">
        <v>45.47</v>
      </c>
      <c r="C166" s="3" t="s">
        <v>85</v>
      </c>
      <c r="D166" s="3" t="s">
        <v>86</v>
      </c>
    </row>
    <row r="167" spans="1:4">
      <c r="A167" s="3">
        <v>474</v>
      </c>
      <c r="B167" s="3">
        <v>45.47</v>
      </c>
      <c r="C167" s="3" t="s">
        <v>85</v>
      </c>
      <c r="D167" s="3" t="s">
        <v>86</v>
      </c>
    </row>
    <row r="168" spans="1:4">
      <c r="A168" s="3">
        <v>575</v>
      </c>
      <c r="B168" s="3">
        <v>45.45</v>
      </c>
      <c r="C168" s="3" t="s">
        <v>79</v>
      </c>
      <c r="D168" s="3" t="s">
        <v>103</v>
      </c>
    </row>
    <row r="169" spans="1:4">
      <c r="A169" s="3">
        <v>50</v>
      </c>
      <c r="B169" s="3">
        <v>45.42</v>
      </c>
      <c r="C169" s="3" t="s">
        <v>79</v>
      </c>
      <c r="D169" s="3" t="s">
        <v>80</v>
      </c>
    </row>
    <row r="170" spans="1:4">
      <c r="A170" s="3">
        <v>267</v>
      </c>
      <c r="B170" s="3">
        <v>45.28</v>
      </c>
      <c r="C170" s="3" t="s">
        <v>85</v>
      </c>
      <c r="D170" s="3" t="s">
        <v>86</v>
      </c>
    </row>
    <row r="171" spans="1:4">
      <c r="A171" s="3">
        <v>311</v>
      </c>
      <c r="B171" s="3">
        <v>45.25</v>
      </c>
      <c r="C171" s="3" t="s">
        <v>85</v>
      </c>
      <c r="D171" s="3" t="s">
        <v>86</v>
      </c>
    </row>
    <row r="172" spans="1:4">
      <c r="A172" s="3">
        <v>475</v>
      </c>
      <c r="B172" s="3">
        <v>45.21</v>
      </c>
      <c r="C172" s="3" t="s">
        <v>85</v>
      </c>
      <c r="D172" s="3" t="s">
        <v>100</v>
      </c>
    </row>
    <row r="173" spans="1:4">
      <c r="A173" s="3">
        <v>215</v>
      </c>
      <c r="B173" s="3">
        <v>45.19</v>
      </c>
      <c r="C173" s="3" t="s">
        <v>85</v>
      </c>
      <c r="D173" s="3" t="s">
        <v>80</v>
      </c>
    </row>
    <row r="174" spans="1:4">
      <c r="A174" s="3">
        <v>326</v>
      </c>
      <c r="B174" s="3">
        <v>45.19</v>
      </c>
      <c r="C174" s="3" t="s">
        <v>85</v>
      </c>
      <c r="D174" s="3" t="s">
        <v>86</v>
      </c>
    </row>
    <row r="175" spans="1:4">
      <c r="A175" s="3">
        <v>269</v>
      </c>
      <c r="B175" s="3">
        <v>45.17</v>
      </c>
      <c r="C175" s="3" t="s">
        <v>85</v>
      </c>
      <c r="D175" s="3" t="s">
        <v>86</v>
      </c>
    </row>
    <row r="176" spans="1:4">
      <c r="A176" s="3">
        <v>435</v>
      </c>
      <c r="B176" s="3">
        <v>45.07</v>
      </c>
      <c r="C176" s="3" t="s">
        <v>85</v>
      </c>
      <c r="D176" s="3" t="s">
        <v>86</v>
      </c>
    </row>
    <row r="177" spans="1:4">
      <c r="A177" s="3">
        <v>193</v>
      </c>
      <c r="B177" s="3">
        <v>45.04</v>
      </c>
      <c r="C177" s="3" t="s">
        <v>85</v>
      </c>
      <c r="D177" s="3" t="s">
        <v>80</v>
      </c>
    </row>
    <row r="178" spans="1:4">
      <c r="A178" s="3">
        <v>95</v>
      </c>
      <c r="B178" s="3">
        <v>45.02</v>
      </c>
      <c r="C178" s="3" t="s">
        <v>85</v>
      </c>
      <c r="D178" s="3" t="s">
        <v>86</v>
      </c>
    </row>
    <row r="179" spans="1:4">
      <c r="A179" s="3">
        <v>94</v>
      </c>
      <c r="B179" s="3">
        <v>45.01</v>
      </c>
      <c r="C179" s="3" t="s">
        <v>85</v>
      </c>
      <c r="D179" s="3" t="s">
        <v>86</v>
      </c>
    </row>
    <row r="180" spans="1:4">
      <c r="A180" s="3">
        <v>355</v>
      </c>
      <c r="B180" s="3">
        <v>45</v>
      </c>
      <c r="C180" s="3" t="s">
        <v>85</v>
      </c>
      <c r="D180" s="3"/>
    </row>
    <row r="181" spans="1:4">
      <c r="A181" s="3">
        <v>523</v>
      </c>
      <c r="B181" s="3">
        <v>45</v>
      </c>
      <c r="C181" s="3" t="s">
        <v>85</v>
      </c>
      <c r="D181" s="3" t="s">
        <v>80</v>
      </c>
    </row>
    <row r="182" spans="1:4">
      <c r="A182" s="3">
        <v>151</v>
      </c>
      <c r="B182" s="3">
        <v>44.98</v>
      </c>
      <c r="C182" s="3" t="s">
        <v>79</v>
      </c>
      <c r="D182" s="3" t="s">
        <v>105</v>
      </c>
    </row>
    <row r="183" spans="1:4">
      <c r="A183" s="3">
        <v>204</v>
      </c>
      <c r="B183" s="3">
        <v>44.94</v>
      </c>
      <c r="C183" s="3" t="s">
        <v>85</v>
      </c>
      <c r="D183" s="3" t="s">
        <v>86</v>
      </c>
    </row>
    <row r="184" spans="1:4">
      <c r="A184" s="3">
        <v>58</v>
      </c>
      <c r="B184" s="3">
        <v>44.9</v>
      </c>
      <c r="C184" s="3" t="s">
        <v>79</v>
      </c>
      <c r="D184" s="3"/>
    </row>
    <row r="185" spans="1:4">
      <c r="A185" s="3">
        <v>120</v>
      </c>
      <c r="B185" s="3">
        <v>44.9</v>
      </c>
      <c r="C185" s="3" t="s">
        <v>79</v>
      </c>
      <c r="D185" s="3" t="s">
        <v>80</v>
      </c>
    </row>
    <row r="186" spans="1:4">
      <c r="A186" s="3">
        <v>124</v>
      </c>
      <c r="B186" s="3">
        <v>44.9</v>
      </c>
      <c r="C186" s="3" t="s">
        <v>79</v>
      </c>
      <c r="D186" s="3" t="s">
        <v>80</v>
      </c>
    </row>
    <row r="187" spans="1:4">
      <c r="A187" s="3">
        <v>253</v>
      </c>
      <c r="B187" s="3">
        <v>44.9</v>
      </c>
      <c r="C187" s="3" t="s">
        <v>79</v>
      </c>
      <c r="D187" s="3"/>
    </row>
    <row r="188" spans="1:4">
      <c r="A188" s="3">
        <v>254</v>
      </c>
      <c r="B188" s="3">
        <v>44.9</v>
      </c>
      <c r="C188" s="3" t="s">
        <v>79</v>
      </c>
      <c r="D188" s="3" t="s">
        <v>80</v>
      </c>
    </row>
    <row r="189" spans="1:4">
      <c r="A189" s="3">
        <v>447</v>
      </c>
      <c r="B189" s="3">
        <v>44.9</v>
      </c>
      <c r="C189" s="3" t="s">
        <v>79</v>
      </c>
      <c r="D189" s="3" t="s">
        <v>80</v>
      </c>
    </row>
    <row r="190" spans="1:4">
      <c r="A190" s="3">
        <v>555</v>
      </c>
      <c r="B190" s="3">
        <v>44.9</v>
      </c>
      <c r="C190" s="3" t="s">
        <v>79</v>
      </c>
      <c r="D190" s="3"/>
    </row>
    <row r="191" spans="1:4">
      <c r="A191" s="3">
        <v>473</v>
      </c>
      <c r="B191" s="3">
        <v>44.86</v>
      </c>
      <c r="C191" s="3" t="s">
        <v>85</v>
      </c>
      <c r="D191" s="3" t="s">
        <v>86</v>
      </c>
    </row>
    <row r="192" spans="1:4">
      <c r="A192" s="3">
        <v>517</v>
      </c>
      <c r="B192" s="3">
        <v>44.86</v>
      </c>
      <c r="C192" s="3" t="s">
        <v>85</v>
      </c>
      <c r="D192" s="3" t="s">
        <v>86</v>
      </c>
    </row>
    <row r="193" spans="1:4">
      <c r="A193" s="3">
        <v>258</v>
      </c>
      <c r="B193" s="3">
        <v>44.74</v>
      </c>
      <c r="C193" s="3" t="s">
        <v>85</v>
      </c>
      <c r="D193" s="3" t="s">
        <v>86</v>
      </c>
    </row>
    <row r="194" spans="1:4">
      <c r="A194" s="3">
        <v>317</v>
      </c>
      <c r="B194" s="3">
        <v>44.74</v>
      </c>
      <c r="C194" s="3" t="s">
        <v>85</v>
      </c>
      <c r="D194" s="3" t="s">
        <v>86</v>
      </c>
    </row>
    <row r="195" spans="1:4">
      <c r="A195" s="3">
        <v>457</v>
      </c>
      <c r="B195" s="3">
        <v>44.64</v>
      </c>
      <c r="C195" s="3" t="s">
        <v>85</v>
      </c>
      <c r="D195" s="3" t="s">
        <v>86</v>
      </c>
    </row>
    <row r="196" spans="1:4">
      <c r="A196" s="3">
        <v>408</v>
      </c>
      <c r="B196" s="3">
        <v>44.6</v>
      </c>
      <c r="C196" s="3" t="s">
        <v>79</v>
      </c>
      <c r="D196" s="3" t="s">
        <v>80</v>
      </c>
    </row>
    <row r="197" spans="1:4">
      <c r="A197" s="3">
        <v>131</v>
      </c>
      <c r="B197" s="3">
        <v>44.59</v>
      </c>
      <c r="C197" s="3" t="s">
        <v>85</v>
      </c>
      <c r="D197" s="3" t="s">
        <v>86</v>
      </c>
    </row>
    <row r="198" spans="1:4">
      <c r="A198" s="3">
        <v>379</v>
      </c>
      <c r="B198" s="3">
        <v>44.59</v>
      </c>
      <c r="C198" s="3" t="s">
        <v>85</v>
      </c>
      <c r="D198" s="3" t="s">
        <v>86</v>
      </c>
    </row>
    <row r="199" spans="1:4">
      <c r="A199" s="3">
        <v>49</v>
      </c>
      <c r="B199" s="3">
        <v>44.57</v>
      </c>
      <c r="C199" s="3" t="s">
        <v>79</v>
      </c>
      <c r="D199" s="3" t="s">
        <v>100</v>
      </c>
    </row>
    <row r="200" spans="1:4">
      <c r="A200" s="3">
        <v>56</v>
      </c>
      <c r="B200" s="3">
        <v>44.57</v>
      </c>
      <c r="C200" s="3" t="s">
        <v>79</v>
      </c>
      <c r="D200" s="3" t="s">
        <v>105</v>
      </c>
    </row>
    <row r="201" spans="1:4">
      <c r="A201" s="3">
        <v>135</v>
      </c>
      <c r="B201" s="3">
        <v>44.57</v>
      </c>
      <c r="C201" s="3" t="s">
        <v>79</v>
      </c>
      <c r="D201" s="3" t="s">
        <v>100</v>
      </c>
    </row>
    <row r="202" spans="1:4">
      <c r="A202" s="3">
        <v>187</v>
      </c>
      <c r="B202" s="3">
        <v>44.57</v>
      </c>
      <c r="C202" s="3" t="s">
        <v>79</v>
      </c>
      <c r="D202" s="3" t="s">
        <v>88</v>
      </c>
    </row>
    <row r="203" spans="1:4">
      <c r="A203" s="3">
        <v>189</v>
      </c>
      <c r="B203" s="3">
        <v>44.57</v>
      </c>
      <c r="C203" s="3" t="s">
        <v>79</v>
      </c>
      <c r="D203" s="3" t="s">
        <v>100</v>
      </c>
    </row>
    <row r="204" spans="1:4">
      <c r="A204" s="3">
        <v>225</v>
      </c>
      <c r="B204" s="3">
        <v>44.57</v>
      </c>
      <c r="C204" s="3" t="s">
        <v>79</v>
      </c>
      <c r="D204" s="3" t="s">
        <v>80</v>
      </c>
    </row>
    <row r="205" spans="1:4">
      <c r="A205" s="3">
        <v>420</v>
      </c>
      <c r="B205" s="3">
        <v>44.57</v>
      </c>
      <c r="C205" s="3" t="s">
        <v>79</v>
      </c>
      <c r="D205" s="3" t="s">
        <v>100</v>
      </c>
    </row>
    <row r="206" spans="1:4">
      <c r="A206" s="3">
        <v>478</v>
      </c>
      <c r="B206" s="3">
        <v>44.57</v>
      </c>
      <c r="C206" s="3" t="s">
        <v>79</v>
      </c>
      <c r="D206" s="3" t="s">
        <v>88</v>
      </c>
    </row>
    <row r="207" spans="1:4">
      <c r="A207" s="3">
        <v>325</v>
      </c>
      <c r="B207" s="3">
        <v>41.26</v>
      </c>
      <c r="C207" s="3" t="s">
        <v>85</v>
      </c>
      <c r="D207" s="3" t="s">
        <v>88</v>
      </c>
    </row>
    <row r="208" spans="1:4">
      <c r="A208" s="3">
        <v>74</v>
      </c>
      <c r="B208" s="3">
        <v>44.51</v>
      </c>
      <c r="C208" s="3" t="s">
        <v>79</v>
      </c>
      <c r="D208" s="3" t="s">
        <v>105</v>
      </c>
    </row>
    <row r="209" spans="1:4">
      <c r="A209" s="3">
        <v>93</v>
      </c>
      <c r="B209" s="3">
        <v>44.51</v>
      </c>
      <c r="C209" s="3" t="s">
        <v>79</v>
      </c>
      <c r="D209" s="3" t="s">
        <v>105</v>
      </c>
    </row>
    <row r="210" spans="1:4">
      <c r="A210" s="3">
        <v>148</v>
      </c>
      <c r="B210" s="3">
        <v>44.51</v>
      </c>
      <c r="C210" s="3" t="s">
        <v>79</v>
      </c>
      <c r="D210" s="3" t="s">
        <v>105</v>
      </c>
    </row>
    <row r="211" spans="1:4">
      <c r="A211" s="3">
        <v>316</v>
      </c>
      <c r="B211" s="3">
        <v>44.51</v>
      </c>
      <c r="C211" s="3" t="s">
        <v>79</v>
      </c>
      <c r="D211" s="3" t="s">
        <v>105</v>
      </c>
    </row>
    <row r="212" spans="1:4">
      <c r="A212" s="3">
        <v>370</v>
      </c>
      <c r="B212" s="3">
        <v>44.51</v>
      </c>
      <c r="C212" s="3" t="s">
        <v>79</v>
      </c>
      <c r="D212" s="3" t="s">
        <v>105</v>
      </c>
    </row>
    <row r="213" spans="1:4">
      <c r="A213" s="3">
        <v>495</v>
      </c>
      <c r="B213" s="3">
        <v>44.42</v>
      </c>
      <c r="C213" s="3" t="s">
        <v>79</v>
      </c>
      <c r="D213" s="3" t="s">
        <v>100</v>
      </c>
    </row>
    <row r="214" spans="1:4">
      <c r="A214" s="3">
        <v>570</v>
      </c>
      <c r="B214" s="3">
        <v>44.42</v>
      </c>
      <c r="C214" s="3" t="s">
        <v>85</v>
      </c>
      <c r="D214" s="3" t="s">
        <v>100</v>
      </c>
    </row>
    <row r="215" spans="1:4">
      <c r="A215" s="3">
        <v>275</v>
      </c>
      <c r="B215" s="3">
        <v>44.39</v>
      </c>
      <c r="C215" s="3" t="s">
        <v>79</v>
      </c>
      <c r="D215" s="3" t="s">
        <v>103</v>
      </c>
    </row>
    <row r="216" spans="1:4">
      <c r="A216" s="3">
        <v>158</v>
      </c>
      <c r="B216" s="3">
        <v>44.38</v>
      </c>
      <c r="C216" s="3" t="s">
        <v>79</v>
      </c>
      <c r="D216" s="3" t="s">
        <v>80</v>
      </c>
    </row>
    <row r="217" spans="1:4">
      <c r="A217" s="3">
        <v>546</v>
      </c>
      <c r="B217" s="3">
        <v>44.27</v>
      </c>
      <c r="C217" s="3" t="s">
        <v>85</v>
      </c>
      <c r="D217" s="3" t="s">
        <v>86</v>
      </c>
    </row>
    <row r="218" spans="1:4">
      <c r="A218" s="3">
        <v>541</v>
      </c>
      <c r="B218" s="3">
        <v>44.16</v>
      </c>
      <c r="C218" s="3" t="s">
        <v>79</v>
      </c>
      <c r="D218" s="3" t="s">
        <v>86</v>
      </c>
    </row>
    <row r="219" spans="1:4">
      <c r="A219" s="3">
        <v>360</v>
      </c>
      <c r="B219" s="3">
        <v>44.07</v>
      </c>
      <c r="C219" s="3" t="s">
        <v>104</v>
      </c>
      <c r="D219" s="3" t="s">
        <v>80</v>
      </c>
    </row>
    <row r="220" spans="1:4">
      <c r="A220" s="3">
        <v>321</v>
      </c>
      <c r="B220" s="3">
        <v>44.04</v>
      </c>
      <c r="C220" s="3" t="s">
        <v>85</v>
      </c>
      <c r="D220" s="3" t="s">
        <v>86</v>
      </c>
    </row>
    <row r="221" spans="1:4">
      <c r="A221" s="3">
        <v>293</v>
      </c>
      <c r="B221" s="3">
        <v>44</v>
      </c>
      <c r="C221" s="3" t="s">
        <v>85</v>
      </c>
      <c r="D221" s="3" t="s">
        <v>86</v>
      </c>
    </row>
    <row r="222" spans="1:4">
      <c r="A222" s="3">
        <v>508</v>
      </c>
      <c r="B222" s="3">
        <v>44</v>
      </c>
      <c r="C222" s="3" t="s">
        <v>85</v>
      </c>
      <c r="D222" s="3" t="s">
        <v>86</v>
      </c>
    </row>
    <row r="223" spans="1:4">
      <c r="A223" s="3">
        <v>274</v>
      </c>
      <c r="B223" s="3">
        <v>43.97</v>
      </c>
      <c r="C223" s="3" t="s">
        <v>85</v>
      </c>
      <c r="D223" s="3" t="s">
        <v>86</v>
      </c>
    </row>
    <row r="224" spans="1:4">
      <c r="A224" s="3">
        <v>452</v>
      </c>
      <c r="B224" s="3">
        <v>43.97</v>
      </c>
      <c r="C224" s="3" t="s">
        <v>85</v>
      </c>
      <c r="D224" s="3" t="s">
        <v>86</v>
      </c>
    </row>
    <row r="225" spans="1:4">
      <c r="A225" s="3">
        <v>109</v>
      </c>
      <c r="B225" s="3">
        <v>43.95</v>
      </c>
      <c r="C225" s="3" t="s">
        <v>85</v>
      </c>
      <c r="D225" s="3" t="s">
        <v>86</v>
      </c>
    </row>
    <row r="226" spans="1:4">
      <c r="A226" s="3">
        <v>133</v>
      </c>
      <c r="B226" s="3">
        <v>43.83</v>
      </c>
      <c r="C226" s="3" t="s">
        <v>85</v>
      </c>
      <c r="D226" s="3" t="s">
        <v>86</v>
      </c>
    </row>
    <row r="227" spans="1:4">
      <c r="A227" s="3">
        <v>57</v>
      </c>
      <c r="B227" s="3">
        <v>43.73</v>
      </c>
      <c r="C227" s="3" t="s">
        <v>79</v>
      </c>
      <c r="D227" s="3" t="s">
        <v>100</v>
      </c>
    </row>
    <row r="228" spans="1:4">
      <c r="A228" s="3">
        <v>73</v>
      </c>
      <c r="B228" s="3">
        <v>43.73</v>
      </c>
      <c r="C228" s="3" t="s">
        <v>104</v>
      </c>
      <c r="D228" s="3" t="s">
        <v>100</v>
      </c>
    </row>
    <row r="229" spans="1:4">
      <c r="A229" s="3">
        <v>271</v>
      </c>
      <c r="B229" s="3">
        <v>43.73</v>
      </c>
      <c r="C229" s="3" t="s">
        <v>79</v>
      </c>
      <c r="D229" s="3" t="s">
        <v>86</v>
      </c>
    </row>
    <row r="230" spans="1:4">
      <c r="A230" s="3">
        <v>353</v>
      </c>
      <c r="B230" s="3">
        <v>43.73</v>
      </c>
      <c r="C230" s="3" t="s">
        <v>104</v>
      </c>
      <c r="D230" s="3" t="s">
        <v>100</v>
      </c>
    </row>
    <row r="231" spans="1:4">
      <c r="A231" s="3">
        <v>526</v>
      </c>
      <c r="B231" s="3">
        <v>43.73</v>
      </c>
      <c r="C231" s="3" t="s">
        <v>79</v>
      </c>
      <c r="D231" s="3" t="s">
        <v>100</v>
      </c>
    </row>
    <row r="232" spans="1:4">
      <c r="A232" s="3">
        <v>284</v>
      </c>
      <c r="B232" s="3">
        <v>43.69</v>
      </c>
      <c r="C232" s="3" t="s">
        <v>79</v>
      </c>
      <c r="D232" s="3" t="s">
        <v>103</v>
      </c>
    </row>
    <row r="233" spans="1:4">
      <c r="A233" s="3">
        <v>391</v>
      </c>
      <c r="B233" s="3">
        <v>43.69</v>
      </c>
      <c r="C233" s="3" t="s">
        <v>79</v>
      </c>
      <c r="D233" s="3" t="s">
        <v>100</v>
      </c>
    </row>
    <row r="234" spans="1:4">
      <c r="A234" s="3">
        <v>426</v>
      </c>
      <c r="B234" s="3">
        <v>43.68</v>
      </c>
      <c r="C234" s="3" t="s">
        <v>79</v>
      </c>
      <c r="D234" s="3" t="s">
        <v>103</v>
      </c>
    </row>
    <row r="235" spans="1:4">
      <c r="A235" s="3">
        <v>600</v>
      </c>
      <c r="B235" s="3">
        <v>41.26</v>
      </c>
      <c r="C235" s="3" t="s">
        <v>85</v>
      </c>
      <c r="D235" s="3" t="s">
        <v>88</v>
      </c>
    </row>
    <row r="236" spans="1:4">
      <c r="A236" s="3">
        <v>537</v>
      </c>
      <c r="B236" s="3">
        <v>43.52</v>
      </c>
      <c r="C236" s="3" t="s">
        <v>85</v>
      </c>
      <c r="D236" s="3" t="s">
        <v>86</v>
      </c>
    </row>
    <row r="237" spans="1:4">
      <c r="A237" s="3">
        <v>520</v>
      </c>
      <c r="B237" s="3">
        <v>43.51</v>
      </c>
      <c r="C237" s="3" t="s">
        <v>79</v>
      </c>
      <c r="D237" s="3" t="s">
        <v>105</v>
      </c>
    </row>
    <row r="238" spans="1:4">
      <c r="A238" s="3">
        <v>383</v>
      </c>
      <c r="B238" s="3">
        <v>43.48</v>
      </c>
      <c r="C238" s="3" t="s">
        <v>85</v>
      </c>
      <c r="D238" s="3" t="s">
        <v>86</v>
      </c>
    </row>
    <row r="239" spans="1:4">
      <c r="A239" s="3">
        <v>450</v>
      </c>
      <c r="B239" s="3">
        <v>43.3</v>
      </c>
      <c r="C239" s="3" t="s">
        <v>85</v>
      </c>
      <c r="D239" s="3" t="s">
        <v>86</v>
      </c>
    </row>
    <row r="240" spans="1:4">
      <c r="A240" s="3">
        <v>51</v>
      </c>
      <c r="B240" s="3">
        <v>43.26</v>
      </c>
      <c r="C240" s="3" t="s">
        <v>79</v>
      </c>
      <c r="D240" s="3" t="s">
        <v>88</v>
      </c>
    </row>
    <row r="241" spans="1:4">
      <c r="A241" s="3">
        <v>247</v>
      </c>
      <c r="B241" s="3">
        <v>43.26</v>
      </c>
      <c r="C241" s="3" t="s">
        <v>79</v>
      </c>
      <c r="D241" s="3" t="s">
        <v>88</v>
      </c>
    </row>
    <row r="242" spans="1:4">
      <c r="A242" s="3">
        <v>255</v>
      </c>
      <c r="B242" s="3">
        <v>43.26</v>
      </c>
      <c r="C242" s="3" t="s">
        <v>79</v>
      </c>
      <c r="D242" s="3" t="s">
        <v>88</v>
      </c>
    </row>
    <row r="243" spans="1:4">
      <c r="A243" s="3">
        <v>256</v>
      </c>
      <c r="B243" s="3">
        <v>43.26</v>
      </c>
      <c r="C243" s="3" t="s">
        <v>79</v>
      </c>
      <c r="D243" s="3" t="s">
        <v>88</v>
      </c>
    </row>
    <row r="244" spans="1:4">
      <c r="A244" s="3">
        <v>410</v>
      </c>
      <c r="B244" s="3">
        <v>43.21</v>
      </c>
      <c r="C244" s="3" t="s">
        <v>85</v>
      </c>
      <c r="D244" s="3" t="s">
        <v>86</v>
      </c>
    </row>
    <row r="245" spans="1:4">
      <c r="A245" s="3">
        <v>433</v>
      </c>
      <c r="B245" s="3">
        <v>43.15</v>
      </c>
      <c r="C245" s="3" t="s">
        <v>79</v>
      </c>
      <c r="D245" s="3" t="s">
        <v>105</v>
      </c>
    </row>
    <row r="246" spans="1:4">
      <c r="A246" s="3">
        <v>493</v>
      </c>
      <c r="B246" s="3">
        <v>43.14</v>
      </c>
      <c r="C246" s="3" t="s">
        <v>79</v>
      </c>
      <c r="D246" s="3" t="s">
        <v>86</v>
      </c>
    </row>
    <row r="247" spans="1:4">
      <c r="A247" s="3">
        <v>3</v>
      </c>
      <c r="B247" s="3">
        <v>43.13</v>
      </c>
      <c r="C247" s="3" t="s">
        <v>79</v>
      </c>
      <c r="D247" s="3" t="s">
        <v>103</v>
      </c>
    </row>
    <row r="248" spans="1:4">
      <c r="A248" s="3">
        <v>500</v>
      </c>
      <c r="B248" s="3">
        <v>43.13</v>
      </c>
      <c r="C248" s="3"/>
      <c r="D248" s="3" t="s">
        <v>103</v>
      </c>
    </row>
    <row r="249" spans="1:4">
      <c r="A249" s="3">
        <v>531</v>
      </c>
      <c r="B249" s="3">
        <v>43.13</v>
      </c>
      <c r="C249" s="3"/>
      <c r="D249" s="3" t="s">
        <v>86</v>
      </c>
    </row>
    <row r="250" spans="1:4">
      <c r="A250" s="3">
        <v>108</v>
      </c>
      <c r="B250" s="3">
        <v>43.12</v>
      </c>
      <c r="C250" s="3" t="s">
        <v>79</v>
      </c>
      <c r="D250" s="3"/>
    </row>
    <row r="251" spans="1:4">
      <c r="A251" s="3">
        <v>7</v>
      </c>
      <c r="B251" s="3">
        <v>43.03</v>
      </c>
      <c r="C251" s="3" t="s">
        <v>79</v>
      </c>
      <c r="D251" s="3" t="s">
        <v>103</v>
      </c>
    </row>
    <row r="252" spans="1:4">
      <c r="A252" s="3">
        <v>162</v>
      </c>
      <c r="B252" s="3">
        <v>43.03</v>
      </c>
      <c r="C252" s="3" t="s">
        <v>79</v>
      </c>
      <c r="D252" s="3" t="s">
        <v>103</v>
      </c>
    </row>
    <row r="253" spans="1:4">
      <c r="A253" s="3">
        <v>381</v>
      </c>
      <c r="B253" s="3">
        <v>43.03</v>
      </c>
      <c r="C253" s="3" t="s">
        <v>79</v>
      </c>
      <c r="D253" s="3" t="s">
        <v>103</v>
      </c>
    </row>
    <row r="254" spans="1:4">
      <c r="A254" s="3">
        <v>213</v>
      </c>
      <c r="B254" s="3">
        <v>43.01</v>
      </c>
      <c r="C254" s="3" t="s">
        <v>79</v>
      </c>
      <c r="D254" s="3" t="s">
        <v>88</v>
      </c>
    </row>
    <row r="255" spans="1:4">
      <c r="A255" s="3">
        <v>90</v>
      </c>
      <c r="B255" s="3">
        <v>43</v>
      </c>
      <c r="C255" s="3" t="s">
        <v>85</v>
      </c>
      <c r="D255" s="3" t="s">
        <v>103</v>
      </c>
    </row>
    <row r="256" spans="1:4">
      <c r="A256" s="3">
        <v>549</v>
      </c>
      <c r="B256" s="3">
        <v>43</v>
      </c>
      <c r="C256" s="3" t="s">
        <v>85</v>
      </c>
      <c r="D256" s="3" t="s">
        <v>103</v>
      </c>
    </row>
    <row r="257" spans="1:4">
      <c r="A257" s="3">
        <v>314</v>
      </c>
      <c r="B257" s="3">
        <v>41.37</v>
      </c>
      <c r="C257" s="3" t="s">
        <v>85</v>
      </c>
      <c r="D257" s="3" t="s">
        <v>88</v>
      </c>
    </row>
    <row r="258" spans="1:4">
      <c r="A258" s="3">
        <v>67</v>
      </c>
      <c r="B258" s="3">
        <v>41.5</v>
      </c>
      <c r="C258" s="3" t="s">
        <v>85</v>
      </c>
      <c r="D258" s="3" t="s">
        <v>88</v>
      </c>
    </row>
    <row r="259" spans="1:4">
      <c r="A259" s="3">
        <v>59</v>
      </c>
      <c r="B259" s="3">
        <v>42.92</v>
      </c>
      <c r="C259" s="3" t="s">
        <v>85</v>
      </c>
      <c r="D259" s="3" t="s">
        <v>88</v>
      </c>
    </row>
    <row r="260" spans="1:4">
      <c r="A260" s="3">
        <v>333</v>
      </c>
      <c r="B260" s="3">
        <v>42.92</v>
      </c>
      <c r="C260" s="3" t="s">
        <v>79</v>
      </c>
      <c r="D260" s="3" t="s">
        <v>88</v>
      </c>
    </row>
    <row r="261" spans="1:4">
      <c r="A261" s="3">
        <v>390</v>
      </c>
      <c r="B261" s="3">
        <v>42.92</v>
      </c>
      <c r="C261" s="3" t="s">
        <v>79</v>
      </c>
      <c r="D261" s="3" t="s">
        <v>100</v>
      </c>
    </row>
    <row r="262" spans="1:4">
      <c r="A262" s="3">
        <v>75</v>
      </c>
      <c r="B262" s="3">
        <v>42.92</v>
      </c>
      <c r="C262" s="3" t="s">
        <v>85</v>
      </c>
      <c r="D262" s="3" t="s">
        <v>88</v>
      </c>
    </row>
    <row r="263" spans="1:4">
      <c r="A263" s="3">
        <v>456</v>
      </c>
      <c r="B263" s="3">
        <v>42.92</v>
      </c>
      <c r="C263" s="3" t="s">
        <v>79</v>
      </c>
      <c r="D263" s="3" t="s">
        <v>80</v>
      </c>
    </row>
    <row r="264" spans="1:4">
      <c r="A264" s="3">
        <v>502</v>
      </c>
      <c r="B264" s="3">
        <v>42.92</v>
      </c>
      <c r="C264" s="3" t="s">
        <v>79</v>
      </c>
      <c r="D264" s="3" t="s">
        <v>88</v>
      </c>
    </row>
    <row r="265" spans="1:4">
      <c r="A265" s="3">
        <v>84</v>
      </c>
      <c r="B265" s="3">
        <v>42.92</v>
      </c>
      <c r="C265" s="3" t="s">
        <v>85</v>
      </c>
      <c r="D265" s="3" t="s">
        <v>88</v>
      </c>
    </row>
    <row r="266" spans="1:4">
      <c r="A266" s="3">
        <v>33</v>
      </c>
      <c r="B266" s="3">
        <v>42.91</v>
      </c>
      <c r="C266" s="3" t="s">
        <v>79</v>
      </c>
      <c r="D266" s="3" t="s">
        <v>100</v>
      </c>
    </row>
    <row r="267" spans="1:4">
      <c r="A267" s="3">
        <v>196</v>
      </c>
      <c r="B267" s="3">
        <v>42.88</v>
      </c>
      <c r="C267" s="3" t="s">
        <v>79</v>
      </c>
      <c r="D267" s="3" t="s">
        <v>86</v>
      </c>
    </row>
    <row r="268" spans="1:4">
      <c r="A268" s="3">
        <v>60</v>
      </c>
      <c r="B268" s="3">
        <v>42.85</v>
      </c>
      <c r="C268" s="3" t="s">
        <v>79</v>
      </c>
      <c r="D268" s="3" t="s">
        <v>105</v>
      </c>
    </row>
    <row r="269" spans="1:4">
      <c r="A269" s="3">
        <v>405</v>
      </c>
      <c r="B269" s="3">
        <v>42.85</v>
      </c>
      <c r="C269" s="3" t="s">
        <v>79</v>
      </c>
      <c r="D269" s="3" t="s">
        <v>105</v>
      </c>
    </row>
    <row r="270" spans="1:4">
      <c r="A270" s="3">
        <v>479</v>
      </c>
      <c r="B270" s="3">
        <v>42.85</v>
      </c>
      <c r="C270" s="3"/>
      <c r="D270" s="3" t="s">
        <v>100</v>
      </c>
    </row>
    <row r="271" spans="1:4">
      <c r="A271" s="3">
        <v>543</v>
      </c>
      <c r="B271" s="3">
        <v>42.85</v>
      </c>
      <c r="C271" s="3" t="s">
        <v>85</v>
      </c>
      <c r="D271" s="3" t="s">
        <v>105</v>
      </c>
    </row>
    <row r="272" spans="1:4">
      <c r="A272" s="3">
        <v>173</v>
      </c>
      <c r="B272" s="3">
        <v>42.84</v>
      </c>
      <c r="C272" s="3" t="s">
        <v>79</v>
      </c>
      <c r="D272" s="3" t="s">
        <v>100</v>
      </c>
    </row>
    <row r="273" spans="1:4">
      <c r="A273" s="3">
        <v>342</v>
      </c>
      <c r="B273" s="3">
        <v>42.71</v>
      </c>
      <c r="C273" s="3" t="s">
        <v>79</v>
      </c>
      <c r="D273" s="3" t="s">
        <v>88</v>
      </c>
    </row>
    <row r="274" spans="1:4">
      <c r="A274" s="3">
        <v>516</v>
      </c>
      <c r="B274" s="3">
        <v>42.71</v>
      </c>
      <c r="C274" s="3" t="s">
        <v>79</v>
      </c>
      <c r="D274" s="3" t="s">
        <v>105</v>
      </c>
    </row>
    <row r="275" spans="1:4">
      <c r="A275" s="3">
        <v>550</v>
      </c>
      <c r="B275" s="3">
        <v>42.68</v>
      </c>
      <c r="C275" s="3" t="s">
        <v>85</v>
      </c>
      <c r="D275" s="3" t="s">
        <v>100</v>
      </c>
    </row>
    <row r="276" spans="1:4">
      <c r="A276" s="3">
        <v>116</v>
      </c>
      <c r="B276" s="3">
        <v>42.61</v>
      </c>
      <c r="C276" s="3" t="s">
        <v>85</v>
      </c>
      <c r="D276" s="3" t="s">
        <v>86</v>
      </c>
    </row>
    <row r="277" spans="1:4">
      <c r="A277" s="3">
        <v>438</v>
      </c>
      <c r="B277" s="3">
        <v>42.6</v>
      </c>
      <c r="C277" s="3" t="s">
        <v>85</v>
      </c>
      <c r="D277" s="3" t="s">
        <v>86</v>
      </c>
    </row>
    <row r="278" spans="1:4">
      <c r="A278" s="3">
        <v>340</v>
      </c>
      <c r="B278" s="3">
        <v>42.59</v>
      </c>
      <c r="C278" s="3" t="s">
        <v>79</v>
      </c>
      <c r="D278" s="3" t="s">
        <v>88</v>
      </c>
    </row>
    <row r="279" spans="1:4">
      <c r="A279" s="3">
        <v>24</v>
      </c>
      <c r="B279" s="3">
        <v>42.58</v>
      </c>
      <c r="C279" s="3"/>
      <c r="D279" s="3" t="s">
        <v>103</v>
      </c>
    </row>
    <row r="280" spans="1:4">
      <c r="A280" s="3">
        <v>126</v>
      </c>
      <c r="B280" s="3">
        <v>42.58</v>
      </c>
      <c r="C280" s="3" t="s">
        <v>85</v>
      </c>
      <c r="D280" s="3" t="s">
        <v>103</v>
      </c>
    </row>
    <row r="281" spans="1:4">
      <c r="A281" s="3">
        <v>172</v>
      </c>
      <c r="B281" s="3">
        <v>42.55</v>
      </c>
      <c r="C281" s="3" t="s">
        <v>79</v>
      </c>
      <c r="D281" s="3" t="s">
        <v>105</v>
      </c>
    </row>
    <row r="282" spans="1:4">
      <c r="A282" s="3">
        <v>19</v>
      </c>
      <c r="B282" s="3">
        <v>42.53</v>
      </c>
      <c r="C282" s="3" t="s">
        <v>85</v>
      </c>
      <c r="D282" s="3" t="s">
        <v>86</v>
      </c>
    </row>
    <row r="283" spans="1:4">
      <c r="A283" s="3">
        <v>206</v>
      </c>
      <c r="B283" s="3">
        <v>42.53</v>
      </c>
      <c r="C283" s="3" t="s">
        <v>85</v>
      </c>
      <c r="D283" s="3" t="s">
        <v>86</v>
      </c>
    </row>
    <row r="284" spans="1:4">
      <c r="A284" s="3">
        <v>601</v>
      </c>
      <c r="B284" s="3">
        <v>42.53</v>
      </c>
      <c r="C284" s="3" t="s">
        <v>85</v>
      </c>
      <c r="D284" s="3" t="s">
        <v>86</v>
      </c>
    </row>
    <row r="285" spans="1:4">
      <c r="A285" s="3">
        <v>306</v>
      </c>
      <c r="B285" s="3">
        <v>42.4</v>
      </c>
      <c r="C285" s="3" t="s">
        <v>85</v>
      </c>
      <c r="D285" s="3" t="s">
        <v>86</v>
      </c>
    </row>
    <row r="286" spans="1:4">
      <c r="A286" s="3">
        <v>503</v>
      </c>
      <c r="B286" s="3">
        <v>42.21</v>
      </c>
      <c r="C286" s="3" t="s">
        <v>104</v>
      </c>
      <c r="D286" s="3" t="s">
        <v>88</v>
      </c>
    </row>
    <row r="287" spans="1:4">
      <c r="A287" s="3">
        <v>343</v>
      </c>
      <c r="B287" s="3">
        <v>42.2</v>
      </c>
      <c r="C287" s="3" t="s">
        <v>104</v>
      </c>
      <c r="D287" s="3" t="s">
        <v>80</v>
      </c>
    </row>
    <row r="288" spans="1:4">
      <c r="A288" s="3">
        <v>26</v>
      </c>
      <c r="B288" s="3">
        <v>42.18</v>
      </c>
      <c r="C288" s="3" t="s">
        <v>85</v>
      </c>
      <c r="D288" s="3" t="s">
        <v>86</v>
      </c>
    </row>
    <row r="289" spans="1:4">
      <c r="A289" s="3">
        <v>139</v>
      </c>
      <c r="B289" s="3">
        <v>42.18</v>
      </c>
      <c r="C289" s="3"/>
      <c r="D289" s="3" t="s">
        <v>86</v>
      </c>
    </row>
    <row r="290" spans="1:4">
      <c r="A290" s="3">
        <v>211</v>
      </c>
      <c r="B290" s="3">
        <v>42.18</v>
      </c>
      <c r="C290" s="3" t="s">
        <v>85</v>
      </c>
      <c r="D290" s="3" t="s">
        <v>86</v>
      </c>
    </row>
    <row r="291" spans="1:4">
      <c r="A291" s="3">
        <v>285</v>
      </c>
      <c r="B291" s="3">
        <v>42.18</v>
      </c>
      <c r="C291" s="3" t="s">
        <v>79</v>
      </c>
      <c r="D291" s="3" t="s">
        <v>86</v>
      </c>
    </row>
    <row r="292" spans="1:4">
      <c r="A292" s="3">
        <v>440</v>
      </c>
      <c r="B292" s="3">
        <v>42.18</v>
      </c>
      <c r="C292" s="3" t="s">
        <v>79</v>
      </c>
      <c r="D292" s="3" t="s">
        <v>86</v>
      </c>
    </row>
    <row r="293" spans="1:4">
      <c r="A293" s="3">
        <v>489</v>
      </c>
      <c r="B293" s="3">
        <v>42.18</v>
      </c>
      <c r="C293" s="3" t="s">
        <v>85</v>
      </c>
      <c r="D293" s="3" t="s">
        <v>86</v>
      </c>
    </row>
    <row r="294" spans="1:4">
      <c r="A294" s="3">
        <v>382</v>
      </c>
      <c r="B294" s="3">
        <v>42.17</v>
      </c>
      <c r="C294" s="3" t="s">
        <v>85</v>
      </c>
      <c r="D294" s="3" t="s">
        <v>86</v>
      </c>
    </row>
    <row r="295" spans="1:4">
      <c r="A295" s="3">
        <v>377</v>
      </c>
      <c r="B295" s="3">
        <v>42.14</v>
      </c>
      <c r="C295" s="3" t="s">
        <v>85</v>
      </c>
      <c r="D295" s="3" t="s">
        <v>86</v>
      </c>
    </row>
    <row r="296" spans="1:4">
      <c r="A296" s="3">
        <v>111</v>
      </c>
      <c r="B296" s="3">
        <v>42.04</v>
      </c>
      <c r="C296" s="3" t="s">
        <v>85</v>
      </c>
      <c r="D296" s="3" t="s">
        <v>86</v>
      </c>
    </row>
    <row r="297" spans="1:4">
      <c r="A297" s="3">
        <v>140</v>
      </c>
      <c r="B297" s="3">
        <v>42.03</v>
      </c>
      <c r="C297" s="3" t="s">
        <v>85</v>
      </c>
      <c r="D297" s="3" t="s">
        <v>86</v>
      </c>
    </row>
    <row r="298" spans="1:4">
      <c r="A298" s="3">
        <v>286</v>
      </c>
      <c r="B298" s="3">
        <v>42</v>
      </c>
      <c r="C298" s="3" t="s">
        <v>85</v>
      </c>
      <c r="D298" s="3" t="s">
        <v>103</v>
      </c>
    </row>
    <row r="299" spans="1:4">
      <c r="A299" s="3">
        <v>260</v>
      </c>
      <c r="B299" s="3">
        <v>41.99</v>
      </c>
      <c r="C299" s="3" t="s">
        <v>85</v>
      </c>
      <c r="D299" s="3" t="s">
        <v>86</v>
      </c>
    </row>
    <row r="300" spans="1:4">
      <c r="A300" s="3">
        <v>464</v>
      </c>
      <c r="B300" s="3">
        <v>41.95</v>
      </c>
      <c r="C300" s="3" t="s">
        <v>79</v>
      </c>
      <c r="D300" s="3" t="s">
        <v>80</v>
      </c>
    </row>
    <row r="301" spans="1:4">
      <c r="A301" s="3">
        <v>89</v>
      </c>
      <c r="B301" s="3">
        <v>41.93</v>
      </c>
      <c r="C301" s="3" t="s">
        <v>79</v>
      </c>
      <c r="D301" s="3"/>
    </row>
    <row r="302" spans="1:4">
      <c r="A302" s="3">
        <v>497</v>
      </c>
      <c r="B302" s="3">
        <v>41.89</v>
      </c>
      <c r="C302" s="3" t="s">
        <v>85</v>
      </c>
      <c r="D302" s="3" t="s">
        <v>100</v>
      </c>
    </row>
    <row r="303" spans="1:4">
      <c r="A303" s="3">
        <v>87</v>
      </c>
      <c r="B303" s="3">
        <v>41.88</v>
      </c>
      <c r="C303" s="3" t="s">
        <v>85</v>
      </c>
      <c r="D303" s="3" t="s">
        <v>100</v>
      </c>
    </row>
    <row r="304" spans="1:4">
      <c r="A304" s="3">
        <v>208</v>
      </c>
      <c r="B304" s="3">
        <v>41.88</v>
      </c>
      <c r="C304" s="3" t="s">
        <v>79</v>
      </c>
      <c r="D304" s="3" t="s">
        <v>86</v>
      </c>
    </row>
    <row r="305" spans="1:4">
      <c r="A305" s="3">
        <v>199</v>
      </c>
      <c r="B305" s="3">
        <v>41.87</v>
      </c>
      <c r="C305" s="3" t="s">
        <v>85</v>
      </c>
      <c r="D305" s="3" t="s">
        <v>86</v>
      </c>
    </row>
    <row r="306" spans="1:4">
      <c r="A306" s="3">
        <v>237</v>
      </c>
      <c r="B306" s="3">
        <v>41.77</v>
      </c>
      <c r="C306" s="3" t="s">
        <v>85</v>
      </c>
      <c r="D306" s="3" t="s">
        <v>86</v>
      </c>
    </row>
    <row r="307" spans="1:4">
      <c r="A307" s="3">
        <v>183</v>
      </c>
      <c r="B307" s="3">
        <v>41.65</v>
      </c>
      <c r="C307" s="3" t="s">
        <v>79</v>
      </c>
      <c r="D307" s="3" t="s">
        <v>86</v>
      </c>
    </row>
    <row r="308" spans="1:4">
      <c r="A308" s="3">
        <v>270</v>
      </c>
      <c r="B308" s="3">
        <v>41.65</v>
      </c>
      <c r="C308" s="3" t="s">
        <v>79</v>
      </c>
      <c r="D308" s="3" t="s">
        <v>88</v>
      </c>
    </row>
    <row r="309" spans="1:4">
      <c r="A309" s="3">
        <v>430</v>
      </c>
      <c r="B309" s="3">
        <v>42.92</v>
      </c>
      <c r="C309" s="3" t="s">
        <v>85</v>
      </c>
      <c r="D309" s="3" t="s">
        <v>88</v>
      </c>
    </row>
    <row r="310" spans="1:4">
      <c r="A310" s="3">
        <v>296</v>
      </c>
      <c r="B310" s="3">
        <v>41.5</v>
      </c>
      <c r="C310" s="3" t="s">
        <v>85</v>
      </c>
      <c r="D310" s="3" t="s">
        <v>86</v>
      </c>
    </row>
    <row r="311" spans="1:4">
      <c r="A311" s="3">
        <v>548</v>
      </c>
      <c r="B311" s="3">
        <v>42.92</v>
      </c>
      <c r="C311" s="3" t="s">
        <v>85</v>
      </c>
      <c r="D311" s="3" t="s">
        <v>88</v>
      </c>
    </row>
    <row r="312" spans="1:4">
      <c r="A312" s="3">
        <v>43</v>
      </c>
      <c r="B312" s="3">
        <v>41.26</v>
      </c>
      <c r="C312" s="3" t="s">
        <v>104</v>
      </c>
      <c r="D312" s="3" t="s">
        <v>88</v>
      </c>
    </row>
    <row r="313" spans="1:4">
      <c r="A313" s="3">
        <v>82</v>
      </c>
      <c r="B313" s="3">
        <v>41.26</v>
      </c>
      <c r="C313" s="3" t="s">
        <v>104</v>
      </c>
      <c r="D313" s="3" t="s">
        <v>105</v>
      </c>
    </row>
    <row r="314" spans="1:4">
      <c r="A314" s="3">
        <v>147</v>
      </c>
      <c r="B314" s="3">
        <v>41.26</v>
      </c>
      <c r="C314" s="3" t="s">
        <v>85</v>
      </c>
      <c r="D314" s="3" t="s">
        <v>105</v>
      </c>
    </row>
    <row r="315" spans="1:4">
      <c r="A315" s="3">
        <v>238</v>
      </c>
      <c r="B315" s="3">
        <v>41.26</v>
      </c>
      <c r="C315" s="3" t="s">
        <v>104</v>
      </c>
      <c r="D315" s="3" t="s">
        <v>88</v>
      </c>
    </row>
    <row r="316" spans="1:4">
      <c r="A316" s="3">
        <v>283</v>
      </c>
      <c r="B316" s="3">
        <v>41.26</v>
      </c>
      <c r="C316" s="3" t="s">
        <v>79</v>
      </c>
      <c r="D316" s="3" t="s">
        <v>100</v>
      </c>
    </row>
    <row r="317" spans="1:4">
      <c r="A317" s="3">
        <v>5</v>
      </c>
      <c r="B317" s="3">
        <v>43.62</v>
      </c>
      <c r="C317" s="3" t="s">
        <v>85</v>
      </c>
      <c r="D317" s="3" t="s">
        <v>88</v>
      </c>
    </row>
    <row r="318" spans="1:4">
      <c r="A318" s="3">
        <v>484</v>
      </c>
      <c r="B318" s="3">
        <v>41.26</v>
      </c>
      <c r="C318" s="3" t="s">
        <v>79</v>
      </c>
      <c r="D318" s="3" t="s">
        <v>88</v>
      </c>
    </row>
    <row r="319" spans="1:4">
      <c r="A319" s="3">
        <v>568</v>
      </c>
      <c r="B319" s="3">
        <v>41.26</v>
      </c>
      <c r="C319" s="3" t="s">
        <v>85</v>
      </c>
      <c r="D319" s="3" t="s">
        <v>86</v>
      </c>
    </row>
    <row r="320" spans="1:4">
      <c r="A320" s="3">
        <v>236</v>
      </c>
      <c r="B320" s="3">
        <v>44.54</v>
      </c>
      <c r="C320" s="3" t="s">
        <v>85</v>
      </c>
      <c r="D320" s="3" t="s">
        <v>88</v>
      </c>
    </row>
    <row r="321" spans="1:4">
      <c r="A321" s="3">
        <v>178</v>
      </c>
      <c r="B321" s="3">
        <v>41.25</v>
      </c>
      <c r="C321" s="3" t="s">
        <v>85</v>
      </c>
      <c r="D321" s="3" t="s">
        <v>86</v>
      </c>
    </row>
    <row r="322" spans="1:4">
      <c r="A322" s="3">
        <v>265</v>
      </c>
      <c r="B322" s="3">
        <v>41.2</v>
      </c>
      <c r="C322" s="3" t="s">
        <v>79</v>
      </c>
      <c r="D322" s="3" t="s">
        <v>105</v>
      </c>
    </row>
    <row r="323" spans="1:4">
      <c r="A323" s="3">
        <v>319</v>
      </c>
      <c r="B323" s="3">
        <v>41.2</v>
      </c>
      <c r="C323" s="3" t="s">
        <v>79</v>
      </c>
      <c r="D323" s="3" t="s">
        <v>105</v>
      </c>
    </row>
    <row r="324" spans="1:4">
      <c r="A324" s="3">
        <v>330</v>
      </c>
      <c r="B324" s="3">
        <v>41.18</v>
      </c>
      <c r="C324" s="3" t="s">
        <v>79</v>
      </c>
      <c r="D324" s="3" t="s">
        <v>80</v>
      </c>
    </row>
    <row r="325" spans="1:4">
      <c r="A325" s="3">
        <v>542</v>
      </c>
      <c r="B325" s="3">
        <v>41.18</v>
      </c>
      <c r="C325" s="3" t="s">
        <v>79</v>
      </c>
      <c r="D325" s="3" t="s">
        <v>80</v>
      </c>
    </row>
    <row r="326" spans="1:4">
      <c r="A326" s="3">
        <v>96</v>
      </c>
      <c r="B326" s="3">
        <v>41.14</v>
      </c>
      <c r="C326" s="3" t="s">
        <v>79</v>
      </c>
      <c r="D326" s="3" t="s">
        <v>86</v>
      </c>
    </row>
    <row r="327" spans="1:4">
      <c r="A327" s="3">
        <v>512</v>
      </c>
      <c r="B327" s="3">
        <v>41.11</v>
      </c>
      <c r="C327" s="3" t="s">
        <v>104</v>
      </c>
      <c r="D327" s="3" t="s">
        <v>88</v>
      </c>
    </row>
    <row r="328" spans="1:4">
      <c r="A328" s="3">
        <v>132</v>
      </c>
      <c r="B328" s="3">
        <v>41.06</v>
      </c>
      <c r="C328" s="3" t="s">
        <v>79</v>
      </c>
      <c r="D328" s="3" t="s">
        <v>105</v>
      </c>
    </row>
    <row r="329" spans="1:4">
      <c r="A329" s="3">
        <v>194</v>
      </c>
      <c r="B329" s="3">
        <v>41.06</v>
      </c>
      <c r="C329" s="3" t="s">
        <v>79</v>
      </c>
      <c r="D329" s="3" t="s">
        <v>105</v>
      </c>
    </row>
    <row r="330" spans="1:4">
      <c r="A330" s="3">
        <v>397</v>
      </c>
      <c r="B330" s="3">
        <v>41.06</v>
      </c>
      <c r="C330" s="3" t="s">
        <v>85</v>
      </c>
      <c r="D330" s="3" t="s">
        <v>103</v>
      </c>
    </row>
    <row r="331" spans="1:4">
      <c r="A331" s="3">
        <v>230</v>
      </c>
      <c r="B331" s="3">
        <v>46.1</v>
      </c>
      <c r="C331" s="3" t="s">
        <v>85</v>
      </c>
      <c r="D331" s="3" t="s">
        <v>88</v>
      </c>
    </row>
    <row r="332" spans="1:4">
      <c r="A332" s="3">
        <v>249</v>
      </c>
      <c r="B332" s="3">
        <v>41</v>
      </c>
      <c r="C332" s="3" t="s">
        <v>85</v>
      </c>
      <c r="D332" s="3" t="s">
        <v>86</v>
      </c>
    </row>
    <row r="333" spans="1:4">
      <c r="A333" s="3">
        <v>309</v>
      </c>
      <c r="B333" s="3">
        <v>41</v>
      </c>
      <c r="C333" s="3" t="s">
        <v>85</v>
      </c>
      <c r="D333" s="3" t="s">
        <v>86</v>
      </c>
    </row>
    <row r="334" spans="1:4">
      <c r="A334" s="3">
        <v>585</v>
      </c>
      <c r="B334" s="3">
        <v>41</v>
      </c>
      <c r="C334" s="3" t="s">
        <v>85</v>
      </c>
      <c r="D334" s="3" t="s">
        <v>86</v>
      </c>
    </row>
    <row r="335" spans="1:4">
      <c r="A335" s="3">
        <v>583</v>
      </c>
      <c r="B335" s="3">
        <v>40.97</v>
      </c>
      <c r="C335" s="3" t="s">
        <v>79</v>
      </c>
      <c r="D335" s="3" t="s">
        <v>86</v>
      </c>
    </row>
    <row r="336" spans="1:4">
      <c r="A336" s="3">
        <v>8</v>
      </c>
      <c r="B336" s="3">
        <v>40.96</v>
      </c>
      <c r="C336" s="3" t="s">
        <v>79</v>
      </c>
      <c r="D336" s="3" t="s">
        <v>105</v>
      </c>
    </row>
    <row r="337" spans="1:4">
      <c r="A337" s="3">
        <v>350</v>
      </c>
      <c r="B337" s="3">
        <v>40.96</v>
      </c>
      <c r="C337" s="3" t="s">
        <v>79</v>
      </c>
      <c r="D337" s="3" t="s">
        <v>105</v>
      </c>
    </row>
    <row r="338" spans="1:4">
      <c r="A338" s="3">
        <v>414</v>
      </c>
      <c r="B338" s="3">
        <v>40.96</v>
      </c>
      <c r="C338" s="3" t="s">
        <v>79</v>
      </c>
      <c r="D338" s="3" t="s">
        <v>105</v>
      </c>
    </row>
    <row r="339" spans="1:4">
      <c r="A339" s="3">
        <v>364</v>
      </c>
      <c r="B339" s="3">
        <v>40.92</v>
      </c>
      <c r="C339" s="3" t="s">
        <v>85</v>
      </c>
      <c r="D339" s="3" t="s">
        <v>100</v>
      </c>
    </row>
    <row r="340" spans="1:4">
      <c r="A340" s="3">
        <v>480</v>
      </c>
      <c r="B340" s="3">
        <v>40.92</v>
      </c>
      <c r="C340" s="3" t="s">
        <v>85</v>
      </c>
      <c r="D340" s="3" t="s">
        <v>86</v>
      </c>
    </row>
    <row r="341" spans="1:4">
      <c r="A341" s="3">
        <v>229</v>
      </c>
      <c r="B341" s="3">
        <v>40.880000000000003</v>
      </c>
      <c r="C341" s="3" t="s">
        <v>85</v>
      </c>
      <c r="D341" s="3" t="s">
        <v>86</v>
      </c>
    </row>
    <row r="342" spans="1:4">
      <c r="A342" s="3">
        <v>191</v>
      </c>
      <c r="B342" s="3">
        <v>40.76</v>
      </c>
      <c r="C342" s="3" t="s">
        <v>79</v>
      </c>
      <c r="D342" s="3" t="s">
        <v>80</v>
      </c>
    </row>
    <row r="343" spans="1:4">
      <c r="A343" s="3">
        <v>488</v>
      </c>
      <c r="B343" s="3">
        <v>40.619999999999997</v>
      </c>
      <c r="C343" s="3" t="s">
        <v>79</v>
      </c>
      <c r="D343" s="3" t="s">
        <v>88</v>
      </c>
    </row>
    <row r="344" spans="1:4">
      <c r="A344" s="3">
        <v>303</v>
      </c>
      <c r="B344" s="3">
        <v>40.51</v>
      </c>
      <c r="C344" s="3" t="s">
        <v>85</v>
      </c>
      <c r="D344" s="3" t="s">
        <v>86</v>
      </c>
    </row>
    <row r="345" spans="1:4">
      <c r="A345" s="3">
        <v>149</v>
      </c>
      <c r="B345" s="3">
        <v>40.479999999999997</v>
      </c>
      <c r="C345" s="3" t="s">
        <v>85</v>
      </c>
      <c r="D345" s="3" t="s">
        <v>86</v>
      </c>
    </row>
    <row r="346" spans="1:4">
      <c r="A346" s="3">
        <v>153</v>
      </c>
      <c r="B346" s="3">
        <v>40.479999999999997</v>
      </c>
      <c r="C346" s="3" t="s">
        <v>79</v>
      </c>
      <c r="D346" s="3" t="s">
        <v>100</v>
      </c>
    </row>
    <row r="347" spans="1:4">
      <c r="A347" s="3">
        <v>203</v>
      </c>
      <c r="B347" s="3">
        <v>40.479999999999997</v>
      </c>
      <c r="C347" s="3" t="s">
        <v>79</v>
      </c>
      <c r="D347" s="3" t="s">
        <v>105</v>
      </c>
    </row>
    <row r="348" spans="1:4">
      <c r="A348" s="3">
        <v>287</v>
      </c>
      <c r="B348" s="3">
        <v>40.479999999999997</v>
      </c>
      <c r="C348" s="3" t="s">
        <v>79</v>
      </c>
      <c r="D348" s="3" t="s">
        <v>88</v>
      </c>
    </row>
    <row r="349" spans="1:4">
      <c r="A349" s="3">
        <v>302</v>
      </c>
      <c r="B349" s="3">
        <v>40.479999999999997</v>
      </c>
      <c r="C349" s="3" t="s">
        <v>104</v>
      </c>
      <c r="D349" s="3" t="s">
        <v>100</v>
      </c>
    </row>
    <row r="350" spans="1:4">
      <c r="A350" s="3">
        <v>310</v>
      </c>
      <c r="B350" s="3">
        <v>40.479999999999997</v>
      </c>
      <c r="C350" s="3" t="s">
        <v>85</v>
      </c>
      <c r="D350" s="3" t="s">
        <v>86</v>
      </c>
    </row>
    <row r="351" spans="1:4">
      <c r="A351" s="3">
        <v>429</v>
      </c>
      <c r="B351" s="3">
        <v>40.479999999999997</v>
      </c>
      <c r="C351" s="3" t="s">
        <v>79</v>
      </c>
      <c r="D351" s="3" t="s">
        <v>100</v>
      </c>
    </row>
    <row r="352" spans="1:4">
      <c r="A352" s="3">
        <v>439</v>
      </c>
      <c r="B352" s="3">
        <v>40.479999999999997</v>
      </c>
      <c r="C352" s="3" t="s">
        <v>85</v>
      </c>
      <c r="D352" s="3" t="s">
        <v>86</v>
      </c>
    </row>
    <row r="353" spans="1:4">
      <c r="A353" s="3">
        <v>442</v>
      </c>
      <c r="B353" s="3">
        <v>40.479999999999997</v>
      </c>
      <c r="C353" s="3" t="s">
        <v>79</v>
      </c>
      <c r="D353" s="3" t="s">
        <v>103</v>
      </c>
    </row>
    <row r="354" spans="1:4">
      <c r="A354" s="3">
        <v>461</v>
      </c>
      <c r="B354" s="3">
        <v>40.479999999999997</v>
      </c>
      <c r="C354" s="3" t="s">
        <v>79</v>
      </c>
      <c r="D354" s="3" t="s">
        <v>103</v>
      </c>
    </row>
    <row r="355" spans="1:4">
      <c r="A355" s="3">
        <v>533</v>
      </c>
      <c r="B355" s="3">
        <v>40.479999999999997</v>
      </c>
      <c r="C355" s="3" t="s">
        <v>79</v>
      </c>
      <c r="D355" s="3" t="s">
        <v>103</v>
      </c>
    </row>
    <row r="356" spans="1:4">
      <c r="A356" s="3">
        <v>551</v>
      </c>
      <c r="B356" s="3">
        <v>40.479999999999997</v>
      </c>
      <c r="C356" s="3" t="s">
        <v>104</v>
      </c>
      <c r="D356" s="3" t="s">
        <v>88</v>
      </c>
    </row>
    <row r="357" spans="1:4">
      <c r="A357" s="3">
        <v>560</v>
      </c>
      <c r="B357" s="3">
        <v>40.479999999999997</v>
      </c>
      <c r="C357" s="3" t="s">
        <v>104</v>
      </c>
      <c r="D357" s="3" t="s">
        <v>88</v>
      </c>
    </row>
    <row r="358" spans="1:4">
      <c r="A358" s="3">
        <v>591</v>
      </c>
      <c r="B358" s="3">
        <v>40.479999999999997</v>
      </c>
      <c r="C358" s="3" t="s">
        <v>79</v>
      </c>
      <c r="D358" s="3" t="s">
        <v>105</v>
      </c>
    </row>
    <row r="359" spans="1:4">
      <c r="A359" s="3">
        <v>154</v>
      </c>
      <c r="B359" s="3">
        <v>40.340000000000003</v>
      </c>
      <c r="C359" s="3" t="s">
        <v>79</v>
      </c>
      <c r="D359" s="3" t="s">
        <v>80</v>
      </c>
    </row>
    <row r="360" spans="1:4">
      <c r="A360" s="3">
        <v>297</v>
      </c>
      <c r="B360" s="3">
        <v>40.28</v>
      </c>
      <c r="C360" s="3" t="s">
        <v>85</v>
      </c>
      <c r="D360" s="3" t="s">
        <v>80</v>
      </c>
    </row>
    <row r="361" spans="1:4">
      <c r="A361" s="3">
        <v>192</v>
      </c>
      <c r="B361" s="3">
        <v>40.270000000000003</v>
      </c>
      <c r="C361" s="3" t="s">
        <v>79</v>
      </c>
      <c r="D361" s="3" t="s">
        <v>88</v>
      </c>
    </row>
    <row r="362" spans="1:4">
      <c r="A362" s="3">
        <v>102</v>
      </c>
      <c r="B362" s="3">
        <v>40.18</v>
      </c>
      <c r="C362" s="3" t="s">
        <v>79</v>
      </c>
      <c r="D362" s="3" t="s">
        <v>105</v>
      </c>
    </row>
    <row r="363" spans="1:4">
      <c r="A363" s="3">
        <v>115</v>
      </c>
      <c r="B363" s="3">
        <v>40.18</v>
      </c>
      <c r="C363" s="3" t="s">
        <v>79</v>
      </c>
      <c r="D363" s="3" t="s">
        <v>105</v>
      </c>
    </row>
    <row r="364" spans="1:4">
      <c r="A364" s="3">
        <v>138</v>
      </c>
      <c r="B364" s="3">
        <v>40.18</v>
      </c>
      <c r="C364" s="3" t="s">
        <v>79</v>
      </c>
      <c r="D364" s="3" t="s">
        <v>100</v>
      </c>
    </row>
    <row r="365" spans="1:4">
      <c r="A365" s="3">
        <v>166</v>
      </c>
      <c r="B365" s="3">
        <v>40.18</v>
      </c>
      <c r="C365" s="3" t="s">
        <v>79</v>
      </c>
      <c r="D365" s="3" t="s">
        <v>105</v>
      </c>
    </row>
    <row r="366" spans="1:4">
      <c r="A366" s="3">
        <v>177</v>
      </c>
      <c r="B366" s="3">
        <v>40.18</v>
      </c>
      <c r="C366" s="3" t="s">
        <v>79</v>
      </c>
      <c r="D366" s="3" t="s">
        <v>105</v>
      </c>
    </row>
    <row r="367" spans="1:4">
      <c r="A367" s="3">
        <v>195</v>
      </c>
      <c r="B367" s="3">
        <v>40.18</v>
      </c>
      <c r="C367" s="3" t="s">
        <v>79</v>
      </c>
      <c r="D367" s="3" t="s">
        <v>105</v>
      </c>
    </row>
    <row r="368" spans="1:4">
      <c r="A368" s="3">
        <v>329</v>
      </c>
      <c r="B368" s="3">
        <v>40.18</v>
      </c>
      <c r="C368" s="3" t="s">
        <v>79</v>
      </c>
      <c r="D368" s="3" t="s">
        <v>105</v>
      </c>
    </row>
    <row r="369" spans="1:4">
      <c r="A369" s="3">
        <v>411</v>
      </c>
      <c r="B369" s="3">
        <v>40.18</v>
      </c>
      <c r="C369" s="3" t="s">
        <v>85</v>
      </c>
      <c r="D369" s="3" t="s">
        <v>105</v>
      </c>
    </row>
    <row r="370" spans="1:4">
      <c r="A370" s="3">
        <v>486</v>
      </c>
      <c r="B370" s="3">
        <v>40.18</v>
      </c>
      <c r="C370" s="3" t="s">
        <v>79</v>
      </c>
      <c r="D370" s="3" t="s">
        <v>105</v>
      </c>
    </row>
    <row r="371" spans="1:4">
      <c r="A371" s="3">
        <v>509</v>
      </c>
      <c r="B371" s="3">
        <v>40.18</v>
      </c>
      <c r="C371" s="3" t="s">
        <v>79</v>
      </c>
      <c r="D371" s="3" t="s">
        <v>105</v>
      </c>
    </row>
    <row r="372" spans="1:4">
      <c r="A372" s="3">
        <v>527</v>
      </c>
      <c r="B372" s="3">
        <v>40.18</v>
      </c>
      <c r="C372" s="3" t="s">
        <v>79</v>
      </c>
      <c r="D372" s="3" t="s">
        <v>105</v>
      </c>
    </row>
    <row r="373" spans="1:4">
      <c r="A373" s="3">
        <v>529</v>
      </c>
      <c r="B373" s="3">
        <v>40.18</v>
      </c>
      <c r="C373" s="3" t="s">
        <v>79</v>
      </c>
      <c r="D373" s="3" t="s">
        <v>105</v>
      </c>
    </row>
    <row r="374" spans="1:4">
      <c r="A374" s="3">
        <v>569</v>
      </c>
      <c r="B374" s="3">
        <v>40.18</v>
      </c>
      <c r="C374" s="3" t="s">
        <v>79</v>
      </c>
      <c r="D374" s="3" t="s">
        <v>105</v>
      </c>
    </row>
    <row r="375" spans="1:4">
      <c r="A375" s="3">
        <v>38</v>
      </c>
      <c r="B375" s="3">
        <v>39.729999999999997</v>
      </c>
      <c r="C375" s="3" t="s">
        <v>79</v>
      </c>
      <c r="D375" s="3" t="s">
        <v>105</v>
      </c>
    </row>
    <row r="376" spans="1:4">
      <c r="A376" s="3">
        <v>335</v>
      </c>
      <c r="B376" s="3">
        <v>39.729999999999997</v>
      </c>
      <c r="C376" s="3" t="s">
        <v>79</v>
      </c>
      <c r="D376" s="3" t="s">
        <v>105</v>
      </c>
    </row>
    <row r="377" spans="1:4">
      <c r="A377" s="3">
        <v>220</v>
      </c>
      <c r="B377" s="3">
        <v>39.71</v>
      </c>
      <c r="C377" s="3" t="s">
        <v>85</v>
      </c>
      <c r="D377" s="3" t="s">
        <v>80</v>
      </c>
    </row>
    <row r="378" spans="1:4">
      <c r="A378" s="3">
        <v>375</v>
      </c>
      <c r="B378" s="3">
        <v>47</v>
      </c>
      <c r="C378" s="3" t="s">
        <v>85</v>
      </c>
      <c r="D378" s="3" t="s">
        <v>88</v>
      </c>
    </row>
    <row r="379" spans="1:4">
      <c r="A379" s="3">
        <v>322</v>
      </c>
      <c r="B379" s="3">
        <v>48</v>
      </c>
      <c r="C379" s="3" t="s">
        <v>85</v>
      </c>
      <c r="D379" s="3" t="s">
        <v>88</v>
      </c>
    </row>
    <row r="380" spans="1:4">
      <c r="A380" s="3">
        <v>501</v>
      </c>
      <c r="B380" s="3">
        <v>39.06</v>
      </c>
      <c r="C380" s="3" t="s">
        <v>79</v>
      </c>
      <c r="D380" s="3" t="s">
        <v>105</v>
      </c>
    </row>
    <row r="381" spans="1:4">
      <c r="A381" s="3">
        <v>174</v>
      </c>
      <c r="B381" s="3">
        <v>38.979999999999997</v>
      </c>
      <c r="C381" s="3" t="s">
        <v>79</v>
      </c>
      <c r="D381" s="3" t="s">
        <v>100</v>
      </c>
    </row>
    <row r="382" spans="1:4">
      <c r="A382" s="3">
        <v>218</v>
      </c>
      <c r="B382" s="3">
        <v>38.979999999999997</v>
      </c>
      <c r="C382" s="3" t="s">
        <v>79</v>
      </c>
      <c r="D382" s="3" t="s">
        <v>103</v>
      </c>
    </row>
    <row r="383" spans="1:4">
      <c r="A383" s="3">
        <v>565</v>
      </c>
      <c r="B383" s="3">
        <v>38.979999999999997</v>
      </c>
      <c r="C383" s="3"/>
      <c r="D383" s="3" t="s">
        <v>88</v>
      </c>
    </row>
    <row r="384" spans="1:4">
      <c r="A384" s="3">
        <v>9</v>
      </c>
      <c r="B384" s="3">
        <v>38.89</v>
      </c>
      <c r="C384" s="3" t="s">
        <v>79</v>
      </c>
      <c r="D384" s="3" t="s">
        <v>100</v>
      </c>
    </row>
    <row r="385" spans="1:4">
      <c r="A385" s="3">
        <v>522</v>
      </c>
      <c r="B385" s="3">
        <v>38.770000000000003</v>
      </c>
      <c r="C385" s="3" t="s">
        <v>79</v>
      </c>
      <c r="D385" s="3" t="s">
        <v>80</v>
      </c>
    </row>
    <row r="386" spans="1:4">
      <c r="A386" s="3">
        <v>41</v>
      </c>
      <c r="B386" s="3">
        <v>38.76</v>
      </c>
      <c r="C386" s="3" t="s">
        <v>79</v>
      </c>
      <c r="D386" s="3" t="s">
        <v>100</v>
      </c>
    </row>
    <row r="387" spans="1:4">
      <c r="A387" s="3">
        <v>386</v>
      </c>
      <c r="B387" s="3">
        <v>38.76</v>
      </c>
      <c r="C387" s="3" t="s">
        <v>79</v>
      </c>
      <c r="D387" s="3" t="s">
        <v>100</v>
      </c>
    </row>
    <row r="388" spans="1:4">
      <c r="A388" s="3">
        <v>393</v>
      </c>
      <c r="B388" s="3">
        <v>48</v>
      </c>
      <c r="C388" s="3" t="s">
        <v>85</v>
      </c>
      <c r="D388" s="3" t="s">
        <v>88</v>
      </c>
    </row>
    <row r="389" spans="1:4">
      <c r="A389" s="3">
        <v>28</v>
      </c>
      <c r="B389" s="3">
        <v>38.24</v>
      </c>
      <c r="C389" s="3" t="s">
        <v>79</v>
      </c>
      <c r="D389" s="3" t="s">
        <v>105</v>
      </c>
    </row>
    <row r="390" spans="1:4">
      <c r="A390" s="3">
        <v>278</v>
      </c>
      <c r="B390" s="3">
        <v>37.840000000000003</v>
      </c>
      <c r="C390" s="3" t="s">
        <v>79</v>
      </c>
      <c r="D390" s="3" t="s">
        <v>100</v>
      </c>
    </row>
    <row r="391" spans="1:4">
      <c r="A391" s="3">
        <v>277</v>
      </c>
      <c r="B391" s="3">
        <v>37.65</v>
      </c>
      <c r="C391" s="3" t="s">
        <v>79</v>
      </c>
      <c r="D391" s="3" t="s">
        <v>100</v>
      </c>
    </row>
    <row r="392" spans="1:4">
      <c r="A392" s="3">
        <v>83</v>
      </c>
      <c r="B392" s="3">
        <v>37.590000000000003</v>
      </c>
      <c r="C392" s="3" t="s">
        <v>79</v>
      </c>
      <c r="D392" s="3" t="s">
        <v>105</v>
      </c>
    </row>
    <row r="393" spans="1:4">
      <c r="A393" s="3">
        <v>228</v>
      </c>
      <c r="B393" s="3">
        <v>37.590000000000003</v>
      </c>
      <c r="C393" s="3" t="s">
        <v>85</v>
      </c>
      <c r="D393" s="3" t="s">
        <v>105</v>
      </c>
    </row>
    <row r="394" spans="1:4">
      <c r="A394" s="3">
        <v>339</v>
      </c>
      <c r="B394" s="3">
        <v>37.590000000000003</v>
      </c>
      <c r="C394" s="3" t="s">
        <v>79</v>
      </c>
      <c r="D394" s="3" t="s">
        <v>103</v>
      </c>
    </row>
    <row r="395" spans="1:4">
      <c r="A395" s="3">
        <v>424</v>
      </c>
      <c r="B395" s="3">
        <v>37.590000000000003</v>
      </c>
      <c r="C395" s="3" t="s">
        <v>79</v>
      </c>
      <c r="D395" s="3" t="s">
        <v>86</v>
      </c>
    </row>
    <row r="396" spans="1:4">
      <c r="A396" s="3">
        <v>15</v>
      </c>
      <c r="B396" s="3">
        <v>37.53</v>
      </c>
      <c r="C396" s="3" t="s">
        <v>79</v>
      </c>
      <c r="D396" s="3" t="s">
        <v>103</v>
      </c>
    </row>
    <row r="397" spans="1:4">
      <c r="A397" s="3">
        <v>34</v>
      </c>
      <c r="B397" s="3">
        <v>37.53</v>
      </c>
      <c r="C397" s="3" t="s">
        <v>79</v>
      </c>
      <c r="D397" s="3" t="s">
        <v>103</v>
      </c>
    </row>
    <row r="398" spans="1:4">
      <c r="A398" s="3">
        <v>103</v>
      </c>
      <c r="B398" s="3">
        <v>37.53</v>
      </c>
      <c r="C398" s="3" t="s">
        <v>79</v>
      </c>
      <c r="D398" s="3" t="s">
        <v>103</v>
      </c>
    </row>
    <row r="399" spans="1:4">
      <c r="A399" s="3">
        <v>262</v>
      </c>
      <c r="B399" s="3">
        <v>37.53</v>
      </c>
      <c r="C399" s="3" t="s">
        <v>79</v>
      </c>
      <c r="D399" s="3" t="s">
        <v>103</v>
      </c>
    </row>
    <row r="400" spans="1:4">
      <c r="A400" s="3">
        <v>263</v>
      </c>
      <c r="B400" s="3">
        <v>37.53</v>
      </c>
      <c r="C400" s="3" t="s">
        <v>79</v>
      </c>
      <c r="D400" s="3" t="s">
        <v>103</v>
      </c>
    </row>
    <row r="401" spans="1:4">
      <c r="A401" s="3">
        <v>304</v>
      </c>
      <c r="B401" s="3">
        <v>37.53</v>
      </c>
      <c r="C401" s="3" t="s">
        <v>79</v>
      </c>
      <c r="D401" s="3" t="s">
        <v>103</v>
      </c>
    </row>
    <row r="402" spans="1:4">
      <c r="A402" s="3">
        <v>362</v>
      </c>
      <c r="B402" s="3">
        <v>37.53</v>
      </c>
      <c r="C402" s="3" t="s">
        <v>79</v>
      </c>
      <c r="D402" s="3" t="s">
        <v>103</v>
      </c>
    </row>
    <row r="403" spans="1:4">
      <c r="A403" s="3">
        <v>398</v>
      </c>
      <c r="B403" s="3">
        <v>37.53</v>
      </c>
      <c r="C403" s="3" t="s">
        <v>79</v>
      </c>
      <c r="D403" s="3" t="s">
        <v>103</v>
      </c>
    </row>
    <row r="404" spans="1:4">
      <c r="A404" s="3">
        <v>13</v>
      </c>
      <c r="B404" s="3">
        <v>37.229999999999997</v>
      </c>
      <c r="C404" s="3" t="s">
        <v>79</v>
      </c>
      <c r="D404" s="3" t="s">
        <v>80</v>
      </c>
    </row>
    <row r="405" spans="1:4">
      <c r="A405" s="3">
        <v>107</v>
      </c>
      <c r="B405" s="3">
        <v>37.229999999999997</v>
      </c>
      <c r="C405" s="3" t="s">
        <v>79</v>
      </c>
      <c r="D405" s="3" t="s">
        <v>80</v>
      </c>
    </row>
    <row r="406" spans="1:4">
      <c r="A406" s="3">
        <v>603</v>
      </c>
      <c r="B406" s="3">
        <v>36.96</v>
      </c>
      <c r="C406" s="3" t="s">
        <v>79</v>
      </c>
      <c r="D406" s="3" t="s">
        <v>80</v>
      </c>
    </row>
    <row r="407" spans="1:4">
      <c r="A407" s="3">
        <v>106</v>
      </c>
      <c r="B407" s="3">
        <v>36.75</v>
      </c>
      <c r="C407" s="3" t="s">
        <v>79</v>
      </c>
      <c r="D407" s="3" t="s">
        <v>80</v>
      </c>
    </row>
    <row r="408" spans="1:4">
      <c r="A408" s="3">
        <v>252</v>
      </c>
      <c r="B408" s="3">
        <v>36.75</v>
      </c>
      <c r="C408" s="3" t="s">
        <v>79</v>
      </c>
      <c r="D408" s="3" t="s">
        <v>80</v>
      </c>
    </row>
    <row r="409" spans="1:4">
      <c r="A409" s="3">
        <v>448</v>
      </c>
      <c r="B409" s="3">
        <v>36.700000000000003</v>
      </c>
      <c r="C409" s="3" t="s">
        <v>79</v>
      </c>
      <c r="D409" s="3" t="s">
        <v>103</v>
      </c>
    </row>
    <row r="410" spans="1:4">
      <c r="A410" s="3">
        <v>35</v>
      </c>
      <c r="B410" s="3">
        <v>36.47</v>
      </c>
      <c r="C410" s="3" t="s">
        <v>79</v>
      </c>
      <c r="D410" s="3" t="s">
        <v>80</v>
      </c>
    </row>
    <row r="411" spans="1:4">
      <c r="A411" s="3">
        <v>157</v>
      </c>
      <c r="B411" s="3">
        <v>36.299999999999997</v>
      </c>
      <c r="C411" s="3" t="s">
        <v>79</v>
      </c>
      <c r="D411" s="3" t="s">
        <v>88</v>
      </c>
    </row>
    <row r="412" spans="1:4">
      <c r="A412" s="3">
        <v>444</v>
      </c>
      <c r="B412" s="3">
        <v>36.17</v>
      </c>
      <c r="C412" s="3" t="s">
        <v>85</v>
      </c>
      <c r="D412" s="3" t="s">
        <v>86</v>
      </c>
    </row>
    <row r="413" spans="1:4">
      <c r="A413" s="3">
        <v>113</v>
      </c>
      <c r="B413" s="3">
        <v>36.130000000000003</v>
      </c>
      <c r="C413" s="3" t="s">
        <v>104</v>
      </c>
      <c r="D413" s="3" t="s">
        <v>86</v>
      </c>
    </row>
    <row r="414" spans="1:4">
      <c r="A414" s="3">
        <v>198</v>
      </c>
      <c r="B414" s="3">
        <v>36.130000000000003</v>
      </c>
      <c r="C414" s="3" t="s">
        <v>104</v>
      </c>
      <c r="D414" s="3" t="s">
        <v>103</v>
      </c>
    </row>
    <row r="415" spans="1:4">
      <c r="A415" s="3">
        <v>276</v>
      </c>
      <c r="B415" s="3">
        <v>36.130000000000003</v>
      </c>
      <c r="C415" s="3" t="s">
        <v>79</v>
      </c>
      <c r="D415" s="3" t="s">
        <v>105</v>
      </c>
    </row>
    <row r="416" spans="1:4">
      <c r="A416" s="3">
        <v>431</v>
      </c>
      <c r="B416" s="3">
        <v>36.130000000000003</v>
      </c>
      <c r="C416" s="3" t="s">
        <v>85</v>
      </c>
      <c r="D416" s="3" t="s">
        <v>86</v>
      </c>
    </row>
    <row r="417" spans="1:4">
      <c r="A417" s="3">
        <v>528</v>
      </c>
      <c r="B417" s="3">
        <v>36.130000000000003</v>
      </c>
      <c r="C417" s="3" t="s">
        <v>104</v>
      </c>
      <c r="D417" s="3" t="s">
        <v>88</v>
      </c>
    </row>
    <row r="418" spans="1:4">
      <c r="A418" s="3">
        <v>576</v>
      </c>
      <c r="B418" s="3">
        <v>36.130000000000003</v>
      </c>
      <c r="C418" s="3" t="s">
        <v>79</v>
      </c>
      <c r="D418" s="3" t="s">
        <v>103</v>
      </c>
    </row>
    <row r="419" spans="1:4">
      <c r="A419" s="3">
        <v>118</v>
      </c>
      <c r="B419" s="3">
        <v>36.11</v>
      </c>
      <c r="C419" s="3" t="s">
        <v>79</v>
      </c>
      <c r="D419" s="3" t="s">
        <v>100</v>
      </c>
    </row>
    <row r="420" spans="1:4">
      <c r="A420" s="3">
        <v>246</v>
      </c>
      <c r="B420" s="3">
        <v>36.11</v>
      </c>
      <c r="C420" s="3" t="s">
        <v>79</v>
      </c>
      <c r="D420" s="3" t="s">
        <v>100</v>
      </c>
    </row>
    <row r="421" spans="1:4">
      <c r="A421" s="3">
        <v>69</v>
      </c>
      <c r="B421" s="3">
        <v>35.78</v>
      </c>
      <c r="C421" s="3" t="s">
        <v>79</v>
      </c>
      <c r="D421" s="3" t="s">
        <v>103</v>
      </c>
    </row>
    <row r="422" spans="1:4">
      <c r="A422" s="3">
        <v>552</v>
      </c>
      <c r="B422" s="3">
        <v>35.78</v>
      </c>
      <c r="C422" s="3" t="s">
        <v>79</v>
      </c>
      <c r="D422" s="3" t="s">
        <v>103</v>
      </c>
    </row>
    <row r="423" spans="1:4">
      <c r="A423" s="3">
        <v>117</v>
      </c>
      <c r="B423" s="3">
        <v>35.71</v>
      </c>
      <c r="C423" s="3" t="s">
        <v>79</v>
      </c>
      <c r="D423" s="3" t="s">
        <v>105</v>
      </c>
    </row>
    <row r="424" spans="1:4">
      <c r="A424" s="3">
        <v>513</v>
      </c>
      <c r="B424" s="3">
        <v>35.71</v>
      </c>
      <c r="C424" s="3" t="s">
        <v>79</v>
      </c>
      <c r="D424" s="3" t="s">
        <v>105</v>
      </c>
    </row>
    <row r="425" spans="1:4">
      <c r="A425" s="3">
        <v>557</v>
      </c>
      <c r="B425" s="3">
        <v>35.71</v>
      </c>
      <c r="C425" s="3" t="s">
        <v>79</v>
      </c>
      <c r="D425" s="3" t="s">
        <v>105</v>
      </c>
    </row>
    <row r="426" spans="1:4">
      <c r="A426" s="3">
        <v>579</v>
      </c>
      <c r="B426" s="3">
        <v>35.71</v>
      </c>
      <c r="C426" s="3" t="s">
        <v>79</v>
      </c>
      <c r="D426" s="3" t="s">
        <v>105</v>
      </c>
    </row>
    <row r="427" spans="1:4">
      <c r="A427" s="3">
        <v>597</v>
      </c>
      <c r="B427" s="3">
        <v>35.71</v>
      </c>
      <c r="C427" s="3" t="s">
        <v>79</v>
      </c>
      <c r="D427" s="3" t="s">
        <v>105</v>
      </c>
    </row>
    <row r="428" spans="1:4">
      <c r="A428" s="3">
        <v>402</v>
      </c>
      <c r="B428" s="3">
        <v>35.619999999999997</v>
      </c>
      <c r="C428" s="3" t="s">
        <v>79</v>
      </c>
      <c r="D428" s="3" t="s">
        <v>80</v>
      </c>
    </row>
    <row r="429" spans="1:4">
      <c r="A429" s="3">
        <v>421</v>
      </c>
      <c r="B429" s="3">
        <v>35.619999999999997</v>
      </c>
      <c r="C429" s="3" t="s">
        <v>79</v>
      </c>
      <c r="D429" s="3" t="s">
        <v>80</v>
      </c>
    </row>
    <row r="430" spans="1:4">
      <c r="A430" s="3">
        <v>264</v>
      </c>
      <c r="B430" s="3">
        <v>35.43</v>
      </c>
      <c r="C430" s="3" t="s">
        <v>85</v>
      </c>
      <c r="D430" s="3" t="s">
        <v>100</v>
      </c>
    </row>
    <row r="431" spans="1:4">
      <c r="A431" s="3">
        <v>294</v>
      </c>
      <c r="B431" s="3">
        <v>35.43</v>
      </c>
      <c r="C431" s="3" t="s">
        <v>79</v>
      </c>
      <c r="D431" s="3" t="s">
        <v>100</v>
      </c>
    </row>
    <row r="432" spans="1:4">
      <c r="A432" s="3">
        <v>308</v>
      </c>
      <c r="B432" s="3">
        <v>35.43</v>
      </c>
      <c r="C432" s="3" t="s">
        <v>79</v>
      </c>
      <c r="D432" s="3" t="s">
        <v>100</v>
      </c>
    </row>
    <row r="433" spans="1:4">
      <c r="A433" s="3">
        <v>459</v>
      </c>
      <c r="B433" s="3">
        <v>35.43</v>
      </c>
      <c r="C433" s="3" t="s">
        <v>79</v>
      </c>
      <c r="D433" s="3" t="s">
        <v>86</v>
      </c>
    </row>
    <row r="434" spans="1:4">
      <c r="A434" s="3">
        <v>505</v>
      </c>
      <c r="B434" s="3">
        <v>35.43</v>
      </c>
      <c r="C434" s="3" t="s">
        <v>85</v>
      </c>
      <c r="D434" s="3" t="s">
        <v>105</v>
      </c>
    </row>
    <row r="435" spans="1:4">
      <c r="A435" s="3">
        <v>571</v>
      </c>
      <c r="B435" s="3">
        <v>35.43</v>
      </c>
      <c r="C435" s="3" t="s">
        <v>104</v>
      </c>
      <c r="D435" s="3" t="s">
        <v>100</v>
      </c>
    </row>
    <row r="436" spans="1:4">
      <c r="A436" s="3">
        <v>588</v>
      </c>
      <c r="B436" s="3">
        <v>35.43</v>
      </c>
      <c r="C436" s="3" t="s">
        <v>79</v>
      </c>
      <c r="D436" s="3" t="s">
        <v>80</v>
      </c>
    </row>
    <row r="437" spans="1:4">
      <c r="A437" s="3">
        <v>48</v>
      </c>
      <c r="B437" s="3">
        <v>35.409999999999997</v>
      </c>
      <c r="C437" s="3" t="s">
        <v>79</v>
      </c>
      <c r="D437" s="3" t="s">
        <v>105</v>
      </c>
    </row>
    <row r="438" spans="1:4">
      <c r="A438" s="3">
        <v>207</v>
      </c>
      <c r="B438" s="3">
        <v>35.409999999999997</v>
      </c>
      <c r="C438" s="3" t="s">
        <v>79</v>
      </c>
      <c r="D438" s="3" t="s">
        <v>105</v>
      </c>
    </row>
    <row r="439" spans="1:4">
      <c r="A439" s="3">
        <v>171</v>
      </c>
      <c r="B439" s="3">
        <v>35.159999999999997</v>
      </c>
      <c r="C439" s="3" t="s">
        <v>79</v>
      </c>
      <c r="D439" s="3" t="s">
        <v>103</v>
      </c>
    </row>
    <row r="440" spans="1:4">
      <c r="A440" s="3">
        <v>223</v>
      </c>
      <c r="B440" s="3">
        <v>35.159999999999997</v>
      </c>
      <c r="C440" s="3" t="s">
        <v>79</v>
      </c>
      <c r="D440" s="3" t="s">
        <v>103</v>
      </c>
    </row>
    <row r="441" spans="1:4">
      <c r="A441" s="3">
        <v>389</v>
      </c>
      <c r="B441" s="3">
        <v>35.159999999999997</v>
      </c>
      <c r="C441" s="3" t="s">
        <v>79</v>
      </c>
      <c r="D441" s="3" t="s">
        <v>103</v>
      </c>
    </row>
    <row r="442" spans="1:4">
      <c r="A442" s="3">
        <v>395</v>
      </c>
      <c r="B442" s="3">
        <v>35.159999999999997</v>
      </c>
      <c r="C442" s="3" t="s">
        <v>79</v>
      </c>
      <c r="D442" s="3" t="s">
        <v>103</v>
      </c>
    </row>
    <row r="443" spans="1:4">
      <c r="A443" s="3">
        <v>422</v>
      </c>
      <c r="B443" s="3">
        <v>35.159999999999997</v>
      </c>
      <c r="C443" s="3" t="s">
        <v>79</v>
      </c>
      <c r="D443" s="3" t="s">
        <v>103</v>
      </c>
    </row>
    <row r="444" spans="1:4">
      <c r="A444" s="3">
        <v>443</v>
      </c>
      <c r="B444" s="3">
        <v>35.159999999999997</v>
      </c>
      <c r="C444" s="3" t="s">
        <v>79</v>
      </c>
      <c r="D444" s="3" t="s">
        <v>103</v>
      </c>
    </row>
    <row r="445" spans="1:4">
      <c r="A445" s="3">
        <v>494</v>
      </c>
      <c r="B445" s="3">
        <v>35.159999999999997</v>
      </c>
      <c r="C445" s="3" t="s">
        <v>79</v>
      </c>
      <c r="D445" s="3" t="s">
        <v>103</v>
      </c>
    </row>
    <row r="446" spans="1:4">
      <c r="A446" s="3">
        <v>312</v>
      </c>
      <c r="B446" s="3">
        <v>34.96</v>
      </c>
      <c r="C446" s="3" t="s">
        <v>79</v>
      </c>
      <c r="D446" s="3" t="s">
        <v>80</v>
      </c>
    </row>
    <row r="447" spans="1:4">
      <c r="A447" s="3">
        <v>320</v>
      </c>
      <c r="B447" s="3">
        <v>34.96</v>
      </c>
      <c r="C447" s="3" t="s">
        <v>79</v>
      </c>
      <c r="D447" s="3" t="s">
        <v>80</v>
      </c>
    </row>
    <row r="448" spans="1:4">
      <c r="A448" s="3">
        <v>538</v>
      </c>
      <c r="B448" s="3">
        <v>34.96</v>
      </c>
      <c r="C448" s="3" t="s">
        <v>79</v>
      </c>
      <c r="D448" s="3" t="s">
        <v>80</v>
      </c>
    </row>
    <row r="449" spans="1:4">
      <c r="A449" s="3">
        <v>40</v>
      </c>
      <c r="B449" s="3">
        <v>34.76</v>
      </c>
      <c r="C449" s="3" t="s">
        <v>104</v>
      </c>
      <c r="D449" s="3" t="s">
        <v>105</v>
      </c>
    </row>
    <row r="450" spans="1:4">
      <c r="A450" s="3">
        <v>80</v>
      </c>
      <c r="B450" s="3">
        <v>34.76</v>
      </c>
      <c r="C450" s="3" t="s">
        <v>104</v>
      </c>
      <c r="D450" s="3" t="s">
        <v>86</v>
      </c>
    </row>
    <row r="451" spans="1:4">
      <c r="A451" s="3">
        <v>366</v>
      </c>
      <c r="B451" s="3">
        <v>34.479999999999997</v>
      </c>
      <c r="C451" s="3" t="s">
        <v>79</v>
      </c>
      <c r="D451" s="3" t="s">
        <v>103</v>
      </c>
    </row>
    <row r="452" spans="1:4">
      <c r="A452" s="3">
        <v>334</v>
      </c>
      <c r="B452" s="3">
        <v>34.28</v>
      </c>
      <c r="C452" s="3" t="s">
        <v>79</v>
      </c>
      <c r="D452" s="3" t="s">
        <v>103</v>
      </c>
    </row>
    <row r="453" spans="1:4">
      <c r="A453" s="3">
        <v>561</v>
      </c>
      <c r="B453" s="3">
        <v>34.28</v>
      </c>
      <c r="C453" s="3" t="s">
        <v>79</v>
      </c>
      <c r="D453" s="3" t="s">
        <v>103</v>
      </c>
    </row>
    <row r="454" spans="1:4">
      <c r="A454" s="3">
        <v>268</v>
      </c>
      <c r="B454" s="3">
        <v>34.229999999999997</v>
      </c>
      <c r="C454" s="3" t="s">
        <v>79</v>
      </c>
      <c r="D454" s="3" t="s">
        <v>80</v>
      </c>
    </row>
    <row r="455" spans="1:4">
      <c r="A455" s="3">
        <v>65</v>
      </c>
      <c r="B455" s="3">
        <v>34.07</v>
      </c>
      <c r="C455" s="3" t="s">
        <v>85</v>
      </c>
      <c r="D455" s="3" t="s">
        <v>100</v>
      </c>
    </row>
    <row r="456" spans="1:4">
      <c r="A456" s="3">
        <v>298</v>
      </c>
      <c r="B456" s="3">
        <v>34.07</v>
      </c>
      <c r="C456" s="3" t="s">
        <v>79</v>
      </c>
      <c r="D456" s="3" t="s">
        <v>100</v>
      </c>
    </row>
    <row r="457" spans="1:4">
      <c r="A457" s="3">
        <v>81</v>
      </c>
      <c r="B457" s="3">
        <v>34.01</v>
      </c>
      <c r="C457" s="3" t="s">
        <v>79</v>
      </c>
      <c r="D457" s="3" t="s">
        <v>103</v>
      </c>
    </row>
    <row r="458" spans="1:4">
      <c r="A458" s="3">
        <v>64</v>
      </c>
      <c r="B458" s="3">
        <v>33.979999999999997</v>
      </c>
      <c r="C458" s="3" t="s">
        <v>79</v>
      </c>
      <c r="D458" s="3" t="s">
        <v>105</v>
      </c>
    </row>
    <row r="459" spans="1:4">
      <c r="A459" s="3">
        <v>185</v>
      </c>
      <c r="B459" s="3">
        <v>33.979999999999997</v>
      </c>
      <c r="C459" s="3" t="s">
        <v>79</v>
      </c>
      <c r="D459" s="3" t="s">
        <v>105</v>
      </c>
    </row>
    <row r="460" spans="1:4">
      <c r="A460" s="3">
        <v>219</v>
      </c>
      <c r="B460" s="3">
        <v>33.979999999999997</v>
      </c>
      <c r="C460" s="3" t="s">
        <v>79</v>
      </c>
      <c r="D460" s="3" t="s">
        <v>105</v>
      </c>
    </row>
    <row r="461" spans="1:4">
      <c r="A461" s="3">
        <v>226</v>
      </c>
      <c r="B461" s="3">
        <v>33.979999999999997</v>
      </c>
      <c r="C461" s="3" t="s">
        <v>79</v>
      </c>
      <c r="D461" s="3" t="s">
        <v>105</v>
      </c>
    </row>
    <row r="462" spans="1:4">
      <c r="A462" s="3">
        <v>427</v>
      </c>
      <c r="B462" s="3">
        <v>33.979999999999997</v>
      </c>
      <c r="C462" s="3" t="s">
        <v>79</v>
      </c>
      <c r="D462" s="3" t="s">
        <v>105</v>
      </c>
    </row>
    <row r="463" spans="1:4">
      <c r="A463" s="3">
        <v>472</v>
      </c>
      <c r="B463" s="3">
        <v>33.979999999999997</v>
      </c>
      <c r="C463" s="3" t="s">
        <v>79</v>
      </c>
      <c r="D463" s="3" t="s">
        <v>105</v>
      </c>
    </row>
    <row r="464" spans="1:4">
      <c r="A464" s="3">
        <v>554</v>
      </c>
      <c r="B464" s="3">
        <v>33.9</v>
      </c>
      <c r="C464" s="3" t="s">
        <v>85</v>
      </c>
      <c r="D464" s="3" t="s">
        <v>86</v>
      </c>
    </row>
    <row r="465" spans="1:4">
      <c r="A465" s="3">
        <v>409</v>
      </c>
      <c r="B465" s="3">
        <v>33.880000000000003</v>
      </c>
      <c r="C465" s="3" t="s">
        <v>79</v>
      </c>
      <c r="D465" s="3" t="s">
        <v>103</v>
      </c>
    </row>
    <row r="466" spans="1:4">
      <c r="A466" s="3">
        <v>45</v>
      </c>
      <c r="B466" s="3">
        <v>33.78</v>
      </c>
      <c r="C466" s="3" t="s">
        <v>79</v>
      </c>
      <c r="D466" s="3" t="s">
        <v>86</v>
      </c>
    </row>
    <row r="467" spans="1:4">
      <c r="A467" s="3">
        <v>406</v>
      </c>
      <c r="B467" s="3">
        <v>33.78</v>
      </c>
      <c r="C467" s="3" t="s">
        <v>79</v>
      </c>
      <c r="D467" s="3" t="s">
        <v>80</v>
      </c>
    </row>
    <row r="468" spans="1:4">
      <c r="A468" s="3">
        <v>52</v>
      </c>
      <c r="B468" s="3">
        <v>33.659999999999997</v>
      </c>
      <c r="C468" s="3" t="s">
        <v>79</v>
      </c>
      <c r="D468" s="3" t="s">
        <v>86</v>
      </c>
    </row>
    <row r="469" spans="1:4">
      <c r="A469" s="3">
        <v>53</v>
      </c>
      <c r="B469" s="3">
        <v>33.659999999999997</v>
      </c>
      <c r="C469" s="3" t="s">
        <v>79</v>
      </c>
      <c r="D469" s="3" t="s">
        <v>86</v>
      </c>
    </row>
    <row r="470" spans="1:4">
      <c r="A470" s="3">
        <v>112</v>
      </c>
      <c r="B470" s="3">
        <v>33.659999999999997</v>
      </c>
      <c r="C470" s="3" t="s">
        <v>79</v>
      </c>
      <c r="D470" s="3" t="s">
        <v>86</v>
      </c>
    </row>
    <row r="471" spans="1:4">
      <c r="A471" s="3">
        <v>231</v>
      </c>
      <c r="B471" s="3">
        <v>33.659999999999997</v>
      </c>
      <c r="C471" s="3" t="s">
        <v>79</v>
      </c>
      <c r="D471" s="3" t="s">
        <v>86</v>
      </c>
    </row>
    <row r="472" spans="1:4">
      <c r="A472" s="3">
        <v>244</v>
      </c>
      <c r="B472" s="3">
        <v>33.659999999999997</v>
      </c>
      <c r="C472" s="3" t="s">
        <v>79</v>
      </c>
      <c r="D472" s="3" t="s">
        <v>86</v>
      </c>
    </row>
    <row r="473" spans="1:4">
      <c r="A473" s="3">
        <v>535</v>
      </c>
      <c r="B473" s="3">
        <v>33.659999999999997</v>
      </c>
      <c r="C473" s="3" t="s">
        <v>85</v>
      </c>
      <c r="D473" s="3" t="s">
        <v>105</v>
      </c>
    </row>
    <row r="474" spans="1:4">
      <c r="A474" s="3">
        <v>598</v>
      </c>
      <c r="B474" s="3">
        <v>33.659999999999997</v>
      </c>
      <c r="C474" s="3" t="s">
        <v>79</v>
      </c>
      <c r="D474" s="3" t="s">
        <v>86</v>
      </c>
    </row>
    <row r="475" spans="1:4">
      <c r="A475" s="3">
        <v>590</v>
      </c>
      <c r="B475" s="3">
        <v>33.5</v>
      </c>
      <c r="C475" s="3" t="s">
        <v>85</v>
      </c>
      <c r="D475" s="3" t="s">
        <v>86</v>
      </c>
    </row>
    <row r="476" spans="1:4">
      <c r="A476" s="3">
        <v>91</v>
      </c>
      <c r="B476" s="3">
        <v>33.450000000000003</v>
      </c>
      <c r="C476" s="3" t="s">
        <v>79</v>
      </c>
      <c r="D476" s="3" t="s">
        <v>88</v>
      </c>
    </row>
    <row r="477" spans="1:4">
      <c r="A477" s="3">
        <v>279</v>
      </c>
      <c r="B477" s="3">
        <v>33.450000000000003</v>
      </c>
      <c r="C477" s="3" t="s">
        <v>79</v>
      </c>
      <c r="D477" s="3" t="s">
        <v>80</v>
      </c>
    </row>
    <row r="478" spans="1:4">
      <c r="A478" s="3">
        <v>454</v>
      </c>
      <c r="B478" s="3">
        <v>33.450000000000003</v>
      </c>
      <c r="C478" s="3" t="s">
        <v>79</v>
      </c>
      <c r="D478" s="3" t="s">
        <v>103</v>
      </c>
    </row>
    <row r="479" spans="1:4">
      <c r="A479" s="3">
        <v>380</v>
      </c>
      <c r="B479" s="3">
        <v>33.01</v>
      </c>
      <c r="C479" s="3" t="s">
        <v>79</v>
      </c>
      <c r="D479" s="3" t="s">
        <v>105</v>
      </c>
    </row>
    <row r="480" spans="1:4">
      <c r="A480" s="3">
        <v>167</v>
      </c>
      <c r="B480" s="3">
        <v>33</v>
      </c>
      <c r="C480" s="3" t="s">
        <v>104</v>
      </c>
      <c r="D480" s="3" t="s">
        <v>80</v>
      </c>
    </row>
    <row r="481" spans="1:4">
      <c r="A481" s="3">
        <v>250</v>
      </c>
      <c r="B481" s="3">
        <v>33</v>
      </c>
      <c r="C481" s="3" t="s">
        <v>104</v>
      </c>
      <c r="D481" s="3" t="s">
        <v>103</v>
      </c>
    </row>
    <row r="482" spans="1:4">
      <c r="A482" s="3">
        <v>396</v>
      </c>
      <c r="B482" s="3">
        <v>33</v>
      </c>
      <c r="C482" s="3" t="s">
        <v>79</v>
      </c>
      <c r="D482" s="3" t="s">
        <v>86</v>
      </c>
    </row>
    <row r="483" spans="1:4">
      <c r="A483" s="3">
        <v>63</v>
      </c>
      <c r="B483" s="3">
        <v>32.96</v>
      </c>
      <c r="C483" s="3" t="s">
        <v>79</v>
      </c>
      <c r="D483" s="3" t="s">
        <v>103</v>
      </c>
    </row>
    <row r="484" spans="1:4">
      <c r="A484" s="3">
        <v>388</v>
      </c>
      <c r="B484" s="3">
        <v>32.96</v>
      </c>
      <c r="C484" s="3" t="s">
        <v>79</v>
      </c>
      <c r="D484" s="3"/>
    </row>
    <row r="485" spans="1:4">
      <c r="A485" s="3">
        <v>122</v>
      </c>
      <c r="B485" s="3">
        <v>32.94</v>
      </c>
      <c r="C485" s="3" t="s">
        <v>79</v>
      </c>
      <c r="D485" s="3" t="s">
        <v>88</v>
      </c>
    </row>
    <row r="486" spans="1:4">
      <c r="A486" s="3">
        <v>1</v>
      </c>
      <c r="B486" s="3">
        <v>32.81</v>
      </c>
      <c r="C486" s="3" t="s">
        <v>79</v>
      </c>
      <c r="D486" s="3" t="s">
        <v>106</v>
      </c>
    </row>
    <row r="487" spans="1:4">
      <c r="A487" s="3">
        <v>572</v>
      </c>
      <c r="B487" s="3">
        <v>32.81</v>
      </c>
      <c r="C487" s="3" t="s">
        <v>79</v>
      </c>
      <c r="D487" s="3" t="s">
        <v>100</v>
      </c>
    </row>
    <row r="488" spans="1:4">
      <c r="A488" s="3">
        <v>85</v>
      </c>
      <c r="B488" s="3">
        <v>32.700000000000003</v>
      </c>
      <c r="C488" s="3" t="s">
        <v>79</v>
      </c>
      <c r="D488" s="3" t="s">
        <v>105</v>
      </c>
    </row>
    <row r="489" spans="1:4">
      <c r="A489" s="3">
        <v>506</v>
      </c>
      <c r="B489" s="3">
        <v>32.39</v>
      </c>
      <c r="C489" s="3" t="s">
        <v>79</v>
      </c>
      <c r="D489" s="3" t="s">
        <v>100</v>
      </c>
    </row>
    <row r="490" spans="1:4">
      <c r="A490" s="3">
        <v>143</v>
      </c>
      <c r="B490" s="3">
        <v>32.380000000000003</v>
      </c>
      <c r="C490" s="3" t="s">
        <v>79</v>
      </c>
      <c r="D490" s="3" t="s">
        <v>86</v>
      </c>
    </row>
    <row r="491" spans="1:4">
      <c r="A491" s="3">
        <v>169</v>
      </c>
      <c r="B491" s="3">
        <v>32.380000000000003</v>
      </c>
      <c r="C491" s="3" t="s">
        <v>79</v>
      </c>
      <c r="D491" s="3" t="s">
        <v>86</v>
      </c>
    </row>
    <row r="492" spans="1:4">
      <c r="A492" s="3">
        <v>273</v>
      </c>
      <c r="B492" s="3">
        <v>32.380000000000003</v>
      </c>
      <c r="C492" s="3" t="s">
        <v>79</v>
      </c>
      <c r="D492" s="3" t="s">
        <v>86</v>
      </c>
    </row>
    <row r="493" spans="1:4">
      <c r="A493" s="3">
        <v>434</v>
      </c>
      <c r="B493" s="3">
        <v>32.380000000000003</v>
      </c>
      <c r="C493" s="3" t="s">
        <v>79</v>
      </c>
      <c r="D493" s="3" t="s">
        <v>86</v>
      </c>
    </row>
    <row r="494" spans="1:4">
      <c r="A494" s="3">
        <v>510</v>
      </c>
      <c r="B494" s="3">
        <v>32.380000000000003</v>
      </c>
      <c r="C494" s="3" t="s">
        <v>79</v>
      </c>
      <c r="D494" s="3" t="s">
        <v>86</v>
      </c>
    </row>
    <row r="495" spans="1:4">
      <c r="A495" s="3">
        <v>14</v>
      </c>
      <c r="B495" s="3">
        <v>32.35</v>
      </c>
      <c r="C495" s="3" t="s">
        <v>79</v>
      </c>
      <c r="D495" s="3" t="s">
        <v>88</v>
      </c>
    </row>
    <row r="496" spans="1:4">
      <c r="A496" s="3">
        <v>61</v>
      </c>
      <c r="B496" s="3">
        <v>32.35</v>
      </c>
      <c r="C496" s="3" t="s">
        <v>79</v>
      </c>
      <c r="D496" s="3" t="s">
        <v>88</v>
      </c>
    </row>
    <row r="497" spans="1:4">
      <c r="A497" s="3">
        <v>404</v>
      </c>
      <c r="B497" s="3">
        <v>32.35</v>
      </c>
      <c r="C497" s="3" t="s">
        <v>79</v>
      </c>
      <c r="D497" s="3" t="s">
        <v>80</v>
      </c>
    </row>
    <row r="498" spans="1:4">
      <c r="A498" s="3">
        <v>441</v>
      </c>
      <c r="B498" s="3">
        <v>32.35</v>
      </c>
      <c r="C498" s="3"/>
      <c r="D498" s="3" t="s">
        <v>88</v>
      </c>
    </row>
    <row r="499" spans="1:4">
      <c r="A499" s="3">
        <v>451</v>
      </c>
      <c r="B499" s="3">
        <v>32.35</v>
      </c>
      <c r="C499" s="3" t="s">
        <v>79</v>
      </c>
      <c r="D499" s="3" t="s">
        <v>88</v>
      </c>
    </row>
    <row r="500" spans="1:4">
      <c r="A500" s="3">
        <v>485</v>
      </c>
      <c r="B500" s="3">
        <v>32.35</v>
      </c>
      <c r="C500" s="3" t="s">
        <v>79</v>
      </c>
      <c r="D500" s="3" t="s">
        <v>80</v>
      </c>
    </row>
    <row r="501" spans="1:4">
      <c r="A501" s="3">
        <v>504</v>
      </c>
      <c r="B501" s="3">
        <v>32.35</v>
      </c>
      <c r="C501" s="3" t="s">
        <v>79</v>
      </c>
      <c r="D501" s="3" t="s">
        <v>88</v>
      </c>
    </row>
    <row r="502" spans="1:4">
      <c r="A502" s="3">
        <v>581</v>
      </c>
      <c r="B502" s="3">
        <v>32.35</v>
      </c>
      <c r="C502" s="3" t="s">
        <v>79</v>
      </c>
      <c r="D502" s="3" t="s">
        <v>88</v>
      </c>
    </row>
    <row r="503" spans="1:4">
      <c r="A503" s="3">
        <v>589</v>
      </c>
      <c r="B503" s="3">
        <v>32.35</v>
      </c>
      <c r="C503" s="3" t="s">
        <v>79</v>
      </c>
      <c r="D503" s="3" t="s">
        <v>88</v>
      </c>
    </row>
    <row r="504" spans="1:4">
      <c r="A504" s="3">
        <v>39</v>
      </c>
      <c r="B504" s="3">
        <v>32.17</v>
      </c>
      <c r="C504" s="3" t="s">
        <v>79</v>
      </c>
      <c r="D504" s="3" t="s">
        <v>103</v>
      </c>
    </row>
    <row r="505" spans="1:4">
      <c r="A505" s="3">
        <v>257</v>
      </c>
      <c r="B505" s="3">
        <v>32.17</v>
      </c>
      <c r="C505" s="3" t="s">
        <v>79</v>
      </c>
      <c r="D505" s="3" t="s">
        <v>100</v>
      </c>
    </row>
    <row r="506" spans="1:4">
      <c r="A506" s="3">
        <v>136</v>
      </c>
      <c r="B506" s="3">
        <v>48.56</v>
      </c>
      <c r="C506" s="3" t="s">
        <v>85</v>
      </c>
      <c r="D506" s="3" t="s">
        <v>88</v>
      </c>
    </row>
    <row r="507" spans="1:4">
      <c r="A507" s="3">
        <v>47</v>
      </c>
      <c r="B507" s="3">
        <v>32</v>
      </c>
      <c r="C507" s="3" t="s">
        <v>85</v>
      </c>
      <c r="D507" s="3" t="s">
        <v>103</v>
      </c>
    </row>
    <row r="508" spans="1:4">
      <c r="A508" s="3">
        <v>428</v>
      </c>
      <c r="B508" s="3">
        <v>32</v>
      </c>
      <c r="C508" s="3" t="s">
        <v>85</v>
      </c>
      <c r="D508" s="3" t="s">
        <v>86</v>
      </c>
    </row>
    <row r="509" spans="1:4">
      <c r="A509" s="3">
        <v>299</v>
      </c>
      <c r="B509" s="3">
        <v>31.87</v>
      </c>
      <c r="C509" s="3" t="s">
        <v>85</v>
      </c>
      <c r="D509" s="3" t="s">
        <v>105</v>
      </c>
    </row>
    <row r="510" spans="1:4">
      <c r="A510" s="3">
        <v>180</v>
      </c>
      <c r="B510" s="3">
        <v>31.63</v>
      </c>
      <c r="C510" s="3" t="s">
        <v>79</v>
      </c>
      <c r="D510" s="3" t="s">
        <v>88</v>
      </c>
    </row>
    <row r="511" spans="1:4">
      <c r="A511" s="3">
        <v>76</v>
      </c>
      <c r="B511" s="3">
        <v>31.33</v>
      </c>
      <c r="C511" s="3" t="s">
        <v>79</v>
      </c>
      <c r="D511" s="3" t="s">
        <v>80</v>
      </c>
    </row>
    <row r="512" spans="1:4">
      <c r="A512" s="3">
        <v>159</v>
      </c>
      <c r="B512" s="3">
        <v>31.33</v>
      </c>
      <c r="C512" s="3" t="s">
        <v>79</v>
      </c>
      <c r="D512" s="3" t="s">
        <v>80</v>
      </c>
    </row>
    <row r="513" spans="1:4">
      <c r="A513" s="3">
        <v>361</v>
      </c>
      <c r="B513" s="3">
        <v>31.33</v>
      </c>
      <c r="C513" s="3"/>
      <c r="D513" s="3" t="s">
        <v>80</v>
      </c>
    </row>
    <row r="514" spans="1:4">
      <c r="A514" s="3">
        <v>425</v>
      </c>
      <c r="B514" s="3">
        <v>31.33</v>
      </c>
      <c r="C514" s="3" t="s">
        <v>79</v>
      </c>
      <c r="D514" s="3" t="s">
        <v>80</v>
      </c>
    </row>
    <row r="515" spans="1:4">
      <c r="A515" s="3">
        <v>449</v>
      </c>
      <c r="B515" s="3">
        <v>31.33</v>
      </c>
      <c r="C515" s="3" t="s">
        <v>79</v>
      </c>
      <c r="D515" s="3" t="s">
        <v>80</v>
      </c>
    </row>
    <row r="516" spans="1:4">
      <c r="A516" s="3">
        <v>578</v>
      </c>
      <c r="B516" s="3">
        <v>31.33</v>
      </c>
      <c r="C516" s="3" t="s">
        <v>79</v>
      </c>
      <c r="D516" s="3" t="s">
        <v>80</v>
      </c>
    </row>
    <row r="517" spans="1:4">
      <c r="A517" s="3">
        <v>12</v>
      </c>
      <c r="B517" s="3">
        <v>31.24</v>
      </c>
      <c r="C517" s="3" t="s">
        <v>79</v>
      </c>
      <c r="D517" s="3" t="s">
        <v>100</v>
      </c>
    </row>
    <row r="518" spans="1:4">
      <c r="A518" s="3">
        <v>32</v>
      </c>
      <c r="B518" s="3">
        <v>31.08</v>
      </c>
      <c r="C518" s="3" t="s">
        <v>79</v>
      </c>
      <c r="D518" s="3" t="s">
        <v>88</v>
      </c>
    </row>
    <row r="519" spans="1:4">
      <c r="A519" s="3">
        <v>88</v>
      </c>
      <c r="B519" s="3">
        <v>31</v>
      </c>
      <c r="C519" s="3" t="s">
        <v>104</v>
      </c>
      <c r="D519" s="3" t="s">
        <v>80</v>
      </c>
    </row>
    <row r="520" spans="1:4">
      <c r="A520" s="3">
        <v>165</v>
      </c>
      <c r="B520" s="3">
        <v>31</v>
      </c>
      <c r="C520" s="3" t="s">
        <v>79</v>
      </c>
      <c r="D520" s="3" t="s">
        <v>86</v>
      </c>
    </row>
    <row r="521" spans="1:4">
      <c r="A521" s="3">
        <v>243</v>
      </c>
      <c r="B521" s="3">
        <v>31</v>
      </c>
      <c r="C521" s="3" t="s">
        <v>79</v>
      </c>
      <c r="D521" s="3" t="s">
        <v>88</v>
      </c>
    </row>
    <row r="522" spans="1:4">
      <c r="A522" s="3">
        <v>210</v>
      </c>
      <c r="B522" s="3">
        <v>30.76</v>
      </c>
      <c r="C522" s="3" t="s">
        <v>79</v>
      </c>
      <c r="D522" s="3" t="s">
        <v>100</v>
      </c>
    </row>
    <row r="523" spans="1:4">
      <c r="A523" s="3">
        <v>446</v>
      </c>
      <c r="B523" s="3">
        <v>30.76</v>
      </c>
      <c r="C523" s="3"/>
      <c r="D523" s="3" t="s">
        <v>88</v>
      </c>
    </row>
    <row r="524" spans="1:4">
      <c r="A524" s="3">
        <v>71</v>
      </c>
      <c r="B524" s="3">
        <v>30.74</v>
      </c>
      <c r="C524" s="3" t="s">
        <v>79</v>
      </c>
      <c r="D524" s="3" t="s">
        <v>105</v>
      </c>
    </row>
    <row r="525" spans="1:4">
      <c r="A525" s="3">
        <v>152</v>
      </c>
      <c r="B525" s="3">
        <v>30.74</v>
      </c>
      <c r="C525" s="3" t="s">
        <v>79</v>
      </c>
      <c r="D525" s="3" t="s">
        <v>105</v>
      </c>
    </row>
    <row r="526" spans="1:4">
      <c r="A526" s="3">
        <v>212</v>
      </c>
      <c r="B526" s="3">
        <v>30.74</v>
      </c>
      <c r="C526" s="3" t="s">
        <v>79</v>
      </c>
      <c r="D526" s="3"/>
    </row>
    <row r="527" spans="1:4">
      <c r="A527" s="3">
        <v>224</v>
      </c>
      <c r="B527" s="3">
        <v>30.74</v>
      </c>
      <c r="C527" s="3" t="s">
        <v>79</v>
      </c>
      <c r="D527" s="3" t="s">
        <v>105</v>
      </c>
    </row>
    <row r="528" spans="1:4">
      <c r="A528" s="3">
        <v>460</v>
      </c>
      <c r="B528" s="3">
        <v>30.74</v>
      </c>
      <c r="C528" s="3" t="s">
        <v>79</v>
      </c>
      <c r="D528" s="3" t="s">
        <v>105</v>
      </c>
    </row>
    <row r="529" spans="1:4">
      <c r="A529" s="3">
        <v>515</v>
      </c>
      <c r="B529" s="3">
        <v>30.74</v>
      </c>
      <c r="C529" s="3" t="s">
        <v>79</v>
      </c>
      <c r="D529" s="3" t="s">
        <v>105</v>
      </c>
    </row>
    <row r="530" spans="1:4">
      <c r="A530" s="3">
        <v>563</v>
      </c>
      <c r="B530" s="3">
        <v>30.74</v>
      </c>
      <c r="C530" s="3" t="s">
        <v>79</v>
      </c>
      <c r="D530" s="3" t="s">
        <v>105</v>
      </c>
    </row>
    <row r="531" spans="1:4">
      <c r="A531" s="3">
        <v>582</v>
      </c>
      <c r="B531" s="3">
        <v>30.74</v>
      </c>
      <c r="C531" s="3" t="s">
        <v>79</v>
      </c>
      <c r="D531" s="3" t="s">
        <v>105</v>
      </c>
    </row>
    <row r="532" spans="1:4">
      <c r="A532" s="3">
        <v>170</v>
      </c>
      <c r="B532" s="3">
        <v>30.47</v>
      </c>
      <c r="C532" s="3" t="s">
        <v>79</v>
      </c>
      <c r="D532" s="3" t="s">
        <v>100</v>
      </c>
    </row>
    <row r="533" spans="1:4">
      <c r="A533" s="3">
        <v>351</v>
      </c>
      <c r="B533" s="3">
        <v>30.47</v>
      </c>
      <c r="C533" s="3" t="s">
        <v>79</v>
      </c>
      <c r="D533" s="3" t="s">
        <v>100</v>
      </c>
    </row>
    <row r="534" spans="1:4">
      <c r="A534" s="3">
        <v>463</v>
      </c>
      <c r="B534" s="3">
        <v>30.47</v>
      </c>
      <c r="C534" s="3" t="s">
        <v>79</v>
      </c>
      <c r="D534" s="3" t="s">
        <v>100</v>
      </c>
    </row>
    <row r="535" spans="1:4">
      <c r="A535" s="3">
        <v>498</v>
      </c>
      <c r="B535" s="3">
        <v>30.47</v>
      </c>
      <c r="C535" s="3" t="s">
        <v>79</v>
      </c>
      <c r="D535" s="3" t="s">
        <v>100</v>
      </c>
    </row>
    <row r="536" spans="1:4">
      <c r="A536" s="3">
        <v>394</v>
      </c>
      <c r="B536" s="3">
        <v>30.16</v>
      </c>
      <c r="C536" s="3" t="s">
        <v>79</v>
      </c>
      <c r="D536" s="3" t="s">
        <v>80</v>
      </c>
    </row>
    <row r="537" spans="1:4">
      <c r="A537" s="3">
        <v>415</v>
      </c>
      <c r="B537" s="3">
        <v>30.01</v>
      </c>
      <c r="C537" s="3" t="s">
        <v>79</v>
      </c>
      <c r="D537" s="3" t="s">
        <v>88</v>
      </c>
    </row>
    <row r="538" spans="1:4">
      <c r="A538" s="3">
        <v>104</v>
      </c>
      <c r="B538" s="3">
        <v>29.56</v>
      </c>
      <c r="C538" s="3" t="s">
        <v>79</v>
      </c>
      <c r="D538" s="3" t="s">
        <v>100</v>
      </c>
    </row>
    <row r="539" spans="1:4">
      <c r="A539" s="3">
        <v>168</v>
      </c>
      <c r="B539" s="3">
        <v>29.56</v>
      </c>
      <c r="C539" s="3" t="s">
        <v>79</v>
      </c>
      <c r="D539" s="3" t="s">
        <v>100</v>
      </c>
    </row>
    <row r="540" spans="1:4">
      <c r="A540" s="3">
        <v>290</v>
      </c>
      <c r="B540" s="3">
        <v>29.56</v>
      </c>
      <c r="C540" s="3" t="s">
        <v>79</v>
      </c>
      <c r="D540" s="3" t="s">
        <v>100</v>
      </c>
    </row>
    <row r="541" spans="1:4">
      <c r="A541" s="3">
        <v>371</v>
      </c>
      <c r="B541" s="3">
        <v>29.56</v>
      </c>
      <c r="C541" s="3" t="s">
        <v>79</v>
      </c>
      <c r="D541" s="3" t="s">
        <v>80</v>
      </c>
    </row>
    <row r="542" spans="1:4">
      <c r="A542" s="3">
        <v>403</v>
      </c>
      <c r="B542" s="3">
        <v>29.56</v>
      </c>
      <c r="C542" s="3" t="s">
        <v>79</v>
      </c>
      <c r="D542" s="3" t="s">
        <v>80</v>
      </c>
    </row>
    <row r="543" spans="1:4">
      <c r="A543" s="3">
        <v>592</v>
      </c>
      <c r="B543" s="3">
        <v>29.56</v>
      </c>
      <c r="C543" s="3" t="s">
        <v>79</v>
      </c>
      <c r="D543" s="3" t="s">
        <v>100</v>
      </c>
    </row>
    <row r="544" spans="1:4">
      <c r="A544" s="3">
        <v>595</v>
      </c>
      <c r="B544" s="3">
        <v>29.56</v>
      </c>
      <c r="C544" s="3" t="s">
        <v>79</v>
      </c>
      <c r="D544" s="3" t="s">
        <v>100</v>
      </c>
    </row>
    <row r="545" spans="1:4">
      <c r="A545" s="3">
        <v>295</v>
      </c>
      <c r="B545" s="3">
        <v>29.55</v>
      </c>
      <c r="C545" s="3" t="s">
        <v>104</v>
      </c>
      <c r="D545" s="3" t="s">
        <v>86</v>
      </c>
    </row>
    <row r="546" spans="1:4">
      <c r="A546" s="3">
        <v>384</v>
      </c>
      <c r="B546" s="3">
        <v>29.55</v>
      </c>
      <c r="C546" s="3" t="s">
        <v>79</v>
      </c>
      <c r="D546" s="3" t="s">
        <v>80</v>
      </c>
    </row>
    <row r="547" spans="1:4">
      <c r="A547" s="3">
        <v>507</v>
      </c>
      <c r="B547" s="3">
        <v>29.55</v>
      </c>
      <c r="C547" s="3" t="s">
        <v>79</v>
      </c>
      <c r="D547" s="3" t="s">
        <v>100</v>
      </c>
    </row>
    <row r="548" spans="1:4">
      <c r="A548" s="3">
        <v>27</v>
      </c>
      <c r="B548" s="3">
        <v>29.3</v>
      </c>
      <c r="C548" s="3" t="s">
        <v>79</v>
      </c>
      <c r="D548" s="3" t="s">
        <v>100</v>
      </c>
    </row>
    <row r="549" spans="1:4">
      <c r="A549" s="3">
        <v>240</v>
      </c>
      <c r="B549" s="3">
        <v>29.3</v>
      </c>
      <c r="C549" s="3" t="s">
        <v>79</v>
      </c>
      <c r="D549" s="3" t="s">
        <v>100</v>
      </c>
    </row>
    <row r="550" spans="1:4">
      <c r="A550" s="3">
        <v>235</v>
      </c>
      <c r="B550" s="3">
        <v>48.97</v>
      </c>
      <c r="C550" s="3" t="s">
        <v>85</v>
      </c>
      <c r="D550" s="3" t="s">
        <v>88</v>
      </c>
    </row>
    <row r="551" spans="1:4">
      <c r="A551" s="3">
        <v>477</v>
      </c>
      <c r="B551" s="3">
        <v>49.32</v>
      </c>
      <c r="C551" s="3" t="s">
        <v>85</v>
      </c>
      <c r="D551" s="3" t="s">
        <v>88</v>
      </c>
    </row>
    <row r="552" spans="1:4">
      <c r="A552" s="3">
        <v>602</v>
      </c>
      <c r="B552" s="3">
        <v>28.74</v>
      </c>
      <c r="C552" s="3" t="s">
        <v>79</v>
      </c>
      <c r="D552" s="3" t="s">
        <v>80</v>
      </c>
    </row>
    <row r="553" spans="1:4">
      <c r="A553" s="3">
        <v>387</v>
      </c>
      <c r="B553" s="3">
        <v>28.44</v>
      </c>
      <c r="C553" s="3" t="s">
        <v>79</v>
      </c>
      <c r="D553" s="3"/>
    </row>
    <row r="554" spans="1:4">
      <c r="A554" s="3">
        <v>562</v>
      </c>
      <c r="B554" s="3">
        <v>28.44</v>
      </c>
      <c r="C554" s="3" t="s">
        <v>79</v>
      </c>
      <c r="D554" s="3" t="s">
        <v>80</v>
      </c>
    </row>
    <row r="555" spans="1:4">
      <c r="A555" s="3">
        <v>586</v>
      </c>
      <c r="B555" s="3">
        <v>28.44</v>
      </c>
      <c r="C555" s="3" t="s">
        <v>79</v>
      </c>
      <c r="D555" s="3" t="s">
        <v>80</v>
      </c>
    </row>
    <row r="556" spans="1:4">
      <c r="A556" s="3">
        <v>301</v>
      </c>
      <c r="B556" s="3">
        <v>28.17</v>
      </c>
      <c r="C556" s="3" t="s">
        <v>79</v>
      </c>
      <c r="D556" s="3" t="s">
        <v>100</v>
      </c>
    </row>
    <row r="557" spans="1:4">
      <c r="A557" s="3">
        <v>11</v>
      </c>
      <c r="B557" s="3">
        <v>28</v>
      </c>
      <c r="C557" s="3" t="s">
        <v>85</v>
      </c>
      <c r="D557" s="3" t="s">
        <v>86</v>
      </c>
    </row>
    <row r="558" spans="1:4">
      <c r="A558" s="3">
        <v>577</v>
      </c>
      <c r="B558" s="3">
        <v>27.9</v>
      </c>
      <c r="C558" s="3" t="s">
        <v>85</v>
      </c>
      <c r="D558" s="3"/>
    </row>
    <row r="559" spans="1:4">
      <c r="A559" s="3">
        <v>359</v>
      </c>
      <c r="B559" s="3">
        <v>27.8</v>
      </c>
      <c r="C559" s="3" t="s">
        <v>85</v>
      </c>
      <c r="D559" s="3" t="s">
        <v>86</v>
      </c>
    </row>
    <row r="560" spans="1:4">
      <c r="A560" s="3">
        <v>62</v>
      </c>
      <c r="B560" s="3">
        <v>27.18</v>
      </c>
      <c r="C560" s="3" t="s">
        <v>79</v>
      </c>
      <c r="D560" s="3" t="s">
        <v>86</v>
      </c>
    </row>
    <row r="561" spans="1:4">
      <c r="A561" s="3">
        <v>86</v>
      </c>
      <c r="B561" s="3">
        <v>27.18</v>
      </c>
      <c r="C561" s="3" t="s">
        <v>79</v>
      </c>
      <c r="D561" s="3" t="s">
        <v>86</v>
      </c>
    </row>
    <row r="562" spans="1:4">
      <c r="A562" s="3">
        <v>214</v>
      </c>
      <c r="B562" s="3">
        <v>27.18</v>
      </c>
      <c r="C562" s="3" t="s">
        <v>79</v>
      </c>
      <c r="D562" s="3" t="s">
        <v>86</v>
      </c>
    </row>
    <row r="563" spans="1:4">
      <c r="A563" s="3">
        <v>239</v>
      </c>
      <c r="B563" s="3">
        <v>27.18</v>
      </c>
      <c r="C563" s="3" t="s">
        <v>79</v>
      </c>
      <c r="D563" s="3" t="s">
        <v>86</v>
      </c>
    </row>
    <row r="564" spans="1:4">
      <c r="A564" s="3">
        <v>318</v>
      </c>
      <c r="B564" s="3">
        <v>27.18</v>
      </c>
      <c r="C564" s="3" t="s">
        <v>79</v>
      </c>
      <c r="D564" s="3" t="s">
        <v>88</v>
      </c>
    </row>
    <row r="565" spans="1:4">
      <c r="A565" s="3">
        <v>344</v>
      </c>
      <c r="B565" s="3">
        <v>27.18</v>
      </c>
      <c r="C565" s="3" t="s">
        <v>79</v>
      </c>
      <c r="D565" s="3" t="s">
        <v>88</v>
      </c>
    </row>
    <row r="566" spans="1:4">
      <c r="A566" s="3">
        <v>345</v>
      </c>
      <c r="B566" s="3">
        <v>27.18</v>
      </c>
      <c r="C566" s="3" t="s">
        <v>79</v>
      </c>
      <c r="D566" s="3" t="s">
        <v>100</v>
      </c>
    </row>
    <row r="567" spans="1:4">
      <c r="A567" s="3">
        <v>372</v>
      </c>
      <c r="B567" s="3">
        <v>27.18</v>
      </c>
      <c r="C567" s="3" t="s">
        <v>79</v>
      </c>
      <c r="D567" s="3" t="s">
        <v>88</v>
      </c>
    </row>
    <row r="568" spans="1:4">
      <c r="A568" s="3">
        <v>423</v>
      </c>
      <c r="B568" s="3">
        <v>27.18</v>
      </c>
      <c r="C568" s="3" t="s">
        <v>79</v>
      </c>
      <c r="D568" s="3" t="s">
        <v>86</v>
      </c>
    </row>
    <row r="569" spans="1:4">
      <c r="A569" s="3">
        <v>436</v>
      </c>
      <c r="B569" s="3">
        <v>27.18</v>
      </c>
      <c r="C569" s="3" t="s">
        <v>79</v>
      </c>
      <c r="D569" s="3" t="s">
        <v>100</v>
      </c>
    </row>
    <row r="570" spans="1:4">
      <c r="A570" s="3">
        <v>487</v>
      </c>
      <c r="B570" s="3">
        <v>27.18</v>
      </c>
      <c r="C570" s="3" t="s">
        <v>79</v>
      </c>
      <c r="D570" s="3" t="s">
        <v>100</v>
      </c>
    </row>
    <row r="571" spans="1:4">
      <c r="A571" s="3">
        <v>525</v>
      </c>
      <c r="B571" s="3">
        <v>27.18</v>
      </c>
      <c r="C571" s="3" t="s">
        <v>79</v>
      </c>
      <c r="D571" s="3" t="s">
        <v>86</v>
      </c>
    </row>
    <row r="572" spans="1:4">
      <c r="A572" s="3">
        <v>144</v>
      </c>
      <c r="B572" s="3">
        <v>26.9</v>
      </c>
      <c r="C572" s="3" t="s">
        <v>79</v>
      </c>
      <c r="D572" s="3" t="s">
        <v>103</v>
      </c>
    </row>
    <row r="573" spans="1:4">
      <c r="A573" s="3">
        <v>184</v>
      </c>
      <c r="B573" s="3">
        <v>26.9</v>
      </c>
      <c r="C573" s="3" t="s">
        <v>79</v>
      </c>
      <c r="D573" s="3" t="s">
        <v>103</v>
      </c>
    </row>
    <row r="574" spans="1:4">
      <c r="A574" s="3">
        <v>566</v>
      </c>
      <c r="B574" s="3">
        <v>26.9</v>
      </c>
      <c r="C574" s="3" t="s">
        <v>79</v>
      </c>
      <c r="D574" s="3" t="s">
        <v>103</v>
      </c>
    </row>
    <row r="575" spans="1:4">
      <c r="A575" s="3">
        <v>336</v>
      </c>
      <c r="B575" s="3">
        <v>26.85</v>
      </c>
      <c r="C575" s="3" t="s">
        <v>79</v>
      </c>
      <c r="D575" s="3" t="s">
        <v>105</v>
      </c>
    </row>
    <row r="576" spans="1:4">
      <c r="A576" s="3">
        <v>20</v>
      </c>
      <c r="B576" s="3">
        <v>26.09</v>
      </c>
      <c r="C576" s="3" t="s">
        <v>79</v>
      </c>
      <c r="D576" s="3" t="s">
        <v>100</v>
      </c>
    </row>
    <row r="577" spans="1:4">
      <c r="A577" s="3">
        <v>66</v>
      </c>
      <c r="B577" s="3">
        <v>26.09</v>
      </c>
      <c r="C577" s="3" t="s">
        <v>79</v>
      </c>
      <c r="D577" s="3"/>
    </row>
    <row r="578" spans="1:4">
      <c r="A578" s="3">
        <v>150</v>
      </c>
      <c r="B578" s="3">
        <v>26.09</v>
      </c>
      <c r="C578" s="3" t="s">
        <v>79</v>
      </c>
      <c r="D578" s="3" t="s">
        <v>80</v>
      </c>
    </row>
    <row r="579" spans="1:4">
      <c r="A579" s="3">
        <v>251</v>
      </c>
      <c r="B579" s="3">
        <v>26.09</v>
      </c>
      <c r="C579" s="3" t="s">
        <v>104</v>
      </c>
      <c r="D579" s="3" t="s">
        <v>105</v>
      </c>
    </row>
    <row r="580" spans="1:4">
      <c r="A580" s="3">
        <v>291</v>
      </c>
      <c r="B580" s="3">
        <v>26.09</v>
      </c>
      <c r="C580" s="3" t="s">
        <v>79</v>
      </c>
      <c r="D580" s="3"/>
    </row>
    <row r="581" spans="1:4">
      <c r="A581" s="3">
        <v>346</v>
      </c>
      <c r="B581" s="3">
        <v>26.09</v>
      </c>
      <c r="C581" s="3" t="s">
        <v>79</v>
      </c>
      <c r="D581" s="3" t="s">
        <v>80</v>
      </c>
    </row>
    <row r="582" spans="1:4">
      <c r="A582" s="3">
        <v>347</v>
      </c>
      <c r="B582" s="3">
        <v>26.09</v>
      </c>
      <c r="C582" s="3" t="s">
        <v>79</v>
      </c>
      <c r="D582" s="3"/>
    </row>
    <row r="583" spans="1:4">
      <c r="A583" s="3">
        <v>604</v>
      </c>
      <c r="B583" s="3">
        <v>26.09</v>
      </c>
      <c r="C583" s="3" t="s">
        <v>79</v>
      </c>
      <c r="D583" s="3" t="s">
        <v>80</v>
      </c>
    </row>
    <row r="584" spans="1:4">
      <c r="A584" s="3">
        <v>328</v>
      </c>
      <c r="B584" s="3">
        <v>25.54</v>
      </c>
      <c r="C584" s="3" t="s">
        <v>79</v>
      </c>
      <c r="D584" s="3" t="s">
        <v>105</v>
      </c>
    </row>
    <row r="585" spans="1:4">
      <c r="A585" s="3">
        <v>68</v>
      </c>
      <c r="B585" s="3">
        <v>25.4</v>
      </c>
      <c r="C585" s="3" t="s">
        <v>79</v>
      </c>
      <c r="D585" s="3" t="s">
        <v>86</v>
      </c>
    </row>
    <row r="586" spans="1:4">
      <c r="A586" s="3">
        <v>78</v>
      </c>
      <c r="B586" s="3">
        <v>25.4</v>
      </c>
      <c r="C586" s="3" t="s">
        <v>79</v>
      </c>
      <c r="D586" s="3" t="s">
        <v>86</v>
      </c>
    </row>
    <row r="587" spans="1:4">
      <c r="A587" s="3">
        <v>156</v>
      </c>
      <c r="B587" s="3">
        <v>25.4</v>
      </c>
      <c r="C587" s="3" t="s">
        <v>79</v>
      </c>
      <c r="D587" s="3" t="s">
        <v>86</v>
      </c>
    </row>
    <row r="588" spans="1:4">
      <c r="A588" s="3">
        <v>289</v>
      </c>
      <c r="B588" s="3">
        <v>25.24</v>
      </c>
      <c r="C588" s="3" t="s">
        <v>79</v>
      </c>
      <c r="D588" s="3" t="s">
        <v>100</v>
      </c>
    </row>
    <row r="589" spans="1:4">
      <c r="A589" s="3">
        <v>357</v>
      </c>
      <c r="B589" s="3">
        <v>25.24</v>
      </c>
      <c r="C589" s="3" t="s">
        <v>79</v>
      </c>
      <c r="D589" s="3" t="s">
        <v>100</v>
      </c>
    </row>
    <row r="590" spans="1:4">
      <c r="A590" s="3">
        <v>127</v>
      </c>
      <c r="B590" s="3">
        <v>25.17</v>
      </c>
      <c r="C590" s="3" t="s">
        <v>104</v>
      </c>
      <c r="D590" s="3" t="s">
        <v>103</v>
      </c>
    </row>
    <row r="591" spans="1:4">
      <c r="A591" s="3">
        <v>142</v>
      </c>
      <c r="B591" s="3">
        <v>25.17</v>
      </c>
      <c r="C591" s="3" t="s">
        <v>85</v>
      </c>
      <c r="D591" s="3" t="s">
        <v>86</v>
      </c>
    </row>
    <row r="592" spans="1:4">
      <c r="A592" s="3">
        <v>216</v>
      </c>
      <c r="B592" s="3">
        <v>25.17</v>
      </c>
      <c r="C592" s="3" t="s">
        <v>104</v>
      </c>
      <c r="D592" s="3" t="s">
        <v>86</v>
      </c>
    </row>
    <row r="593" spans="1:4">
      <c r="A593" s="3">
        <v>365</v>
      </c>
      <c r="B593" s="3">
        <v>25.17</v>
      </c>
      <c r="C593" s="3" t="s">
        <v>79</v>
      </c>
      <c r="D593" s="3" t="s">
        <v>103</v>
      </c>
    </row>
    <row r="594" spans="1:4">
      <c r="A594" s="3">
        <v>584</v>
      </c>
      <c r="B594" s="3">
        <v>25.17</v>
      </c>
      <c r="C594" s="3" t="s">
        <v>79</v>
      </c>
      <c r="D594" s="3" t="s">
        <v>86</v>
      </c>
    </row>
    <row r="595" spans="1:4">
      <c r="A595" s="3">
        <v>205</v>
      </c>
      <c r="B595" s="3">
        <v>25</v>
      </c>
      <c r="C595" s="3" t="s">
        <v>85</v>
      </c>
      <c r="D595" s="3" t="s">
        <v>86</v>
      </c>
    </row>
    <row r="596" spans="1:4">
      <c r="A596" s="3">
        <v>181</v>
      </c>
      <c r="B596" s="3">
        <v>24.89</v>
      </c>
      <c r="C596" s="3" t="s">
        <v>79</v>
      </c>
      <c r="D596" s="3" t="s">
        <v>103</v>
      </c>
    </row>
    <row r="597" spans="1:4">
      <c r="A597" s="3">
        <v>337</v>
      </c>
      <c r="B597" s="3">
        <v>24.89</v>
      </c>
      <c r="C597" s="3" t="s">
        <v>79</v>
      </c>
      <c r="D597" s="3" t="s">
        <v>103</v>
      </c>
    </row>
    <row r="598" spans="1:4">
      <c r="A598" s="3">
        <v>470</v>
      </c>
      <c r="B598" s="3">
        <v>24.89</v>
      </c>
      <c r="C598" s="3" t="s">
        <v>79</v>
      </c>
      <c r="D598" s="3" t="s">
        <v>103</v>
      </c>
    </row>
    <row r="599" spans="1:4">
      <c r="A599" s="3">
        <v>499</v>
      </c>
      <c r="B599" s="3">
        <v>24.89</v>
      </c>
      <c r="C599" s="3" t="s">
        <v>79</v>
      </c>
      <c r="D599" s="3" t="s">
        <v>103</v>
      </c>
    </row>
    <row r="600" spans="1:4">
      <c r="A600" s="3">
        <v>16</v>
      </c>
      <c r="B600" s="3">
        <v>24.76</v>
      </c>
      <c r="C600" s="3" t="s">
        <v>85</v>
      </c>
      <c r="D600" s="3" t="s">
        <v>105</v>
      </c>
    </row>
    <row r="601" spans="1:4">
      <c r="A601" s="3">
        <v>221</v>
      </c>
      <c r="B601" s="3">
        <v>24.76</v>
      </c>
      <c r="C601" s="3" t="s">
        <v>85</v>
      </c>
      <c r="D601" s="3" t="s">
        <v>105</v>
      </c>
    </row>
    <row r="602" spans="1:4">
      <c r="A602" s="3">
        <v>559</v>
      </c>
      <c r="B602" s="3">
        <v>24.42</v>
      </c>
      <c r="C602" s="3" t="s">
        <v>79</v>
      </c>
      <c r="D602" s="3" t="s">
        <v>86</v>
      </c>
    </row>
    <row r="603" spans="1:4">
      <c r="A603" s="3">
        <v>467</v>
      </c>
      <c r="B603" s="3">
        <v>24.28</v>
      </c>
      <c r="C603" s="3" t="s">
        <v>79</v>
      </c>
      <c r="D603" s="3" t="s">
        <v>86</v>
      </c>
    </row>
    <row r="604" spans="1:4">
      <c r="A604" s="3">
        <v>547</v>
      </c>
      <c r="B604" s="3">
        <v>24.28</v>
      </c>
      <c r="C604" s="3" t="s">
        <v>79</v>
      </c>
      <c r="D604" s="3" t="s">
        <v>103</v>
      </c>
    </row>
    <row r="605" spans="1:4">
      <c r="A605" s="3">
        <v>580</v>
      </c>
      <c r="B605" s="3">
        <v>24.28</v>
      </c>
      <c r="C605" s="3" t="s">
        <v>79</v>
      </c>
      <c r="D605" s="3" t="s">
        <v>88</v>
      </c>
    </row>
  </sheetData>
  <sortState xmlns:xlrd2="http://schemas.microsoft.com/office/spreadsheetml/2017/richdata2" ref="A1:D1">
    <sortCondition ref="D1"/>
    <sortCondition ref="C1"/>
    <sortCondition ref="B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1FC7ADD27A134B92D0C21C975B5030" ma:contentTypeVersion="8" ma:contentTypeDescription="Create a new document." ma:contentTypeScope="" ma:versionID="29b2d8f5016614ee7db90ae61d94d5a1">
  <xsd:schema xmlns:xsd="http://www.w3.org/2001/XMLSchema" xmlns:xs="http://www.w3.org/2001/XMLSchema" xmlns:p="http://schemas.microsoft.com/office/2006/metadata/properties" xmlns:ns2="89c7a8c3-a03a-420b-ac21-90cd38a91df7" targetNamespace="http://schemas.microsoft.com/office/2006/metadata/properties" ma:root="true" ma:fieldsID="230fff80464bdb34158622049499dd70" ns2:_="">
    <xsd:import namespace="89c7a8c3-a03a-420b-ac21-90cd38a91d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7a8c3-a03a-420b-ac21-90cd38a91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5EFA6F-ED2C-4D48-8347-C72D87867C54}"/>
</file>

<file path=customXml/itemProps2.xml><?xml version="1.0" encoding="utf-8"?>
<ds:datastoreItem xmlns:ds="http://schemas.openxmlformats.org/officeDocument/2006/customXml" ds:itemID="{48E41730-2A50-415B-8645-A5A8EA3A69D4}"/>
</file>

<file path=customXml/itemProps3.xml><?xml version="1.0" encoding="utf-8"?>
<ds:datastoreItem xmlns:ds="http://schemas.openxmlformats.org/officeDocument/2006/customXml" ds:itemID="{605B1B7A-DA34-4944-BB27-6C79ECA222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Bunthit Watanapa</dc:creator>
  <cp:keywords/>
  <dc:description/>
  <cp:lastModifiedBy>KRISSANA PIPUTPRUEDTIGUL</cp:lastModifiedBy>
  <cp:revision/>
  <dcterms:created xsi:type="dcterms:W3CDTF">2021-02-07T10:56:41Z</dcterms:created>
  <dcterms:modified xsi:type="dcterms:W3CDTF">2025-04-21T02:44:08Z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0x010100501FC7ADD27A134B92D0C21C975B5030</vt:lpwstr>
  </property>
</Properties>
</file>