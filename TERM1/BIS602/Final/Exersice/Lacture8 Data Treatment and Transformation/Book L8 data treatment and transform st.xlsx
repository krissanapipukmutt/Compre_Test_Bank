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Final/Exersice/Lacture8 Data Treatment and Transformation/"/>
    </mc:Choice>
  </mc:AlternateContent>
  <xr:revisionPtr revIDLastSave="148" documentId="13_ncr:1_{75F1AD03-E5F7-6147-B844-6B14635E59A9}" xr6:coauthVersionLast="47" xr6:coauthVersionMax="47" xr10:uidLastSave="{AF71AE27-37B9-CB46-B8CE-ED9DD2688BE1}"/>
  <bookViews>
    <workbookView xWindow="0" yWindow="760" windowWidth="30240" windowHeight="17680" activeTab="2" xr2:uid="{B6AB762F-0C05-45A0-ABD4-05BCF162CE86}"/>
  </bookViews>
  <sheets>
    <sheet name="Customers" sheetId="2" r:id="rId1"/>
    <sheet name="Restaurant_Reviews" sheetId="1" r:id="rId2"/>
    <sheet name="Gig" sheetId="3" r:id="rId3"/>
  </sheets>
  <definedNames>
    <definedName name="_xlnm._FilterDatabase" localSheetId="2" hidden="1">Gig!$A$1:$E$605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2" i="3"/>
  <c r="L4" i="3"/>
  <c r="L3" i="3"/>
  <c r="L2" i="3"/>
  <c r="I9" i="3"/>
  <c r="I8" i="3"/>
  <c r="I7" i="3"/>
  <c r="I6" i="3"/>
  <c r="H9" i="3"/>
  <c r="H8" i="3"/>
  <c r="H7" i="3"/>
  <c r="H6" i="3"/>
  <c r="H4" i="3"/>
  <c r="H3" i="3"/>
  <c r="H2" i="3"/>
</calcChain>
</file>

<file path=xl/sharedStrings.xml><?xml version="1.0" encoding="utf-8"?>
<sst xmlns="http://schemas.openxmlformats.org/spreadsheetml/2006/main" count="2226" uniqueCount="70">
  <si>
    <t>CustID</t>
  </si>
  <si>
    <t>Gender</t>
  </si>
  <si>
    <t>Race</t>
  </si>
  <si>
    <t>BirthDate</t>
  </si>
  <si>
    <t>College</t>
  </si>
  <si>
    <t>HouseholdSize</t>
  </si>
  <si>
    <t>ZipCode</t>
  </si>
  <si>
    <t>Income</t>
  </si>
  <si>
    <t>Spending2020</t>
  </si>
  <si>
    <t>Spending2021</t>
  </si>
  <si>
    <t>NumOfOrders</t>
  </si>
  <si>
    <t>DaysSinceLast</t>
  </si>
  <si>
    <t>Satisfaction</t>
  </si>
  <si>
    <t>Channel</t>
  </si>
  <si>
    <t>R_score</t>
  </si>
  <si>
    <t>F_score</t>
  </si>
  <si>
    <t>M_score</t>
  </si>
  <si>
    <t>Female</t>
  </si>
  <si>
    <t>Black</t>
  </si>
  <si>
    <t>Yes</t>
  </si>
  <si>
    <t>Very Dissatisfied</t>
  </si>
  <si>
    <t>SM</t>
  </si>
  <si>
    <t>Male</t>
  </si>
  <si>
    <t>White</t>
  </si>
  <si>
    <t>Neutral</t>
  </si>
  <si>
    <t>TV</t>
  </si>
  <si>
    <t>Very Satisfied</t>
  </si>
  <si>
    <t>Hispanic</t>
  </si>
  <si>
    <t>No</t>
  </si>
  <si>
    <t>Web</t>
  </si>
  <si>
    <t>Referral</t>
  </si>
  <si>
    <t>Asian</t>
  </si>
  <si>
    <t>Pacific Islander</t>
  </si>
  <si>
    <t>American Indian</t>
  </si>
  <si>
    <t>Somewhat Satisfied</t>
  </si>
  <si>
    <t>Somewhat Dissatisfied</t>
  </si>
  <si>
    <t>RecordNum</t>
  </si>
  <si>
    <t>Ambience</t>
  </si>
  <si>
    <t>Cleanliness</t>
  </si>
  <si>
    <t xml:space="preserve">Service </t>
  </si>
  <si>
    <t>Food</t>
  </si>
  <si>
    <t>EmployeeID</t>
  </si>
  <si>
    <t>HourlyWage</t>
  </si>
  <si>
    <t>Industry</t>
  </si>
  <si>
    <t>Job</t>
  </si>
  <si>
    <t>Exercise / Homework for Lecture 8</t>
  </si>
  <si>
    <t>Construction</t>
  </si>
  <si>
    <t>Analyst</t>
  </si>
  <si>
    <t>(1) worked in the automotive industry,</t>
  </si>
  <si>
    <t>Automotive</t>
  </si>
  <si>
    <t>Engineer</t>
  </si>
  <si>
    <t>(2) earned more than $30 per hour</t>
  </si>
  <si>
    <t>Sales Rep</t>
  </si>
  <si>
    <t>(3) worked in the automotive industry and earned more than $30 per hour.</t>
  </si>
  <si>
    <t>Other</t>
  </si>
  <si>
    <t>(4) the manager would like to know the hourly wage of the lowest-and the highest-paid employees at the company as a whole and the hourly wage of the lowest- and the highest-paid accountants who worked in the automotive and the tech industries.</t>
  </si>
  <si>
    <t>Accountant</t>
  </si>
  <si>
    <t>Programmer</t>
  </si>
  <si>
    <t>Consultant</t>
  </si>
  <si>
    <t>(5) transform the HourlyWage into 3 equal-width bins with categorical labels of Low, Medium, and High. Subsetting the data in to these 3 groups.</t>
  </si>
  <si>
    <t>Tech</t>
  </si>
  <si>
    <t>Max of  Accountant in Automotive</t>
  </si>
  <si>
    <t>Min of  Accountant in Automotive</t>
  </si>
  <si>
    <t>Max of  Accountant in Tech</t>
  </si>
  <si>
    <t>Min of  Accountant in Tech</t>
  </si>
  <si>
    <t>Low</t>
  </si>
  <si>
    <t>Medium</t>
  </si>
  <si>
    <t>High</t>
  </si>
  <si>
    <t>categorical labels</t>
  </si>
  <si>
    <t>Column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</si>
</sst>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3.5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3" borderId="0" xfId="0" applyFill="1"/>
    <xf numFmtId="0" fontId="2" fillId="3" borderId="0" xfId="0" applyFont="1" applyFill="1"/>
    <xf numFmtId="0" fontId="0" fillId="3" borderId="0" xfId="0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6B94-A9E6-4A47-AF7E-4053FED6ADB9}">
  <dimension ref="A1:Q201"/>
  <sheetViews>
    <sheetView topLeftCell="I1" workbookViewId="0">
      <selection activeCell="P1" sqref="P1"/>
    </sheetView>
  </sheetViews>
  <sheetFormatPr baseColWidth="10" defaultColWidth="9.1640625" defaultRowHeight="14" x14ac:dyDescent="0.15"/>
  <cols>
    <col min="1" max="3" width="9.1640625" style="1"/>
    <col min="4" max="4" width="12.33203125" style="1" customWidth="1"/>
    <col min="5" max="5" width="9.1640625" style="1"/>
    <col min="6" max="6" width="14.5" style="1" customWidth="1"/>
    <col min="7" max="7" width="10.5" style="1" customWidth="1"/>
    <col min="8" max="8" width="9.1640625" style="1"/>
    <col min="9" max="9" width="13.83203125" style="1" customWidth="1"/>
    <col min="10" max="10" width="13.5" style="1" customWidth="1"/>
    <col min="11" max="11" width="14" style="1" customWidth="1"/>
    <col min="12" max="12" width="14.33203125" style="1" customWidth="1"/>
    <col min="13" max="13" width="17.5" style="1" customWidth="1"/>
    <col min="14" max="14" width="11" style="1" customWidth="1"/>
    <col min="15" max="16384" width="9.1640625" style="1"/>
  </cols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5" t="s">
        <v>15</v>
      </c>
      <c r="Q1" s="5" t="s">
        <v>16</v>
      </c>
    </row>
    <row r="2" spans="1:17" x14ac:dyDescent="0.15">
      <c r="A2" s="1">
        <v>1530016</v>
      </c>
      <c r="B2" s="1" t="s">
        <v>17</v>
      </c>
      <c r="C2" s="1" t="s">
        <v>18</v>
      </c>
      <c r="D2" s="2">
        <v>31762</v>
      </c>
      <c r="E2" s="1" t="s">
        <v>19</v>
      </c>
      <c r="F2" s="1">
        <v>5</v>
      </c>
      <c r="G2" s="1">
        <v>90047</v>
      </c>
      <c r="H2" s="1">
        <v>53000</v>
      </c>
      <c r="I2" s="1">
        <v>287</v>
      </c>
      <c r="J2" s="1">
        <v>241</v>
      </c>
      <c r="K2" s="1">
        <v>3</v>
      </c>
      <c r="L2" s="1">
        <v>101</v>
      </c>
      <c r="M2" s="1" t="s">
        <v>20</v>
      </c>
      <c r="N2" s="1" t="s">
        <v>21</v>
      </c>
    </row>
    <row r="3" spans="1:17" x14ac:dyDescent="0.15">
      <c r="A3" s="1">
        <v>1531136</v>
      </c>
      <c r="B3" s="1" t="s">
        <v>22</v>
      </c>
      <c r="C3" s="1" t="s">
        <v>23</v>
      </c>
      <c r="D3" s="2">
        <v>34098</v>
      </c>
      <c r="E3" s="1" t="s">
        <v>19</v>
      </c>
      <c r="F3" s="1">
        <v>5</v>
      </c>
      <c r="G3" s="1">
        <v>90026</v>
      </c>
      <c r="H3" s="1">
        <v>94000</v>
      </c>
      <c r="I3" s="1">
        <v>1227</v>
      </c>
      <c r="J3" s="1">
        <v>843</v>
      </c>
      <c r="K3" s="1">
        <v>12</v>
      </c>
      <c r="L3" s="1">
        <v>262</v>
      </c>
      <c r="M3" s="1" t="s">
        <v>24</v>
      </c>
      <c r="N3" s="1" t="s">
        <v>25</v>
      </c>
    </row>
    <row r="4" spans="1:17" x14ac:dyDescent="0.15">
      <c r="A4" s="1">
        <v>1532160</v>
      </c>
      <c r="B4" s="1" t="s">
        <v>22</v>
      </c>
      <c r="C4" s="1" t="s">
        <v>18</v>
      </c>
      <c r="D4" s="2">
        <v>24249</v>
      </c>
      <c r="E4" s="1" t="s">
        <v>19</v>
      </c>
      <c r="F4" s="1">
        <v>2</v>
      </c>
      <c r="G4" s="1">
        <v>90027</v>
      </c>
      <c r="H4" s="1">
        <v>64000</v>
      </c>
      <c r="I4" s="1">
        <v>523</v>
      </c>
      <c r="J4" s="1">
        <v>719</v>
      </c>
      <c r="K4" s="1">
        <v>9</v>
      </c>
      <c r="L4" s="1">
        <v>122</v>
      </c>
      <c r="M4" s="1" t="s">
        <v>26</v>
      </c>
      <c r="N4" s="1" t="s">
        <v>25</v>
      </c>
    </row>
    <row r="5" spans="1:17" x14ac:dyDescent="0.15">
      <c r="A5" s="1">
        <v>1532307</v>
      </c>
      <c r="B5" s="1" t="s">
        <v>22</v>
      </c>
      <c r="C5" s="1" t="s">
        <v>23</v>
      </c>
      <c r="D5" s="2">
        <v>23636</v>
      </c>
      <c r="E5" s="1" t="s">
        <v>19</v>
      </c>
      <c r="F5" s="1">
        <v>4</v>
      </c>
      <c r="G5" s="1">
        <v>90029</v>
      </c>
      <c r="H5" s="1">
        <v>60000</v>
      </c>
      <c r="I5" s="1">
        <v>516</v>
      </c>
      <c r="J5" s="1">
        <v>582</v>
      </c>
      <c r="K5" s="1">
        <v>13</v>
      </c>
      <c r="L5" s="1">
        <v>129</v>
      </c>
      <c r="M5" s="1" t="s">
        <v>20</v>
      </c>
      <c r="N5" s="1" t="s">
        <v>21</v>
      </c>
    </row>
    <row r="6" spans="1:17" x14ac:dyDescent="0.15">
      <c r="A6" s="1">
        <v>1532356</v>
      </c>
      <c r="B6" s="1" t="s">
        <v>17</v>
      </c>
      <c r="C6" s="1" t="s">
        <v>27</v>
      </c>
      <c r="D6" s="2">
        <v>23573</v>
      </c>
      <c r="E6" s="1" t="s">
        <v>28</v>
      </c>
      <c r="F6" s="1">
        <v>5</v>
      </c>
      <c r="G6" s="1">
        <v>90017</v>
      </c>
      <c r="H6" s="1">
        <v>47000</v>
      </c>
      <c r="I6" s="1">
        <v>555</v>
      </c>
      <c r="J6" s="1">
        <v>845</v>
      </c>
      <c r="K6" s="1">
        <v>7</v>
      </c>
      <c r="L6" s="1">
        <v>97</v>
      </c>
      <c r="M6" s="1" t="s">
        <v>20</v>
      </c>
      <c r="N6" s="1" t="s">
        <v>29</v>
      </c>
    </row>
    <row r="7" spans="1:17" x14ac:dyDescent="0.15">
      <c r="A7" s="1">
        <v>1532387</v>
      </c>
      <c r="B7" s="1" t="s">
        <v>22</v>
      </c>
      <c r="C7" s="1" t="s">
        <v>23</v>
      </c>
      <c r="D7" s="2">
        <v>21059</v>
      </c>
      <c r="E7" s="1" t="s">
        <v>19</v>
      </c>
      <c r="F7" s="1">
        <v>2</v>
      </c>
      <c r="G7" s="1">
        <v>90028</v>
      </c>
      <c r="H7" s="1">
        <v>67000</v>
      </c>
      <c r="I7" s="1">
        <v>631</v>
      </c>
      <c r="J7" s="1">
        <v>452</v>
      </c>
      <c r="K7" s="1">
        <v>9</v>
      </c>
      <c r="L7" s="1">
        <v>150</v>
      </c>
      <c r="M7" s="1" t="s">
        <v>24</v>
      </c>
      <c r="N7" s="1" t="s">
        <v>21</v>
      </c>
    </row>
    <row r="8" spans="1:17" x14ac:dyDescent="0.15">
      <c r="A8" s="1">
        <v>1533017</v>
      </c>
      <c r="B8" s="1" t="s">
        <v>17</v>
      </c>
      <c r="C8" s="1" t="s">
        <v>27</v>
      </c>
      <c r="D8" s="2">
        <v>31181</v>
      </c>
      <c r="E8" s="1" t="s">
        <v>19</v>
      </c>
      <c r="F8" s="1">
        <v>3</v>
      </c>
      <c r="G8" s="1">
        <v>90063</v>
      </c>
      <c r="H8" s="1">
        <v>84000</v>
      </c>
      <c r="I8" s="1">
        <v>229</v>
      </c>
      <c r="J8" s="1">
        <v>153</v>
      </c>
      <c r="K8" s="1">
        <v>2</v>
      </c>
      <c r="L8" s="1">
        <v>144</v>
      </c>
      <c r="M8" s="1" t="s">
        <v>26</v>
      </c>
      <c r="N8" s="1" t="s">
        <v>29</v>
      </c>
    </row>
    <row r="9" spans="1:17" x14ac:dyDescent="0.15">
      <c r="A9" s="1">
        <v>1533561</v>
      </c>
      <c r="B9" s="1" t="s">
        <v>22</v>
      </c>
      <c r="C9" s="1" t="s">
        <v>27</v>
      </c>
      <c r="D9" s="2">
        <v>29627</v>
      </c>
      <c r="E9" s="1" t="s">
        <v>19</v>
      </c>
      <c r="F9" s="1">
        <v>5</v>
      </c>
      <c r="G9" s="1">
        <v>90050</v>
      </c>
      <c r="H9" s="1">
        <v>76000</v>
      </c>
      <c r="I9" s="1">
        <v>1474</v>
      </c>
      <c r="J9" s="1">
        <v>1079</v>
      </c>
      <c r="K9" s="1">
        <v>23</v>
      </c>
      <c r="L9" s="1">
        <v>122</v>
      </c>
      <c r="M9" s="1" t="s">
        <v>26</v>
      </c>
      <c r="N9" s="1" t="s">
        <v>30</v>
      </c>
    </row>
    <row r="10" spans="1:17" x14ac:dyDescent="0.15">
      <c r="A10" s="1">
        <v>1533697</v>
      </c>
      <c r="B10" s="1" t="s">
        <v>17</v>
      </c>
      <c r="C10" s="1" t="s">
        <v>31</v>
      </c>
      <c r="D10" s="2">
        <v>27310</v>
      </c>
      <c r="E10" s="1" t="s">
        <v>19</v>
      </c>
      <c r="F10" s="1">
        <v>3</v>
      </c>
      <c r="G10" s="1">
        <v>90038</v>
      </c>
      <c r="H10" s="1">
        <v>42000</v>
      </c>
      <c r="I10" s="1">
        <v>300</v>
      </c>
      <c r="J10" s="1">
        <v>247</v>
      </c>
      <c r="K10" s="1">
        <v>3</v>
      </c>
      <c r="L10" s="1">
        <v>238</v>
      </c>
      <c r="M10" s="1" t="s">
        <v>26</v>
      </c>
      <c r="N10" s="1" t="s">
        <v>29</v>
      </c>
    </row>
    <row r="11" spans="1:17" x14ac:dyDescent="0.15">
      <c r="A11" s="1">
        <v>1533766</v>
      </c>
      <c r="B11" s="1" t="s">
        <v>22</v>
      </c>
      <c r="C11" s="1" t="s">
        <v>27</v>
      </c>
      <c r="D11" s="2">
        <v>26192</v>
      </c>
      <c r="E11" s="1" t="s">
        <v>19</v>
      </c>
      <c r="F11" s="1">
        <v>2</v>
      </c>
      <c r="G11" s="1">
        <v>90057</v>
      </c>
      <c r="H11" s="1">
        <v>71000</v>
      </c>
      <c r="I11" s="1">
        <v>925</v>
      </c>
      <c r="J11" s="1">
        <v>708</v>
      </c>
      <c r="K11" s="1">
        <v>4</v>
      </c>
      <c r="L11" s="1">
        <v>171</v>
      </c>
      <c r="M11" s="1" t="s">
        <v>24</v>
      </c>
      <c r="N11" s="1" t="s">
        <v>25</v>
      </c>
    </row>
    <row r="12" spans="1:17" x14ac:dyDescent="0.15">
      <c r="A12" s="1">
        <v>1533791</v>
      </c>
      <c r="B12" s="1" t="s">
        <v>22</v>
      </c>
      <c r="C12" s="1" t="s">
        <v>23</v>
      </c>
      <c r="D12" s="2">
        <v>36460</v>
      </c>
      <c r="E12" s="1" t="s">
        <v>19</v>
      </c>
      <c r="F12" s="1">
        <v>1</v>
      </c>
      <c r="G12" s="1">
        <v>90060</v>
      </c>
      <c r="H12" s="1">
        <v>97000</v>
      </c>
      <c r="I12" s="1">
        <v>828</v>
      </c>
      <c r="J12" s="1">
        <v>1028</v>
      </c>
      <c r="K12" s="1">
        <v>17</v>
      </c>
      <c r="L12" s="1">
        <v>110</v>
      </c>
      <c r="M12" s="1" t="s">
        <v>20</v>
      </c>
      <c r="N12" s="1" t="s">
        <v>29</v>
      </c>
    </row>
    <row r="13" spans="1:17" x14ac:dyDescent="0.15">
      <c r="A13" s="1">
        <v>1533917</v>
      </c>
      <c r="B13" s="1" t="s">
        <v>17</v>
      </c>
      <c r="C13" s="1" t="s">
        <v>18</v>
      </c>
      <c r="D13" s="2">
        <v>34031</v>
      </c>
      <c r="E13" s="1" t="s">
        <v>19</v>
      </c>
      <c r="F13" s="1">
        <v>3</v>
      </c>
      <c r="G13" s="1">
        <v>90045</v>
      </c>
      <c r="H13" s="1">
        <v>64000</v>
      </c>
      <c r="I13" s="1">
        <v>768</v>
      </c>
      <c r="J13" s="1">
        <v>915</v>
      </c>
      <c r="K13" s="1">
        <v>15</v>
      </c>
      <c r="L13" s="1">
        <v>19</v>
      </c>
      <c r="M13" s="1" t="s">
        <v>26</v>
      </c>
      <c r="N13" s="1" t="s">
        <v>30</v>
      </c>
    </row>
    <row r="14" spans="1:17" x14ac:dyDescent="0.15">
      <c r="A14" s="1">
        <v>1534502</v>
      </c>
      <c r="B14" s="1" t="s">
        <v>22</v>
      </c>
      <c r="C14" s="1" t="s">
        <v>27</v>
      </c>
      <c r="D14" s="2">
        <v>32868</v>
      </c>
      <c r="E14" s="1" t="s">
        <v>19</v>
      </c>
      <c r="F14" s="1">
        <v>2</v>
      </c>
      <c r="G14" s="1">
        <v>90056</v>
      </c>
      <c r="H14" s="1">
        <v>114000</v>
      </c>
      <c r="I14" s="1">
        <v>938</v>
      </c>
      <c r="J14" s="1">
        <v>665</v>
      </c>
      <c r="K14" s="1">
        <v>7</v>
      </c>
      <c r="L14" s="1">
        <v>262</v>
      </c>
      <c r="M14" s="1" t="s">
        <v>20</v>
      </c>
      <c r="N14" s="1" t="s">
        <v>25</v>
      </c>
    </row>
    <row r="15" spans="1:17" x14ac:dyDescent="0.15">
      <c r="A15" s="1">
        <v>1534928</v>
      </c>
      <c r="B15" s="1" t="s">
        <v>22</v>
      </c>
      <c r="C15" s="1" t="s">
        <v>27</v>
      </c>
      <c r="D15" s="2">
        <v>21568</v>
      </c>
      <c r="E15" s="1" t="s">
        <v>19</v>
      </c>
      <c r="F15" s="1">
        <v>5</v>
      </c>
      <c r="G15" s="1">
        <v>90033</v>
      </c>
      <c r="H15" s="1">
        <v>96000</v>
      </c>
      <c r="I15" s="1">
        <v>631</v>
      </c>
      <c r="J15" s="1">
        <v>796</v>
      </c>
      <c r="K15" s="1">
        <v>13</v>
      </c>
      <c r="L15" s="1">
        <v>68</v>
      </c>
      <c r="M15" s="1" t="s">
        <v>24</v>
      </c>
      <c r="N15" s="1" t="s">
        <v>30</v>
      </c>
    </row>
    <row r="16" spans="1:17" x14ac:dyDescent="0.15">
      <c r="A16" s="1">
        <v>1535063</v>
      </c>
      <c r="B16" s="1" t="s">
        <v>17</v>
      </c>
      <c r="C16" s="1" t="s">
        <v>23</v>
      </c>
      <c r="D16" s="2">
        <v>30302</v>
      </c>
      <c r="E16" s="1" t="s">
        <v>19</v>
      </c>
      <c r="F16" s="1">
        <v>3</v>
      </c>
      <c r="G16" s="1">
        <v>90024</v>
      </c>
      <c r="H16" s="1">
        <v>42000</v>
      </c>
      <c r="I16" s="1">
        <v>341</v>
      </c>
      <c r="J16" s="1">
        <v>313</v>
      </c>
      <c r="K16" s="1">
        <v>4</v>
      </c>
      <c r="L16" s="1">
        <v>300</v>
      </c>
      <c r="M16" s="1" t="s">
        <v>20</v>
      </c>
      <c r="N16" s="1" t="s">
        <v>25</v>
      </c>
    </row>
    <row r="17" spans="1:14" x14ac:dyDescent="0.15">
      <c r="A17" s="1">
        <v>1535406</v>
      </c>
      <c r="B17" s="1" t="s">
        <v>22</v>
      </c>
      <c r="C17" s="1" t="s">
        <v>23</v>
      </c>
      <c r="D17" s="2">
        <v>30716</v>
      </c>
      <c r="E17" s="1" t="s">
        <v>28</v>
      </c>
      <c r="F17" s="1">
        <v>5</v>
      </c>
      <c r="G17" s="1">
        <v>90051</v>
      </c>
      <c r="H17" s="1">
        <v>55000</v>
      </c>
      <c r="I17" s="1">
        <v>129</v>
      </c>
      <c r="J17" s="1">
        <v>100</v>
      </c>
      <c r="K17" s="1">
        <v>1</v>
      </c>
      <c r="L17" s="1">
        <v>80</v>
      </c>
      <c r="M17" s="1" t="s">
        <v>20</v>
      </c>
      <c r="N17" s="1" t="s">
        <v>29</v>
      </c>
    </row>
    <row r="18" spans="1:14" x14ac:dyDescent="0.15">
      <c r="A18" s="1">
        <v>1535449</v>
      </c>
      <c r="B18" s="1" t="s">
        <v>22</v>
      </c>
      <c r="C18" s="1" t="s">
        <v>18</v>
      </c>
      <c r="D18" s="2">
        <v>21449</v>
      </c>
      <c r="E18" s="1" t="s">
        <v>28</v>
      </c>
      <c r="F18" s="1">
        <v>2</v>
      </c>
      <c r="G18" s="1">
        <v>90062</v>
      </c>
      <c r="H18" s="1">
        <v>56000</v>
      </c>
      <c r="I18" s="1">
        <v>435</v>
      </c>
      <c r="J18" s="1">
        <v>384</v>
      </c>
      <c r="K18" s="1">
        <v>6</v>
      </c>
      <c r="L18" s="1">
        <v>180</v>
      </c>
      <c r="M18" s="1" t="s">
        <v>20</v>
      </c>
      <c r="N18" s="1" t="s">
        <v>25</v>
      </c>
    </row>
    <row r="19" spans="1:14" x14ac:dyDescent="0.15">
      <c r="A19" s="1">
        <v>1535927</v>
      </c>
      <c r="B19" s="1" t="s">
        <v>22</v>
      </c>
      <c r="C19" s="1" t="s">
        <v>23</v>
      </c>
      <c r="D19" s="2">
        <v>28867</v>
      </c>
      <c r="E19" s="1" t="s">
        <v>19</v>
      </c>
      <c r="F19" s="1">
        <v>1</v>
      </c>
      <c r="G19" s="1">
        <v>90003</v>
      </c>
      <c r="H19" s="1">
        <v>66000</v>
      </c>
      <c r="I19" s="1">
        <v>1283</v>
      </c>
      <c r="J19" s="1">
        <v>879</v>
      </c>
      <c r="K19" s="1">
        <v>10</v>
      </c>
      <c r="L19" s="1">
        <v>35</v>
      </c>
      <c r="M19" s="1" t="s">
        <v>26</v>
      </c>
      <c r="N19" s="1" t="s">
        <v>30</v>
      </c>
    </row>
    <row r="20" spans="1:14" x14ac:dyDescent="0.15">
      <c r="A20" s="1">
        <v>1536475</v>
      </c>
      <c r="B20" s="1" t="s">
        <v>22</v>
      </c>
      <c r="C20" s="1" t="s">
        <v>32</v>
      </c>
      <c r="D20" s="2">
        <v>21322</v>
      </c>
      <c r="E20" s="1" t="s">
        <v>19</v>
      </c>
      <c r="F20" s="1">
        <v>2</v>
      </c>
      <c r="G20" s="1">
        <v>90019</v>
      </c>
      <c r="H20" s="1">
        <v>73000</v>
      </c>
      <c r="I20" s="1">
        <v>1276</v>
      </c>
      <c r="J20" s="1">
        <v>1108</v>
      </c>
      <c r="K20" s="1">
        <v>20</v>
      </c>
      <c r="L20" s="1">
        <v>56</v>
      </c>
      <c r="M20" s="1" t="s">
        <v>24</v>
      </c>
      <c r="N20" s="1" t="s">
        <v>29</v>
      </c>
    </row>
    <row r="21" spans="1:14" x14ac:dyDescent="0.15">
      <c r="A21" s="1">
        <v>1536814</v>
      </c>
      <c r="B21" s="1" t="s">
        <v>22</v>
      </c>
      <c r="C21" s="1" t="s">
        <v>18</v>
      </c>
      <c r="D21" s="2">
        <v>22852</v>
      </c>
      <c r="E21" s="1" t="s">
        <v>19</v>
      </c>
      <c r="F21" s="1">
        <v>5</v>
      </c>
      <c r="G21" s="1">
        <v>90036</v>
      </c>
      <c r="H21" s="1">
        <v>86000</v>
      </c>
      <c r="I21" s="1">
        <v>478</v>
      </c>
      <c r="J21" s="1">
        <v>401</v>
      </c>
      <c r="K21" s="1">
        <v>3</v>
      </c>
      <c r="L21" s="1">
        <v>80</v>
      </c>
      <c r="M21" s="1" t="s">
        <v>20</v>
      </c>
      <c r="N21" s="1" t="s">
        <v>29</v>
      </c>
    </row>
    <row r="22" spans="1:14" x14ac:dyDescent="0.15">
      <c r="A22" s="1">
        <v>1537373</v>
      </c>
      <c r="B22" s="1" t="s">
        <v>17</v>
      </c>
      <c r="C22" s="1" t="s">
        <v>18</v>
      </c>
      <c r="D22" s="2">
        <v>26318</v>
      </c>
      <c r="E22" s="1" t="s">
        <v>28</v>
      </c>
      <c r="F22" s="1">
        <v>5</v>
      </c>
      <c r="G22" s="1">
        <v>90035</v>
      </c>
      <c r="H22" s="1">
        <v>44000</v>
      </c>
      <c r="I22" s="1">
        <v>615</v>
      </c>
      <c r="J22" s="1">
        <v>748</v>
      </c>
      <c r="K22" s="1">
        <v>15</v>
      </c>
      <c r="L22" s="1">
        <v>295</v>
      </c>
      <c r="M22" s="1" t="s">
        <v>26</v>
      </c>
      <c r="N22" s="1" t="s">
        <v>29</v>
      </c>
    </row>
    <row r="23" spans="1:14" x14ac:dyDescent="0.15">
      <c r="A23" s="1">
        <v>1537553</v>
      </c>
      <c r="B23" s="1" t="s">
        <v>17</v>
      </c>
      <c r="C23" s="1" t="s">
        <v>23</v>
      </c>
      <c r="D23" s="2">
        <v>22469</v>
      </c>
      <c r="E23" s="1" t="s">
        <v>28</v>
      </c>
      <c r="F23" s="1">
        <v>4</v>
      </c>
      <c r="G23" s="1">
        <v>90060</v>
      </c>
      <c r="H23" s="1">
        <v>36000</v>
      </c>
      <c r="I23" s="1">
        <v>153</v>
      </c>
      <c r="J23" s="1">
        <v>141</v>
      </c>
      <c r="K23" s="1">
        <v>2</v>
      </c>
      <c r="L23" s="1">
        <v>360</v>
      </c>
      <c r="M23" s="1" t="s">
        <v>26</v>
      </c>
      <c r="N23" s="1" t="s">
        <v>25</v>
      </c>
    </row>
    <row r="24" spans="1:14" x14ac:dyDescent="0.15">
      <c r="A24" s="1">
        <v>1538886</v>
      </c>
      <c r="B24" s="1" t="s">
        <v>22</v>
      </c>
      <c r="C24" s="1" t="s">
        <v>33</v>
      </c>
      <c r="D24" s="2">
        <v>35323</v>
      </c>
      <c r="E24" s="1" t="s">
        <v>19</v>
      </c>
      <c r="F24" s="1">
        <v>2</v>
      </c>
      <c r="G24" s="1">
        <v>90014</v>
      </c>
      <c r="H24" s="1">
        <v>94000</v>
      </c>
      <c r="I24" s="1">
        <v>590</v>
      </c>
      <c r="J24" s="1">
        <v>524</v>
      </c>
      <c r="K24" s="1">
        <v>7</v>
      </c>
      <c r="L24" s="1">
        <v>177</v>
      </c>
      <c r="M24" s="1" t="s">
        <v>34</v>
      </c>
      <c r="N24" s="1" t="s">
        <v>30</v>
      </c>
    </row>
    <row r="25" spans="1:14" x14ac:dyDescent="0.15">
      <c r="A25" s="1">
        <v>1539494</v>
      </c>
      <c r="B25" s="1" t="s">
        <v>22</v>
      </c>
      <c r="C25" s="1" t="s">
        <v>23</v>
      </c>
      <c r="D25" s="2">
        <v>26985</v>
      </c>
      <c r="E25" s="1" t="s">
        <v>19</v>
      </c>
      <c r="F25" s="1">
        <v>4</v>
      </c>
      <c r="G25" s="1">
        <v>90038</v>
      </c>
      <c r="H25" s="1">
        <v>54000</v>
      </c>
      <c r="I25" s="1">
        <v>451</v>
      </c>
      <c r="J25" s="1">
        <v>307</v>
      </c>
      <c r="K25" s="1">
        <v>6</v>
      </c>
      <c r="L25" s="1">
        <v>35</v>
      </c>
      <c r="M25" s="1" t="s">
        <v>24</v>
      </c>
      <c r="N25" s="1" t="s">
        <v>29</v>
      </c>
    </row>
    <row r="26" spans="1:14" x14ac:dyDescent="0.15">
      <c r="A26" s="1">
        <v>1539808</v>
      </c>
      <c r="B26" s="1" t="s">
        <v>22</v>
      </c>
      <c r="C26" s="1" t="s">
        <v>18</v>
      </c>
      <c r="D26" s="2">
        <v>19938</v>
      </c>
      <c r="E26" s="1" t="s">
        <v>19</v>
      </c>
      <c r="F26" s="1">
        <v>5</v>
      </c>
      <c r="G26" s="1">
        <v>90024</v>
      </c>
      <c r="H26" s="1">
        <v>82000</v>
      </c>
      <c r="I26" s="1">
        <v>389</v>
      </c>
      <c r="J26" s="1">
        <v>486</v>
      </c>
      <c r="K26" s="1">
        <v>6</v>
      </c>
      <c r="L26" s="1">
        <v>167</v>
      </c>
      <c r="M26" s="1" t="s">
        <v>24</v>
      </c>
      <c r="N26" s="1" t="s">
        <v>29</v>
      </c>
    </row>
    <row r="27" spans="1:14" x14ac:dyDescent="0.15">
      <c r="A27" s="1">
        <v>1539941</v>
      </c>
      <c r="B27" s="1" t="s">
        <v>22</v>
      </c>
      <c r="C27" s="1" t="s">
        <v>27</v>
      </c>
      <c r="D27" s="2">
        <v>34507</v>
      </c>
      <c r="E27" s="1" t="s">
        <v>28</v>
      </c>
      <c r="F27" s="1">
        <v>1</v>
      </c>
      <c r="G27" s="1">
        <v>90033</v>
      </c>
      <c r="H27" s="1">
        <v>42000</v>
      </c>
      <c r="I27" s="1">
        <v>697</v>
      </c>
      <c r="J27" s="1">
        <v>1150</v>
      </c>
      <c r="K27" s="1">
        <v>22</v>
      </c>
      <c r="L27" s="1">
        <v>267</v>
      </c>
      <c r="M27" s="1" t="s">
        <v>26</v>
      </c>
      <c r="N27" s="1" t="s">
        <v>30</v>
      </c>
    </row>
    <row r="28" spans="1:14" x14ac:dyDescent="0.15">
      <c r="A28" s="1">
        <v>1539995</v>
      </c>
      <c r="B28" s="1" t="s">
        <v>17</v>
      </c>
      <c r="C28" s="1" t="s">
        <v>27</v>
      </c>
      <c r="D28" s="2">
        <v>20740</v>
      </c>
      <c r="E28" s="1" t="s">
        <v>19</v>
      </c>
      <c r="F28" s="1">
        <v>2</v>
      </c>
      <c r="G28" s="1">
        <v>90067</v>
      </c>
      <c r="H28" s="1">
        <v>96000</v>
      </c>
      <c r="I28" s="1">
        <v>631</v>
      </c>
      <c r="J28" s="1">
        <v>802</v>
      </c>
      <c r="K28" s="1">
        <v>17</v>
      </c>
      <c r="L28" s="1">
        <v>354</v>
      </c>
      <c r="M28" s="1" t="s">
        <v>34</v>
      </c>
      <c r="N28" s="1" t="s">
        <v>25</v>
      </c>
    </row>
    <row r="29" spans="1:14" x14ac:dyDescent="0.15">
      <c r="A29" s="1">
        <v>1540076</v>
      </c>
      <c r="B29" s="1" t="s">
        <v>22</v>
      </c>
      <c r="C29" s="1" t="s">
        <v>33</v>
      </c>
      <c r="D29" s="2">
        <v>28514</v>
      </c>
      <c r="E29" s="1" t="s">
        <v>19</v>
      </c>
      <c r="F29" s="1">
        <v>5</v>
      </c>
      <c r="G29" s="1">
        <v>90012</v>
      </c>
      <c r="H29" s="1">
        <v>60000</v>
      </c>
      <c r="I29" s="1">
        <v>63</v>
      </c>
      <c r="J29" s="1">
        <v>113</v>
      </c>
      <c r="K29" s="1">
        <v>1</v>
      </c>
      <c r="L29" s="1">
        <v>178</v>
      </c>
      <c r="M29" s="1" t="s">
        <v>26</v>
      </c>
      <c r="N29" s="1" t="s">
        <v>25</v>
      </c>
    </row>
    <row r="30" spans="1:14" x14ac:dyDescent="0.15">
      <c r="A30" s="1">
        <v>1540183</v>
      </c>
      <c r="B30" s="1" t="s">
        <v>22</v>
      </c>
      <c r="C30" s="1" t="s">
        <v>23</v>
      </c>
      <c r="D30" s="2">
        <v>33296</v>
      </c>
      <c r="E30" s="1" t="s">
        <v>19</v>
      </c>
      <c r="F30" s="1">
        <v>1</v>
      </c>
      <c r="G30" s="1">
        <v>90066</v>
      </c>
      <c r="H30" s="1">
        <v>91000</v>
      </c>
      <c r="I30" s="1">
        <v>1018</v>
      </c>
      <c r="J30" s="1">
        <v>800</v>
      </c>
      <c r="K30" s="1">
        <v>10</v>
      </c>
      <c r="L30" s="1">
        <v>6</v>
      </c>
      <c r="M30" s="1" t="s">
        <v>34</v>
      </c>
      <c r="N30" s="1" t="s">
        <v>29</v>
      </c>
    </row>
    <row r="31" spans="1:14" x14ac:dyDescent="0.15">
      <c r="A31" s="1">
        <v>1540217</v>
      </c>
      <c r="B31" s="1" t="s">
        <v>22</v>
      </c>
      <c r="C31" s="1" t="s">
        <v>27</v>
      </c>
      <c r="D31" s="2">
        <v>25498</v>
      </c>
      <c r="E31" s="1" t="s">
        <v>19</v>
      </c>
      <c r="F31" s="1">
        <v>1</v>
      </c>
      <c r="G31" s="1">
        <v>90011</v>
      </c>
      <c r="H31" s="1">
        <v>76000</v>
      </c>
      <c r="I31" s="1">
        <v>546</v>
      </c>
      <c r="J31" s="1">
        <v>1037</v>
      </c>
      <c r="K31" s="1">
        <v>26</v>
      </c>
      <c r="L31" s="1">
        <v>271</v>
      </c>
      <c r="M31" s="1" t="s">
        <v>34</v>
      </c>
      <c r="N31" s="1" t="s">
        <v>21</v>
      </c>
    </row>
    <row r="32" spans="1:14" x14ac:dyDescent="0.15">
      <c r="A32" s="1">
        <v>1540539</v>
      </c>
      <c r="B32" s="1" t="s">
        <v>22</v>
      </c>
      <c r="C32" s="1" t="s">
        <v>23</v>
      </c>
      <c r="D32" s="2">
        <v>22064</v>
      </c>
      <c r="E32" s="1" t="s">
        <v>19</v>
      </c>
      <c r="F32" s="1">
        <v>5</v>
      </c>
      <c r="G32" s="1">
        <v>90049</v>
      </c>
      <c r="H32" s="1">
        <v>100000</v>
      </c>
      <c r="I32" s="1">
        <v>50</v>
      </c>
      <c r="J32" s="1">
        <v>50</v>
      </c>
      <c r="K32" s="1">
        <v>1</v>
      </c>
      <c r="L32" s="1">
        <v>240</v>
      </c>
      <c r="M32" s="1" t="s">
        <v>34</v>
      </c>
      <c r="N32" s="1" t="s">
        <v>29</v>
      </c>
    </row>
    <row r="33" spans="1:14" x14ac:dyDescent="0.15">
      <c r="A33" s="1">
        <v>1540604</v>
      </c>
      <c r="B33" s="1" t="s">
        <v>17</v>
      </c>
      <c r="C33" s="1" t="s">
        <v>23</v>
      </c>
      <c r="D33" s="2">
        <v>25680</v>
      </c>
      <c r="E33" s="1" t="s">
        <v>19</v>
      </c>
      <c r="F33" s="1">
        <v>3</v>
      </c>
      <c r="G33" s="1">
        <v>90011</v>
      </c>
      <c r="H33" s="1">
        <v>73000</v>
      </c>
      <c r="I33" s="1">
        <v>428</v>
      </c>
      <c r="J33" s="1">
        <v>539</v>
      </c>
      <c r="K33" s="1">
        <v>5</v>
      </c>
      <c r="L33" s="1">
        <v>12</v>
      </c>
      <c r="M33" s="1" t="s">
        <v>26</v>
      </c>
      <c r="N33" s="1" t="s">
        <v>29</v>
      </c>
    </row>
    <row r="34" spans="1:14" x14ac:dyDescent="0.15">
      <c r="A34" s="1">
        <v>1541742</v>
      </c>
      <c r="B34" s="1" t="s">
        <v>22</v>
      </c>
      <c r="C34" s="1" t="s">
        <v>18</v>
      </c>
      <c r="D34" s="2">
        <v>21990</v>
      </c>
      <c r="E34" s="1" t="s">
        <v>19</v>
      </c>
      <c r="F34" s="1">
        <v>2</v>
      </c>
      <c r="G34" s="1">
        <v>90052</v>
      </c>
      <c r="H34" s="1">
        <v>106000</v>
      </c>
      <c r="I34" s="1">
        <v>775</v>
      </c>
      <c r="J34" s="1">
        <v>536</v>
      </c>
      <c r="K34" s="1">
        <v>12</v>
      </c>
      <c r="L34" s="1">
        <v>140</v>
      </c>
      <c r="M34" s="1" t="s">
        <v>35</v>
      </c>
      <c r="N34" s="1" t="s">
        <v>30</v>
      </c>
    </row>
    <row r="35" spans="1:14" x14ac:dyDescent="0.15">
      <c r="A35" s="1">
        <v>1541931</v>
      </c>
      <c r="B35" s="1" t="s">
        <v>22</v>
      </c>
      <c r="C35" s="1" t="s">
        <v>18</v>
      </c>
      <c r="D35" s="2">
        <v>20458</v>
      </c>
      <c r="E35" s="1" t="s">
        <v>19</v>
      </c>
      <c r="F35" s="1">
        <v>3</v>
      </c>
      <c r="G35" s="1">
        <v>90011</v>
      </c>
      <c r="H35" s="1">
        <v>55000</v>
      </c>
      <c r="I35" s="1">
        <v>561</v>
      </c>
      <c r="J35" s="1">
        <v>587</v>
      </c>
      <c r="K35" s="1">
        <v>11</v>
      </c>
      <c r="L35" s="1">
        <v>302</v>
      </c>
      <c r="M35" s="1" t="s">
        <v>34</v>
      </c>
      <c r="N35" s="1" t="s">
        <v>25</v>
      </c>
    </row>
    <row r="36" spans="1:14" x14ac:dyDescent="0.15">
      <c r="A36" s="1">
        <v>1542099</v>
      </c>
      <c r="B36" s="1" t="s">
        <v>22</v>
      </c>
      <c r="C36" s="1" t="s">
        <v>31</v>
      </c>
      <c r="D36" s="2">
        <v>30869</v>
      </c>
      <c r="E36" s="1" t="s">
        <v>19</v>
      </c>
      <c r="F36" s="1">
        <v>2</v>
      </c>
      <c r="G36" s="1">
        <v>90038</v>
      </c>
      <c r="H36" s="1">
        <v>86000</v>
      </c>
      <c r="I36" s="1">
        <v>234</v>
      </c>
      <c r="J36" s="1">
        <v>314</v>
      </c>
      <c r="K36" s="1">
        <v>7</v>
      </c>
      <c r="L36" s="1">
        <v>96</v>
      </c>
      <c r="M36" s="1" t="s">
        <v>35</v>
      </c>
      <c r="N36" s="1" t="s">
        <v>21</v>
      </c>
    </row>
    <row r="37" spans="1:14" x14ac:dyDescent="0.15">
      <c r="A37" s="1">
        <v>1542147</v>
      </c>
      <c r="B37" s="1" t="s">
        <v>22</v>
      </c>
      <c r="C37" s="1" t="s">
        <v>18</v>
      </c>
      <c r="D37" s="2">
        <v>32594</v>
      </c>
      <c r="E37" s="1" t="s">
        <v>19</v>
      </c>
      <c r="F37" s="1">
        <v>5</v>
      </c>
      <c r="G37" s="1">
        <v>90030</v>
      </c>
      <c r="H37" s="1">
        <v>51000</v>
      </c>
      <c r="I37" s="1">
        <v>398</v>
      </c>
      <c r="J37" s="1">
        <v>573</v>
      </c>
      <c r="K37" s="1">
        <v>8</v>
      </c>
      <c r="L37" s="1">
        <v>218</v>
      </c>
      <c r="M37" s="1" t="s">
        <v>34</v>
      </c>
      <c r="N37" s="1" t="s">
        <v>21</v>
      </c>
    </row>
    <row r="38" spans="1:14" x14ac:dyDescent="0.15">
      <c r="A38" s="1">
        <v>1542352</v>
      </c>
      <c r="B38" s="1" t="s">
        <v>22</v>
      </c>
      <c r="C38" s="1" t="s">
        <v>23</v>
      </c>
      <c r="D38" s="2">
        <v>28583</v>
      </c>
      <c r="E38" s="1" t="s">
        <v>19</v>
      </c>
      <c r="F38" s="1">
        <v>4</v>
      </c>
      <c r="G38" s="1">
        <v>90048</v>
      </c>
      <c r="H38" s="1">
        <v>60000</v>
      </c>
      <c r="I38" s="1">
        <v>84</v>
      </c>
      <c r="J38" s="1">
        <v>132</v>
      </c>
      <c r="K38" s="1">
        <v>3</v>
      </c>
      <c r="L38" s="1">
        <v>349</v>
      </c>
      <c r="M38" s="1" t="s">
        <v>24</v>
      </c>
      <c r="N38" s="1" t="s">
        <v>21</v>
      </c>
    </row>
    <row r="39" spans="1:14" x14ac:dyDescent="0.15">
      <c r="A39" s="1">
        <v>1542818</v>
      </c>
      <c r="B39" s="1" t="s">
        <v>17</v>
      </c>
      <c r="C39" s="1" t="s">
        <v>23</v>
      </c>
      <c r="D39" s="2">
        <v>22260</v>
      </c>
      <c r="E39" s="1" t="s">
        <v>19</v>
      </c>
      <c r="F39" s="1">
        <v>1</v>
      </c>
      <c r="G39" s="1">
        <v>90048</v>
      </c>
      <c r="H39" s="1">
        <v>63000</v>
      </c>
      <c r="I39" s="1">
        <v>969</v>
      </c>
      <c r="J39" s="1">
        <v>814</v>
      </c>
      <c r="K39" s="1">
        <v>14</v>
      </c>
      <c r="L39" s="1">
        <v>58</v>
      </c>
      <c r="M39" s="1" t="s">
        <v>24</v>
      </c>
      <c r="N39" s="1" t="s">
        <v>25</v>
      </c>
    </row>
    <row r="40" spans="1:14" x14ac:dyDescent="0.15">
      <c r="A40" s="1">
        <v>1543502</v>
      </c>
      <c r="B40" s="1" t="s">
        <v>22</v>
      </c>
      <c r="C40" s="1" t="s">
        <v>27</v>
      </c>
      <c r="D40" s="2">
        <v>30047</v>
      </c>
      <c r="E40" s="1" t="s">
        <v>19</v>
      </c>
      <c r="F40" s="1">
        <v>2</v>
      </c>
      <c r="G40" s="1">
        <v>90007</v>
      </c>
      <c r="H40" s="1">
        <v>55000</v>
      </c>
      <c r="I40" s="1">
        <v>461</v>
      </c>
      <c r="J40" s="1">
        <v>563</v>
      </c>
      <c r="K40" s="1">
        <v>12</v>
      </c>
      <c r="L40" s="1">
        <v>17</v>
      </c>
      <c r="M40" s="1" t="s">
        <v>34</v>
      </c>
      <c r="N40" s="1" t="s">
        <v>21</v>
      </c>
    </row>
    <row r="41" spans="1:14" x14ac:dyDescent="0.15">
      <c r="A41" s="1">
        <v>1543582</v>
      </c>
      <c r="B41" s="1" t="s">
        <v>22</v>
      </c>
      <c r="C41" s="1" t="s">
        <v>23</v>
      </c>
      <c r="D41" s="2">
        <v>26777</v>
      </c>
      <c r="E41" s="1" t="s">
        <v>19</v>
      </c>
      <c r="F41" s="1">
        <v>3</v>
      </c>
      <c r="G41" s="1">
        <v>90047</v>
      </c>
      <c r="H41" s="1">
        <v>101000</v>
      </c>
      <c r="I41" s="1">
        <v>1166</v>
      </c>
      <c r="J41" s="1">
        <v>1064</v>
      </c>
      <c r="K41" s="1">
        <v>13</v>
      </c>
      <c r="L41" s="1">
        <v>108</v>
      </c>
      <c r="M41" s="1" t="s">
        <v>35</v>
      </c>
      <c r="N41" s="1" t="s">
        <v>29</v>
      </c>
    </row>
    <row r="42" spans="1:14" x14ac:dyDescent="0.15">
      <c r="A42" s="1">
        <v>1543734</v>
      </c>
      <c r="B42" s="1" t="s">
        <v>22</v>
      </c>
      <c r="C42" s="1" t="s">
        <v>32</v>
      </c>
      <c r="D42" s="2">
        <v>32938</v>
      </c>
      <c r="E42" s="1" t="s">
        <v>19</v>
      </c>
      <c r="F42" s="1">
        <v>5</v>
      </c>
      <c r="G42" s="1">
        <v>90042</v>
      </c>
      <c r="H42" s="1">
        <v>69000</v>
      </c>
      <c r="I42" s="1">
        <v>390</v>
      </c>
      <c r="J42" s="1">
        <v>442</v>
      </c>
      <c r="K42" s="1">
        <v>3</v>
      </c>
      <c r="L42" s="1">
        <v>265</v>
      </c>
      <c r="M42" s="1" t="s">
        <v>34</v>
      </c>
      <c r="N42" s="1" t="s">
        <v>25</v>
      </c>
    </row>
    <row r="43" spans="1:14" x14ac:dyDescent="0.15">
      <c r="A43" s="1">
        <v>1543850</v>
      </c>
      <c r="B43" s="1" t="s">
        <v>22</v>
      </c>
      <c r="C43" s="1" t="s">
        <v>23</v>
      </c>
      <c r="D43" s="2">
        <v>19700</v>
      </c>
      <c r="E43" s="1" t="s">
        <v>19</v>
      </c>
      <c r="F43" s="1">
        <v>1</v>
      </c>
      <c r="G43" s="1">
        <v>90008</v>
      </c>
      <c r="H43" s="1">
        <v>66000</v>
      </c>
      <c r="I43" s="1">
        <v>1851</v>
      </c>
      <c r="J43" s="1">
        <v>1241</v>
      </c>
      <c r="K43" s="1">
        <v>21</v>
      </c>
      <c r="L43" s="1">
        <v>315</v>
      </c>
      <c r="M43" s="1" t="s">
        <v>26</v>
      </c>
      <c r="N43" s="1" t="s">
        <v>21</v>
      </c>
    </row>
    <row r="44" spans="1:14" x14ac:dyDescent="0.15">
      <c r="A44" s="1">
        <v>1543988</v>
      </c>
      <c r="B44" s="1" t="s">
        <v>22</v>
      </c>
      <c r="C44" s="1" t="s">
        <v>27</v>
      </c>
      <c r="D44" s="2">
        <v>23181</v>
      </c>
      <c r="E44" s="1" t="s">
        <v>19</v>
      </c>
      <c r="F44" s="1">
        <v>3</v>
      </c>
      <c r="G44" s="1">
        <v>90060</v>
      </c>
      <c r="H44" s="1">
        <v>83000</v>
      </c>
      <c r="I44" s="1">
        <v>449</v>
      </c>
      <c r="J44" s="1">
        <v>813</v>
      </c>
      <c r="K44" s="1">
        <v>11</v>
      </c>
      <c r="L44" s="1">
        <v>263</v>
      </c>
      <c r="M44" s="1" t="s">
        <v>34</v>
      </c>
      <c r="N44" s="1" t="s">
        <v>29</v>
      </c>
    </row>
    <row r="45" spans="1:14" x14ac:dyDescent="0.15">
      <c r="A45" s="1">
        <v>1544003</v>
      </c>
      <c r="B45" s="1" t="s">
        <v>22</v>
      </c>
      <c r="C45" s="1" t="s">
        <v>27</v>
      </c>
      <c r="D45" s="2">
        <v>30810</v>
      </c>
      <c r="E45" s="1" t="s">
        <v>19</v>
      </c>
      <c r="F45" s="1">
        <v>4</v>
      </c>
      <c r="G45" s="1">
        <v>90010</v>
      </c>
      <c r="H45" s="1">
        <v>68000</v>
      </c>
      <c r="I45" s="1">
        <v>1357</v>
      </c>
      <c r="J45" s="1">
        <v>1214</v>
      </c>
      <c r="K45" s="1">
        <v>31</v>
      </c>
      <c r="L45" s="1">
        <v>95</v>
      </c>
      <c r="M45" s="1" t="s">
        <v>34</v>
      </c>
      <c r="N45" s="1" t="s">
        <v>30</v>
      </c>
    </row>
    <row r="46" spans="1:14" x14ac:dyDescent="0.15">
      <c r="A46" s="1">
        <v>1544391</v>
      </c>
      <c r="B46" s="1" t="s">
        <v>22</v>
      </c>
      <c r="C46" s="1" t="s">
        <v>23</v>
      </c>
      <c r="D46" s="2">
        <v>35662</v>
      </c>
      <c r="E46" s="1" t="s">
        <v>19</v>
      </c>
      <c r="F46" s="1">
        <v>2</v>
      </c>
      <c r="G46" s="1">
        <v>90005</v>
      </c>
      <c r="H46" s="1">
        <v>68000</v>
      </c>
      <c r="I46" s="1">
        <v>1314</v>
      </c>
      <c r="J46" s="1">
        <v>1027</v>
      </c>
      <c r="K46" s="1">
        <v>25</v>
      </c>
      <c r="L46" s="1">
        <v>92</v>
      </c>
      <c r="M46" s="1" t="s">
        <v>34</v>
      </c>
      <c r="N46" s="1" t="s">
        <v>25</v>
      </c>
    </row>
    <row r="47" spans="1:14" x14ac:dyDescent="0.15">
      <c r="A47" s="1">
        <v>1544417</v>
      </c>
      <c r="B47" s="1" t="s">
        <v>22</v>
      </c>
      <c r="C47" s="1" t="s">
        <v>27</v>
      </c>
      <c r="D47" s="2">
        <v>29294</v>
      </c>
      <c r="E47" s="1" t="s">
        <v>19</v>
      </c>
      <c r="F47" s="1">
        <v>4</v>
      </c>
      <c r="G47" s="1">
        <v>90040</v>
      </c>
      <c r="H47" s="1">
        <v>46000</v>
      </c>
      <c r="I47" s="1">
        <v>299</v>
      </c>
      <c r="J47" s="1">
        <v>369</v>
      </c>
      <c r="K47" s="1">
        <v>3</v>
      </c>
      <c r="L47" s="1">
        <v>281</v>
      </c>
      <c r="M47" s="1" t="s">
        <v>34</v>
      </c>
      <c r="N47" s="1" t="s">
        <v>25</v>
      </c>
    </row>
    <row r="48" spans="1:14" x14ac:dyDescent="0.15">
      <c r="A48" s="1">
        <v>1544461</v>
      </c>
      <c r="B48" s="1" t="s">
        <v>17</v>
      </c>
      <c r="C48" s="1" t="s">
        <v>18</v>
      </c>
      <c r="D48" s="2">
        <v>26514</v>
      </c>
      <c r="E48" s="1" t="s">
        <v>28</v>
      </c>
      <c r="F48" s="1">
        <v>5</v>
      </c>
      <c r="G48" s="1">
        <v>90033</v>
      </c>
      <c r="H48" s="1">
        <v>47000</v>
      </c>
      <c r="I48" s="1">
        <v>328</v>
      </c>
      <c r="J48" s="1">
        <v>300</v>
      </c>
      <c r="K48" s="1">
        <v>4</v>
      </c>
      <c r="L48" s="1">
        <v>66</v>
      </c>
      <c r="M48" s="1" t="s">
        <v>24</v>
      </c>
      <c r="N48" s="1" t="s">
        <v>21</v>
      </c>
    </row>
    <row r="49" spans="1:14" x14ac:dyDescent="0.15">
      <c r="A49" s="1">
        <v>1544588</v>
      </c>
      <c r="B49" s="1" t="s">
        <v>22</v>
      </c>
      <c r="C49" s="1" t="s">
        <v>23</v>
      </c>
      <c r="D49" s="2">
        <v>34943</v>
      </c>
      <c r="E49" s="1" t="s">
        <v>19</v>
      </c>
      <c r="F49" s="1">
        <v>3</v>
      </c>
      <c r="G49" s="1">
        <v>90028</v>
      </c>
      <c r="H49" s="1">
        <v>78000</v>
      </c>
      <c r="I49" s="1">
        <v>562</v>
      </c>
      <c r="J49" s="1">
        <v>1057</v>
      </c>
      <c r="K49" s="1">
        <v>16</v>
      </c>
      <c r="L49" s="1">
        <v>224</v>
      </c>
      <c r="M49" s="1" t="s">
        <v>24</v>
      </c>
      <c r="N49" s="1" t="s">
        <v>21</v>
      </c>
    </row>
    <row r="50" spans="1:14" x14ac:dyDescent="0.15">
      <c r="A50" s="1">
        <v>1544628</v>
      </c>
      <c r="B50" s="1" t="s">
        <v>22</v>
      </c>
      <c r="C50" s="1" t="s">
        <v>23</v>
      </c>
      <c r="D50" s="2">
        <v>30574</v>
      </c>
      <c r="E50" s="1" t="s">
        <v>19</v>
      </c>
      <c r="F50" s="1">
        <v>3</v>
      </c>
      <c r="G50" s="1">
        <v>90021</v>
      </c>
      <c r="H50" s="1">
        <v>69000</v>
      </c>
      <c r="I50" s="1">
        <v>215</v>
      </c>
      <c r="J50" s="1">
        <v>173</v>
      </c>
      <c r="K50" s="1">
        <v>3</v>
      </c>
      <c r="L50" s="1">
        <v>11</v>
      </c>
      <c r="M50" s="1" t="s">
        <v>34</v>
      </c>
      <c r="N50" s="1" t="s">
        <v>29</v>
      </c>
    </row>
    <row r="51" spans="1:14" x14ac:dyDescent="0.15">
      <c r="A51" s="1">
        <v>1544649</v>
      </c>
      <c r="B51" s="1" t="s">
        <v>22</v>
      </c>
      <c r="C51" s="1" t="s">
        <v>23</v>
      </c>
      <c r="D51" s="2">
        <v>22969</v>
      </c>
      <c r="E51" s="1" t="s">
        <v>28</v>
      </c>
      <c r="F51" s="1">
        <v>4</v>
      </c>
      <c r="G51" s="1">
        <v>90055</v>
      </c>
      <c r="H51" s="1">
        <v>55000</v>
      </c>
      <c r="I51" s="1">
        <v>1081</v>
      </c>
      <c r="J51" s="1">
        <v>1116</v>
      </c>
      <c r="K51" s="1">
        <v>28</v>
      </c>
      <c r="L51" s="1">
        <v>328</v>
      </c>
      <c r="M51" s="1" t="s">
        <v>35</v>
      </c>
      <c r="N51" s="1" t="s">
        <v>25</v>
      </c>
    </row>
    <row r="52" spans="1:14" x14ac:dyDescent="0.15">
      <c r="A52" s="1">
        <v>1544764</v>
      </c>
      <c r="B52" s="1" t="s">
        <v>17</v>
      </c>
      <c r="C52" s="1" t="s">
        <v>18</v>
      </c>
      <c r="D52" s="2">
        <v>35049</v>
      </c>
      <c r="E52" s="1" t="s">
        <v>19</v>
      </c>
      <c r="F52" s="1">
        <v>5</v>
      </c>
      <c r="G52" s="1">
        <v>90045</v>
      </c>
      <c r="H52" s="1">
        <v>97000</v>
      </c>
      <c r="I52" s="1">
        <v>1272</v>
      </c>
      <c r="J52" s="1">
        <v>911</v>
      </c>
      <c r="K52" s="1">
        <v>16</v>
      </c>
      <c r="L52" s="1">
        <v>59</v>
      </c>
      <c r="M52" s="1" t="s">
        <v>34</v>
      </c>
      <c r="N52" s="1" t="s">
        <v>29</v>
      </c>
    </row>
    <row r="53" spans="1:14" x14ac:dyDescent="0.15">
      <c r="A53" s="1">
        <v>1545054</v>
      </c>
      <c r="B53" s="1" t="s">
        <v>22</v>
      </c>
      <c r="C53" s="1" t="s">
        <v>27</v>
      </c>
      <c r="D53" s="2">
        <v>30813</v>
      </c>
      <c r="E53" s="1" t="s">
        <v>19</v>
      </c>
      <c r="F53" s="1">
        <v>5</v>
      </c>
      <c r="G53" s="1">
        <v>90014</v>
      </c>
      <c r="H53" s="1">
        <v>102000</v>
      </c>
      <c r="I53" s="1">
        <v>356</v>
      </c>
      <c r="J53" s="1">
        <v>626</v>
      </c>
      <c r="K53" s="1">
        <v>9</v>
      </c>
      <c r="L53" s="1">
        <v>320</v>
      </c>
      <c r="M53" s="1" t="s">
        <v>26</v>
      </c>
      <c r="N53" s="1" t="s">
        <v>30</v>
      </c>
    </row>
    <row r="54" spans="1:14" x14ac:dyDescent="0.15">
      <c r="A54" s="1">
        <v>1545822</v>
      </c>
      <c r="B54" s="1" t="s">
        <v>22</v>
      </c>
      <c r="C54" s="1" t="s">
        <v>27</v>
      </c>
      <c r="D54" s="2">
        <v>23667</v>
      </c>
      <c r="E54" s="1" t="s">
        <v>19</v>
      </c>
      <c r="F54" s="1">
        <v>4</v>
      </c>
      <c r="G54" s="1">
        <v>90023</v>
      </c>
      <c r="H54" s="1">
        <v>96000</v>
      </c>
      <c r="I54" s="1">
        <v>613</v>
      </c>
      <c r="J54" s="1">
        <v>1196</v>
      </c>
      <c r="K54" s="1">
        <v>9</v>
      </c>
      <c r="L54" s="1">
        <v>240</v>
      </c>
      <c r="M54" s="1" t="s">
        <v>26</v>
      </c>
      <c r="N54" s="1" t="s">
        <v>29</v>
      </c>
    </row>
    <row r="55" spans="1:14" x14ac:dyDescent="0.15">
      <c r="A55" s="1">
        <v>1546050</v>
      </c>
      <c r="B55" s="1" t="s">
        <v>22</v>
      </c>
      <c r="C55" s="1" t="s">
        <v>18</v>
      </c>
      <c r="D55" s="2">
        <v>23804</v>
      </c>
      <c r="E55" s="1" t="s">
        <v>19</v>
      </c>
      <c r="F55" s="1">
        <v>2</v>
      </c>
      <c r="G55" s="1">
        <v>90050</v>
      </c>
      <c r="H55" s="1">
        <v>148000</v>
      </c>
      <c r="I55" s="1">
        <v>1172</v>
      </c>
      <c r="J55" s="1">
        <v>892</v>
      </c>
      <c r="K55" s="1">
        <v>19</v>
      </c>
      <c r="L55" s="1">
        <v>9</v>
      </c>
      <c r="M55" s="1" t="s">
        <v>34</v>
      </c>
      <c r="N55" s="1" t="s">
        <v>25</v>
      </c>
    </row>
    <row r="56" spans="1:14" x14ac:dyDescent="0.15">
      <c r="A56" s="1">
        <v>1546105</v>
      </c>
      <c r="B56" s="1" t="s">
        <v>22</v>
      </c>
      <c r="C56" s="1" t="s">
        <v>18</v>
      </c>
      <c r="D56" s="2">
        <v>22110</v>
      </c>
      <c r="E56" s="1" t="s">
        <v>19</v>
      </c>
      <c r="F56" s="1">
        <v>2</v>
      </c>
      <c r="G56" s="1">
        <v>90033</v>
      </c>
      <c r="H56" s="1">
        <v>123000</v>
      </c>
      <c r="I56" s="1">
        <v>1000</v>
      </c>
      <c r="J56" s="1">
        <v>799</v>
      </c>
      <c r="K56" s="1">
        <v>8</v>
      </c>
      <c r="L56" s="1">
        <v>360</v>
      </c>
      <c r="M56" s="1" t="s">
        <v>34</v>
      </c>
      <c r="N56" s="1" t="s">
        <v>30</v>
      </c>
    </row>
    <row r="57" spans="1:14" x14ac:dyDescent="0.15">
      <c r="A57" s="1">
        <v>1546138</v>
      </c>
      <c r="B57" s="1" t="s">
        <v>17</v>
      </c>
      <c r="C57" s="1" t="s">
        <v>18</v>
      </c>
      <c r="D57" s="2">
        <v>29653</v>
      </c>
      <c r="E57" s="1" t="s">
        <v>19</v>
      </c>
      <c r="F57" s="1">
        <v>1</v>
      </c>
      <c r="G57" s="1">
        <v>90024</v>
      </c>
      <c r="H57" s="1">
        <v>72000</v>
      </c>
      <c r="I57" s="1">
        <v>1170</v>
      </c>
      <c r="J57" s="1">
        <v>1125</v>
      </c>
      <c r="K57" s="1">
        <v>26</v>
      </c>
      <c r="L57" s="1">
        <v>100</v>
      </c>
      <c r="M57" s="1" t="s">
        <v>34</v>
      </c>
      <c r="N57" s="1" t="s">
        <v>21</v>
      </c>
    </row>
    <row r="58" spans="1:14" x14ac:dyDescent="0.15">
      <c r="A58" s="1">
        <v>1546179</v>
      </c>
      <c r="B58" s="1" t="s">
        <v>17</v>
      </c>
      <c r="C58" s="1" t="s">
        <v>18</v>
      </c>
      <c r="D58" s="2">
        <v>27294</v>
      </c>
      <c r="E58" s="1" t="s">
        <v>19</v>
      </c>
      <c r="F58" s="1">
        <v>4</v>
      </c>
      <c r="G58" s="1">
        <v>90034</v>
      </c>
      <c r="H58" s="1">
        <v>50000</v>
      </c>
      <c r="I58" s="1">
        <v>911</v>
      </c>
      <c r="J58" s="1">
        <v>850</v>
      </c>
      <c r="K58" s="1">
        <v>10</v>
      </c>
      <c r="L58" s="1">
        <v>47</v>
      </c>
      <c r="M58" s="1" t="s">
        <v>34</v>
      </c>
      <c r="N58" s="1" t="s">
        <v>21</v>
      </c>
    </row>
    <row r="59" spans="1:14" x14ac:dyDescent="0.15">
      <c r="A59" s="1">
        <v>1546224</v>
      </c>
      <c r="B59" s="1" t="s">
        <v>17</v>
      </c>
      <c r="C59" s="1" t="s">
        <v>31</v>
      </c>
      <c r="D59" s="2">
        <v>29489</v>
      </c>
      <c r="E59" s="1" t="s">
        <v>19</v>
      </c>
      <c r="F59" s="1">
        <v>5</v>
      </c>
      <c r="G59" s="1">
        <v>90043</v>
      </c>
      <c r="H59" s="1">
        <v>99000</v>
      </c>
      <c r="I59" s="1">
        <v>228</v>
      </c>
      <c r="J59" s="1">
        <v>417</v>
      </c>
      <c r="K59" s="1">
        <v>9</v>
      </c>
      <c r="L59" s="1">
        <v>76</v>
      </c>
      <c r="M59" s="1" t="s">
        <v>34</v>
      </c>
      <c r="N59" s="1" t="s">
        <v>29</v>
      </c>
    </row>
    <row r="60" spans="1:14" x14ac:dyDescent="0.15">
      <c r="A60" s="1">
        <v>1546623</v>
      </c>
      <c r="B60" s="1" t="s">
        <v>17</v>
      </c>
      <c r="C60" s="1" t="s">
        <v>27</v>
      </c>
      <c r="D60" s="2">
        <v>29365</v>
      </c>
      <c r="E60" s="1" t="s">
        <v>19</v>
      </c>
      <c r="F60" s="1">
        <v>2</v>
      </c>
      <c r="G60" s="1">
        <v>90029</v>
      </c>
      <c r="H60" s="1">
        <v>56000</v>
      </c>
      <c r="I60" s="1">
        <v>723</v>
      </c>
      <c r="J60" s="1">
        <v>1038</v>
      </c>
      <c r="K60" s="1">
        <v>22</v>
      </c>
      <c r="L60" s="1">
        <v>188</v>
      </c>
      <c r="M60" s="1" t="s">
        <v>34</v>
      </c>
      <c r="N60" s="1" t="s">
        <v>30</v>
      </c>
    </row>
    <row r="61" spans="1:14" x14ac:dyDescent="0.15">
      <c r="A61" s="1">
        <v>1546870</v>
      </c>
      <c r="B61" s="1" t="s">
        <v>17</v>
      </c>
      <c r="C61" s="1" t="s">
        <v>18</v>
      </c>
      <c r="D61" s="2">
        <v>23155</v>
      </c>
      <c r="E61" s="1" t="s">
        <v>19</v>
      </c>
      <c r="F61" s="1">
        <v>4</v>
      </c>
      <c r="G61" s="1">
        <v>90062</v>
      </c>
      <c r="H61" s="1">
        <v>71000</v>
      </c>
      <c r="I61" s="1">
        <v>870</v>
      </c>
      <c r="J61" s="1">
        <v>1127</v>
      </c>
      <c r="K61" s="1">
        <v>19</v>
      </c>
      <c r="L61" s="1">
        <v>40</v>
      </c>
      <c r="M61" s="1" t="s">
        <v>26</v>
      </c>
      <c r="N61" s="1" t="s">
        <v>30</v>
      </c>
    </row>
    <row r="62" spans="1:14" x14ac:dyDescent="0.15">
      <c r="A62" s="1">
        <v>1547473</v>
      </c>
      <c r="B62" s="1" t="s">
        <v>22</v>
      </c>
      <c r="C62" s="1" t="s">
        <v>23</v>
      </c>
      <c r="D62" s="2">
        <v>33934</v>
      </c>
      <c r="E62" s="1" t="s">
        <v>19</v>
      </c>
      <c r="F62" s="1">
        <v>4</v>
      </c>
      <c r="G62" s="1">
        <v>90027</v>
      </c>
      <c r="H62" s="1">
        <v>65000</v>
      </c>
      <c r="I62" s="1">
        <v>42</v>
      </c>
      <c r="J62" s="1">
        <v>78</v>
      </c>
      <c r="K62" s="1">
        <v>2</v>
      </c>
      <c r="L62" s="1">
        <v>11</v>
      </c>
      <c r="M62" s="1" t="s">
        <v>34</v>
      </c>
      <c r="N62" s="1" t="s">
        <v>30</v>
      </c>
    </row>
    <row r="63" spans="1:14" x14ac:dyDescent="0.15">
      <c r="A63" s="1">
        <v>1547620</v>
      </c>
      <c r="B63" s="1" t="s">
        <v>22</v>
      </c>
      <c r="C63" s="1" t="s">
        <v>23</v>
      </c>
      <c r="D63" s="2">
        <v>22955</v>
      </c>
      <c r="E63" s="1" t="s">
        <v>19</v>
      </c>
      <c r="F63" s="1">
        <v>2</v>
      </c>
      <c r="G63" s="1">
        <v>90001</v>
      </c>
      <c r="H63" s="1">
        <v>63000</v>
      </c>
      <c r="I63" s="1">
        <v>95</v>
      </c>
      <c r="J63" s="1">
        <v>113</v>
      </c>
      <c r="K63" s="1">
        <v>2</v>
      </c>
      <c r="L63" s="1">
        <v>241</v>
      </c>
      <c r="M63" s="1" t="s">
        <v>34</v>
      </c>
      <c r="N63" s="1" t="s">
        <v>25</v>
      </c>
    </row>
    <row r="64" spans="1:14" x14ac:dyDescent="0.15">
      <c r="A64" s="1">
        <v>1547771</v>
      </c>
      <c r="B64" s="1" t="s">
        <v>22</v>
      </c>
      <c r="C64" s="1" t="s">
        <v>31</v>
      </c>
      <c r="D64" s="2">
        <v>35134</v>
      </c>
      <c r="E64" s="1" t="s">
        <v>19</v>
      </c>
      <c r="F64" s="1">
        <v>3</v>
      </c>
      <c r="G64" s="1">
        <v>90023</v>
      </c>
      <c r="H64" s="1">
        <v>56000</v>
      </c>
      <c r="I64" s="1">
        <v>679</v>
      </c>
      <c r="J64" s="1">
        <v>790</v>
      </c>
      <c r="K64" s="1">
        <v>10</v>
      </c>
      <c r="L64" s="1">
        <v>352</v>
      </c>
      <c r="M64" s="1" t="s">
        <v>24</v>
      </c>
      <c r="N64" s="1" t="s">
        <v>29</v>
      </c>
    </row>
    <row r="65" spans="1:14" x14ac:dyDescent="0.15">
      <c r="A65" s="1">
        <v>1547864</v>
      </c>
      <c r="B65" s="1" t="s">
        <v>17</v>
      </c>
      <c r="C65" s="1" t="s">
        <v>27</v>
      </c>
      <c r="D65" s="2">
        <v>31943</v>
      </c>
      <c r="E65" s="1" t="s">
        <v>19</v>
      </c>
      <c r="F65" s="1">
        <v>2</v>
      </c>
      <c r="G65" s="1">
        <v>90050</v>
      </c>
      <c r="H65" s="1">
        <v>44000</v>
      </c>
      <c r="I65" s="1">
        <v>397</v>
      </c>
      <c r="J65" s="1">
        <v>500</v>
      </c>
      <c r="K65" s="1">
        <v>5</v>
      </c>
      <c r="L65" s="1">
        <v>333</v>
      </c>
      <c r="M65" s="1" t="s">
        <v>34</v>
      </c>
      <c r="N65" s="1" t="s">
        <v>25</v>
      </c>
    </row>
    <row r="66" spans="1:14" x14ac:dyDescent="0.15">
      <c r="A66" s="1">
        <v>1548038</v>
      </c>
      <c r="B66" s="1" t="s">
        <v>22</v>
      </c>
      <c r="C66" s="1" t="s">
        <v>27</v>
      </c>
      <c r="D66" s="2">
        <v>35351</v>
      </c>
      <c r="E66" s="1" t="s">
        <v>28</v>
      </c>
      <c r="F66" s="1">
        <v>3</v>
      </c>
      <c r="G66" s="1">
        <v>90014</v>
      </c>
      <c r="H66" s="1">
        <v>72000</v>
      </c>
      <c r="I66" s="1">
        <v>182</v>
      </c>
      <c r="J66" s="1">
        <v>163</v>
      </c>
      <c r="K66" s="1">
        <v>1</v>
      </c>
      <c r="L66" s="1">
        <v>52</v>
      </c>
      <c r="M66" s="1" t="s">
        <v>34</v>
      </c>
      <c r="N66" s="1" t="s">
        <v>29</v>
      </c>
    </row>
    <row r="67" spans="1:14" x14ac:dyDescent="0.15">
      <c r="A67" s="1">
        <v>1548419</v>
      </c>
      <c r="B67" s="1" t="s">
        <v>17</v>
      </c>
      <c r="C67" s="1" t="s">
        <v>27</v>
      </c>
      <c r="D67" s="2">
        <v>19871</v>
      </c>
      <c r="E67" s="1" t="s">
        <v>28</v>
      </c>
      <c r="F67" s="1">
        <v>4</v>
      </c>
      <c r="G67" s="1">
        <v>90067</v>
      </c>
      <c r="H67" s="1">
        <v>42000</v>
      </c>
      <c r="I67" s="1">
        <v>476</v>
      </c>
      <c r="J67" s="1">
        <v>453</v>
      </c>
      <c r="K67" s="1">
        <v>4</v>
      </c>
      <c r="L67" s="1">
        <v>26</v>
      </c>
      <c r="M67" s="1" t="s">
        <v>26</v>
      </c>
      <c r="N67" s="1" t="s">
        <v>30</v>
      </c>
    </row>
    <row r="68" spans="1:14" x14ac:dyDescent="0.15">
      <c r="A68" s="1">
        <v>1549186</v>
      </c>
      <c r="B68" s="1" t="s">
        <v>22</v>
      </c>
      <c r="C68" s="1" t="s">
        <v>27</v>
      </c>
      <c r="D68" s="2">
        <v>20897</v>
      </c>
      <c r="E68" s="1" t="s">
        <v>19</v>
      </c>
      <c r="F68" s="1">
        <v>2</v>
      </c>
      <c r="G68" s="1">
        <v>90045</v>
      </c>
      <c r="H68" s="1">
        <v>94000</v>
      </c>
      <c r="I68" s="1">
        <v>967</v>
      </c>
      <c r="J68" s="1">
        <v>764</v>
      </c>
      <c r="K68" s="1">
        <v>7</v>
      </c>
      <c r="L68" s="1">
        <v>262</v>
      </c>
      <c r="M68" s="1" t="s">
        <v>24</v>
      </c>
      <c r="N68" s="1" t="s">
        <v>25</v>
      </c>
    </row>
    <row r="69" spans="1:14" x14ac:dyDescent="0.15">
      <c r="A69" s="1">
        <v>1549239</v>
      </c>
      <c r="B69" s="1" t="s">
        <v>22</v>
      </c>
      <c r="C69" s="1" t="s">
        <v>18</v>
      </c>
      <c r="D69" s="2">
        <v>33062</v>
      </c>
      <c r="E69" s="1" t="s">
        <v>19</v>
      </c>
      <c r="F69" s="1">
        <v>1</v>
      </c>
      <c r="G69" s="1">
        <v>90010</v>
      </c>
      <c r="H69" s="1">
        <v>151000</v>
      </c>
      <c r="I69" s="1">
        <v>667</v>
      </c>
      <c r="J69" s="1">
        <v>688</v>
      </c>
      <c r="K69" s="1">
        <v>17</v>
      </c>
      <c r="L69" s="1">
        <v>296</v>
      </c>
      <c r="M69" s="1" t="s">
        <v>26</v>
      </c>
      <c r="N69" s="1" t="s">
        <v>21</v>
      </c>
    </row>
    <row r="70" spans="1:14" x14ac:dyDescent="0.15">
      <c r="A70" s="1">
        <v>1549430</v>
      </c>
      <c r="B70" s="1" t="s">
        <v>22</v>
      </c>
      <c r="C70" s="1" t="s">
        <v>23</v>
      </c>
      <c r="D70" s="2">
        <v>35880</v>
      </c>
      <c r="E70" s="1" t="s">
        <v>19</v>
      </c>
      <c r="F70" s="1">
        <v>2</v>
      </c>
      <c r="G70" s="1">
        <v>90066</v>
      </c>
      <c r="H70" s="1">
        <v>97000</v>
      </c>
      <c r="I70" s="1">
        <v>1334</v>
      </c>
      <c r="J70" s="1">
        <v>1020</v>
      </c>
      <c r="K70" s="1">
        <v>24</v>
      </c>
      <c r="L70" s="1">
        <v>176</v>
      </c>
      <c r="M70" s="1" t="s">
        <v>34</v>
      </c>
      <c r="N70" s="1" t="s">
        <v>25</v>
      </c>
    </row>
    <row r="71" spans="1:14" x14ac:dyDescent="0.15">
      <c r="A71" s="1">
        <v>1549535</v>
      </c>
      <c r="B71" s="1" t="s">
        <v>22</v>
      </c>
      <c r="C71" s="1" t="s">
        <v>27</v>
      </c>
      <c r="D71" s="2">
        <v>22559</v>
      </c>
      <c r="E71" s="1" t="s">
        <v>19</v>
      </c>
      <c r="F71" s="1">
        <v>4</v>
      </c>
      <c r="G71" s="1">
        <v>90008</v>
      </c>
      <c r="H71" s="1">
        <v>87000</v>
      </c>
      <c r="I71" s="1">
        <v>438</v>
      </c>
      <c r="J71" s="1">
        <v>538</v>
      </c>
      <c r="K71" s="1">
        <v>8</v>
      </c>
      <c r="L71" s="1">
        <v>320</v>
      </c>
      <c r="M71" s="1" t="s">
        <v>34</v>
      </c>
      <c r="N71" s="1" t="s">
        <v>29</v>
      </c>
    </row>
    <row r="72" spans="1:14" x14ac:dyDescent="0.15">
      <c r="A72" s="1">
        <v>1549652</v>
      </c>
      <c r="B72" s="1" t="s">
        <v>17</v>
      </c>
      <c r="C72" s="1" t="s">
        <v>18</v>
      </c>
      <c r="D72" s="2">
        <v>21157</v>
      </c>
      <c r="E72" s="1" t="s">
        <v>19</v>
      </c>
      <c r="F72" s="1">
        <v>4</v>
      </c>
      <c r="G72" s="1">
        <v>90025</v>
      </c>
      <c r="H72" s="1">
        <v>94000</v>
      </c>
      <c r="I72" s="1">
        <v>572</v>
      </c>
      <c r="J72" s="1">
        <v>767</v>
      </c>
      <c r="K72" s="1">
        <v>7</v>
      </c>
      <c r="L72" s="1">
        <v>227</v>
      </c>
      <c r="M72" s="1" t="s">
        <v>35</v>
      </c>
      <c r="N72" s="1" t="s">
        <v>25</v>
      </c>
    </row>
    <row r="73" spans="1:14" x14ac:dyDescent="0.15">
      <c r="A73" s="1">
        <v>1549708</v>
      </c>
      <c r="B73" s="1" t="s">
        <v>22</v>
      </c>
      <c r="C73" s="1" t="s">
        <v>23</v>
      </c>
      <c r="D73" s="2">
        <v>23529</v>
      </c>
      <c r="E73" s="1" t="s">
        <v>19</v>
      </c>
      <c r="F73" s="1">
        <v>3</v>
      </c>
      <c r="G73" s="1">
        <v>90032</v>
      </c>
      <c r="H73" s="1">
        <v>78000</v>
      </c>
      <c r="I73" s="1">
        <v>516</v>
      </c>
      <c r="J73" s="1">
        <v>388</v>
      </c>
      <c r="K73" s="1">
        <v>8</v>
      </c>
      <c r="L73" s="1">
        <v>330</v>
      </c>
      <c r="M73" s="1" t="s">
        <v>26</v>
      </c>
      <c r="N73" s="1" t="s">
        <v>29</v>
      </c>
    </row>
    <row r="74" spans="1:14" x14ac:dyDescent="0.15">
      <c r="A74" s="1">
        <v>1550134</v>
      </c>
      <c r="B74" s="1" t="s">
        <v>22</v>
      </c>
      <c r="C74" s="1" t="s">
        <v>31</v>
      </c>
      <c r="D74" s="2">
        <v>35437</v>
      </c>
      <c r="E74" s="1" t="s">
        <v>19</v>
      </c>
      <c r="F74" s="1">
        <v>4</v>
      </c>
      <c r="G74" s="1">
        <v>90021</v>
      </c>
      <c r="H74" s="1">
        <v>91000</v>
      </c>
      <c r="I74" s="1">
        <v>571</v>
      </c>
      <c r="J74" s="1">
        <v>423</v>
      </c>
      <c r="K74" s="1">
        <v>6</v>
      </c>
      <c r="L74" s="1">
        <v>18</v>
      </c>
      <c r="M74" s="1" t="s">
        <v>34</v>
      </c>
      <c r="N74" s="1" t="s">
        <v>25</v>
      </c>
    </row>
    <row r="75" spans="1:14" x14ac:dyDescent="0.15">
      <c r="A75" s="1">
        <v>1550268</v>
      </c>
      <c r="B75" s="1" t="s">
        <v>17</v>
      </c>
      <c r="C75" s="1" t="s">
        <v>23</v>
      </c>
      <c r="D75" s="2">
        <v>33520</v>
      </c>
      <c r="E75" s="1" t="s">
        <v>19</v>
      </c>
      <c r="F75" s="1">
        <v>5</v>
      </c>
      <c r="G75" s="1">
        <v>90010</v>
      </c>
      <c r="H75" s="1">
        <v>62000</v>
      </c>
      <c r="I75" s="1">
        <v>986</v>
      </c>
      <c r="J75" s="1">
        <v>862</v>
      </c>
      <c r="K75" s="1">
        <v>19</v>
      </c>
      <c r="L75" s="1">
        <v>273</v>
      </c>
      <c r="M75" s="1" t="s">
        <v>26</v>
      </c>
      <c r="N75" s="1" t="s">
        <v>29</v>
      </c>
    </row>
    <row r="76" spans="1:14" x14ac:dyDescent="0.15">
      <c r="A76" s="1">
        <v>1550307</v>
      </c>
      <c r="B76" s="1" t="s">
        <v>22</v>
      </c>
      <c r="C76" s="1" t="s">
        <v>31</v>
      </c>
      <c r="D76" s="2">
        <v>20054</v>
      </c>
      <c r="E76" s="1" t="s">
        <v>19</v>
      </c>
      <c r="F76" s="1">
        <v>1</v>
      </c>
      <c r="G76" s="1">
        <v>90013</v>
      </c>
      <c r="H76" s="1">
        <v>97000</v>
      </c>
      <c r="I76" s="1">
        <v>887</v>
      </c>
      <c r="J76" s="1">
        <v>1195</v>
      </c>
      <c r="K76" s="1">
        <v>12</v>
      </c>
      <c r="L76" s="1">
        <v>49</v>
      </c>
      <c r="M76" s="1" t="s">
        <v>35</v>
      </c>
      <c r="N76" s="1" t="s">
        <v>30</v>
      </c>
    </row>
    <row r="77" spans="1:14" x14ac:dyDescent="0.15">
      <c r="A77" s="1">
        <v>1550486</v>
      </c>
      <c r="B77" s="1" t="s">
        <v>22</v>
      </c>
      <c r="C77" s="1" t="s">
        <v>23</v>
      </c>
      <c r="D77" s="2">
        <v>20207</v>
      </c>
      <c r="E77" s="1" t="s">
        <v>28</v>
      </c>
      <c r="F77" s="1">
        <v>3</v>
      </c>
      <c r="G77" s="1">
        <v>90001</v>
      </c>
      <c r="H77" s="1">
        <v>122000</v>
      </c>
      <c r="I77" s="1">
        <v>124</v>
      </c>
      <c r="J77" s="1">
        <v>130</v>
      </c>
      <c r="K77" s="1">
        <v>1</v>
      </c>
      <c r="L77" s="1">
        <v>205</v>
      </c>
      <c r="M77" s="1" t="s">
        <v>26</v>
      </c>
      <c r="N77" s="1" t="s">
        <v>25</v>
      </c>
    </row>
    <row r="78" spans="1:14" x14ac:dyDescent="0.15">
      <c r="A78" s="1">
        <v>1550596</v>
      </c>
      <c r="B78" s="1" t="s">
        <v>17</v>
      </c>
      <c r="C78" s="1" t="s">
        <v>18</v>
      </c>
      <c r="D78" s="2">
        <v>31948</v>
      </c>
      <c r="E78" s="1" t="s">
        <v>19</v>
      </c>
      <c r="F78" s="1">
        <v>5</v>
      </c>
      <c r="G78" s="1">
        <v>90038</v>
      </c>
      <c r="H78" s="1">
        <v>92000</v>
      </c>
      <c r="I78" s="1">
        <v>125</v>
      </c>
      <c r="J78" s="1">
        <v>183</v>
      </c>
      <c r="K78" s="1">
        <v>1</v>
      </c>
      <c r="L78" s="1">
        <v>26</v>
      </c>
      <c r="M78" s="1" t="s">
        <v>24</v>
      </c>
      <c r="N78" s="1" t="s">
        <v>30</v>
      </c>
    </row>
    <row r="79" spans="1:14" x14ac:dyDescent="0.15">
      <c r="A79" s="1">
        <v>1550597</v>
      </c>
      <c r="B79" s="1" t="s">
        <v>22</v>
      </c>
      <c r="C79" s="1" t="s">
        <v>23</v>
      </c>
      <c r="D79" s="2">
        <v>23135</v>
      </c>
      <c r="E79" s="1" t="s">
        <v>19</v>
      </c>
      <c r="F79" s="1">
        <v>1</v>
      </c>
      <c r="G79" s="1">
        <v>90020</v>
      </c>
      <c r="H79" s="1">
        <v>93000</v>
      </c>
      <c r="I79" s="1">
        <v>618</v>
      </c>
      <c r="J79" s="1">
        <v>489</v>
      </c>
      <c r="K79" s="1">
        <v>7</v>
      </c>
      <c r="L79" s="1">
        <v>308</v>
      </c>
      <c r="M79" s="1" t="s">
        <v>34</v>
      </c>
      <c r="N79" s="1" t="s">
        <v>25</v>
      </c>
    </row>
    <row r="80" spans="1:14" x14ac:dyDescent="0.15">
      <c r="A80" s="1">
        <v>1550751</v>
      </c>
      <c r="B80" s="1" t="s">
        <v>22</v>
      </c>
      <c r="C80" s="1" t="s">
        <v>27</v>
      </c>
      <c r="D80" s="2">
        <v>19374</v>
      </c>
      <c r="E80" s="1" t="s">
        <v>19</v>
      </c>
      <c r="F80" s="1">
        <v>3</v>
      </c>
      <c r="G80" s="1">
        <v>90013</v>
      </c>
      <c r="H80" s="1">
        <v>56000</v>
      </c>
      <c r="I80" s="1">
        <v>65</v>
      </c>
      <c r="J80" s="1">
        <v>87</v>
      </c>
      <c r="K80" s="1">
        <v>1</v>
      </c>
      <c r="L80" s="1">
        <v>341</v>
      </c>
      <c r="M80" s="1" t="s">
        <v>34</v>
      </c>
      <c r="N80" s="1" t="s">
        <v>29</v>
      </c>
    </row>
    <row r="81" spans="1:14" x14ac:dyDescent="0.15">
      <c r="A81" s="1">
        <v>1550842</v>
      </c>
      <c r="B81" s="1" t="s">
        <v>22</v>
      </c>
      <c r="C81" s="1" t="s">
        <v>23</v>
      </c>
      <c r="D81" s="2">
        <v>30989</v>
      </c>
      <c r="E81" s="1" t="s">
        <v>19</v>
      </c>
      <c r="F81" s="1">
        <v>4</v>
      </c>
      <c r="G81" s="1">
        <v>90053</v>
      </c>
      <c r="H81" s="1">
        <v>60000</v>
      </c>
      <c r="I81" s="1">
        <v>403</v>
      </c>
      <c r="J81" s="1">
        <v>684</v>
      </c>
      <c r="K81" s="1">
        <v>14</v>
      </c>
      <c r="L81" s="1">
        <v>195</v>
      </c>
      <c r="M81" s="1" t="s">
        <v>26</v>
      </c>
      <c r="N81" s="1" t="s">
        <v>25</v>
      </c>
    </row>
    <row r="82" spans="1:14" x14ac:dyDescent="0.15">
      <c r="A82" s="1">
        <v>1550969</v>
      </c>
      <c r="B82" s="1" t="s">
        <v>17</v>
      </c>
      <c r="C82" s="1" t="s">
        <v>23</v>
      </c>
      <c r="D82" s="2">
        <v>28588</v>
      </c>
      <c r="E82" s="1" t="s">
        <v>19</v>
      </c>
      <c r="F82" s="1">
        <v>4</v>
      </c>
      <c r="G82" s="1">
        <v>90030</v>
      </c>
      <c r="H82" s="1">
        <v>47000</v>
      </c>
      <c r="I82" s="1">
        <v>1045</v>
      </c>
      <c r="J82" s="1">
        <v>774</v>
      </c>
      <c r="K82" s="1">
        <v>16</v>
      </c>
      <c r="L82" s="1">
        <v>76</v>
      </c>
      <c r="M82" s="1" t="s">
        <v>24</v>
      </c>
      <c r="N82" s="1" t="s">
        <v>25</v>
      </c>
    </row>
    <row r="83" spans="1:14" x14ac:dyDescent="0.15">
      <c r="A83" s="1">
        <v>1551391</v>
      </c>
      <c r="B83" s="1" t="s">
        <v>17</v>
      </c>
      <c r="C83" s="1" t="s">
        <v>18</v>
      </c>
      <c r="D83" s="2">
        <v>31938</v>
      </c>
      <c r="E83" s="1" t="s">
        <v>19</v>
      </c>
      <c r="F83" s="1">
        <v>5</v>
      </c>
      <c r="G83" s="1">
        <v>90051</v>
      </c>
      <c r="H83" s="1">
        <v>63000</v>
      </c>
      <c r="I83" s="1">
        <v>105</v>
      </c>
      <c r="J83" s="1">
        <v>188</v>
      </c>
      <c r="K83" s="1">
        <v>4</v>
      </c>
      <c r="L83" s="1">
        <v>183</v>
      </c>
      <c r="M83" s="1" t="s">
        <v>34</v>
      </c>
      <c r="N83" s="1" t="s">
        <v>29</v>
      </c>
    </row>
    <row r="84" spans="1:14" x14ac:dyDescent="0.15">
      <c r="A84" s="1">
        <v>1551454</v>
      </c>
      <c r="B84" s="1" t="s">
        <v>22</v>
      </c>
      <c r="C84" s="1" t="s">
        <v>18</v>
      </c>
      <c r="D84" s="2">
        <v>36377</v>
      </c>
      <c r="E84" s="1" t="s">
        <v>19</v>
      </c>
      <c r="F84" s="1">
        <v>3</v>
      </c>
      <c r="G84" s="1">
        <v>90034</v>
      </c>
      <c r="H84" s="1">
        <v>94000</v>
      </c>
      <c r="I84" s="1">
        <v>675</v>
      </c>
      <c r="J84" s="1">
        <v>580</v>
      </c>
      <c r="K84" s="1">
        <v>15</v>
      </c>
      <c r="L84" s="1">
        <v>342</v>
      </c>
      <c r="M84" s="1" t="s">
        <v>26</v>
      </c>
      <c r="N84" s="1" t="s">
        <v>29</v>
      </c>
    </row>
    <row r="85" spans="1:14" x14ac:dyDescent="0.15">
      <c r="A85" s="1">
        <v>1551735</v>
      </c>
      <c r="B85" s="1" t="s">
        <v>22</v>
      </c>
      <c r="C85" s="1" t="s">
        <v>31</v>
      </c>
      <c r="D85" s="2">
        <v>28030</v>
      </c>
      <c r="E85" s="1" t="s">
        <v>19</v>
      </c>
      <c r="F85" s="1">
        <v>4</v>
      </c>
      <c r="G85" s="1">
        <v>90028</v>
      </c>
      <c r="H85" s="1">
        <v>73000</v>
      </c>
      <c r="I85" s="1">
        <v>107</v>
      </c>
      <c r="J85" s="1">
        <v>148</v>
      </c>
      <c r="K85" s="1">
        <v>4</v>
      </c>
      <c r="L85" s="1">
        <v>214</v>
      </c>
      <c r="M85" s="1" t="s">
        <v>24</v>
      </c>
      <c r="N85" s="1" t="s">
        <v>29</v>
      </c>
    </row>
    <row r="86" spans="1:14" x14ac:dyDescent="0.15">
      <c r="A86" s="1">
        <v>1551796</v>
      </c>
      <c r="B86" s="1" t="s">
        <v>22</v>
      </c>
      <c r="C86" s="1" t="s">
        <v>18</v>
      </c>
      <c r="D86" s="2">
        <v>22599</v>
      </c>
      <c r="E86" s="1" t="s">
        <v>28</v>
      </c>
      <c r="F86" s="1">
        <v>4</v>
      </c>
      <c r="G86" s="1">
        <v>90045</v>
      </c>
      <c r="H86" s="1">
        <v>46000</v>
      </c>
      <c r="I86" s="1">
        <v>1730</v>
      </c>
      <c r="J86" s="1">
        <v>1206</v>
      </c>
      <c r="K86" s="1">
        <v>19</v>
      </c>
      <c r="L86" s="1">
        <v>159</v>
      </c>
      <c r="M86" s="1" t="s">
        <v>26</v>
      </c>
      <c r="N86" s="1" t="s">
        <v>29</v>
      </c>
    </row>
    <row r="87" spans="1:14" x14ac:dyDescent="0.15">
      <c r="A87" s="1">
        <v>1552447</v>
      </c>
      <c r="B87" s="1" t="s">
        <v>17</v>
      </c>
      <c r="C87" s="1" t="s">
        <v>23</v>
      </c>
      <c r="D87" s="2">
        <v>35247</v>
      </c>
      <c r="E87" s="1" t="s">
        <v>19</v>
      </c>
      <c r="F87" s="1">
        <v>1</v>
      </c>
      <c r="G87" s="1">
        <v>90010</v>
      </c>
      <c r="H87" s="1">
        <v>55000</v>
      </c>
      <c r="I87" s="1">
        <v>312</v>
      </c>
      <c r="J87" s="1">
        <v>602</v>
      </c>
      <c r="K87" s="1">
        <v>5</v>
      </c>
      <c r="L87" s="1">
        <v>200</v>
      </c>
      <c r="M87" s="1" t="s">
        <v>35</v>
      </c>
      <c r="N87" s="1" t="s">
        <v>29</v>
      </c>
    </row>
    <row r="88" spans="1:14" x14ac:dyDescent="0.15">
      <c r="A88" s="1">
        <v>1552841</v>
      </c>
      <c r="B88" s="1" t="s">
        <v>17</v>
      </c>
      <c r="C88" s="1" t="s">
        <v>23</v>
      </c>
      <c r="D88" s="2">
        <v>28017</v>
      </c>
      <c r="E88" s="1" t="s">
        <v>19</v>
      </c>
      <c r="F88" s="1">
        <v>3</v>
      </c>
      <c r="G88" s="1">
        <v>90068</v>
      </c>
      <c r="H88" s="1">
        <v>52000</v>
      </c>
      <c r="I88" s="1">
        <v>860</v>
      </c>
      <c r="J88" s="1">
        <v>582</v>
      </c>
      <c r="K88" s="1">
        <v>12</v>
      </c>
      <c r="L88" s="1">
        <v>218</v>
      </c>
      <c r="M88" s="1" t="s">
        <v>34</v>
      </c>
      <c r="N88" s="1" t="s">
        <v>30</v>
      </c>
    </row>
    <row r="89" spans="1:14" x14ac:dyDescent="0.15">
      <c r="A89" s="1">
        <v>1553405</v>
      </c>
      <c r="B89" s="1" t="s">
        <v>17</v>
      </c>
      <c r="C89" s="1" t="s">
        <v>31</v>
      </c>
      <c r="D89" s="2">
        <v>23385</v>
      </c>
      <c r="E89" s="1" t="s">
        <v>19</v>
      </c>
      <c r="F89" s="1">
        <v>1</v>
      </c>
      <c r="G89" s="1">
        <v>90042</v>
      </c>
      <c r="H89" s="1">
        <v>50000</v>
      </c>
      <c r="I89" s="1">
        <v>1566</v>
      </c>
      <c r="J89" s="1">
        <v>1193</v>
      </c>
      <c r="K89" s="1">
        <v>27</v>
      </c>
      <c r="L89" s="1">
        <v>251</v>
      </c>
      <c r="M89" s="1" t="s">
        <v>34</v>
      </c>
      <c r="N89" s="1" t="s">
        <v>21</v>
      </c>
    </row>
    <row r="90" spans="1:14" x14ac:dyDescent="0.15">
      <c r="A90" s="1">
        <v>1553430</v>
      </c>
      <c r="B90" s="1" t="s">
        <v>22</v>
      </c>
      <c r="C90" s="1" t="s">
        <v>23</v>
      </c>
      <c r="D90" s="2">
        <v>19308</v>
      </c>
      <c r="E90" s="1" t="s">
        <v>19</v>
      </c>
      <c r="F90" s="1">
        <v>4</v>
      </c>
      <c r="G90" s="1">
        <v>90044</v>
      </c>
      <c r="H90" s="1">
        <v>77000</v>
      </c>
      <c r="I90" s="1">
        <v>707</v>
      </c>
      <c r="J90" s="1">
        <v>587</v>
      </c>
      <c r="K90" s="1">
        <v>5</v>
      </c>
      <c r="L90" s="1">
        <v>180</v>
      </c>
      <c r="M90" s="1" t="s">
        <v>26</v>
      </c>
      <c r="N90" s="1" t="s">
        <v>30</v>
      </c>
    </row>
    <row r="91" spans="1:14" x14ac:dyDescent="0.15">
      <c r="A91" s="1">
        <v>1553530</v>
      </c>
      <c r="B91" s="1" t="s">
        <v>22</v>
      </c>
      <c r="C91" s="1" t="s">
        <v>18</v>
      </c>
      <c r="D91" s="2">
        <v>36784</v>
      </c>
      <c r="E91" s="1" t="s">
        <v>19</v>
      </c>
      <c r="F91" s="1">
        <v>5</v>
      </c>
      <c r="G91" s="1">
        <v>90033</v>
      </c>
      <c r="H91" s="1">
        <v>109000</v>
      </c>
      <c r="I91" s="1">
        <v>1028</v>
      </c>
      <c r="J91" s="1">
        <v>1113</v>
      </c>
      <c r="K91" s="1">
        <v>13</v>
      </c>
      <c r="L91" s="1">
        <v>29</v>
      </c>
      <c r="M91" s="1" t="s">
        <v>34</v>
      </c>
      <c r="N91" s="1" t="s">
        <v>29</v>
      </c>
    </row>
    <row r="92" spans="1:14" x14ac:dyDescent="0.15">
      <c r="A92" s="1">
        <v>1553559</v>
      </c>
      <c r="B92" s="1" t="s">
        <v>22</v>
      </c>
      <c r="C92" s="1" t="s">
        <v>23</v>
      </c>
      <c r="D92" s="2">
        <v>35668</v>
      </c>
      <c r="E92" s="1" t="s">
        <v>19</v>
      </c>
      <c r="F92" s="1">
        <v>4</v>
      </c>
      <c r="G92" s="1">
        <v>90065</v>
      </c>
      <c r="H92" s="1">
        <v>68000</v>
      </c>
      <c r="I92" s="1">
        <v>87</v>
      </c>
      <c r="J92" s="1">
        <v>82</v>
      </c>
      <c r="K92" s="1">
        <v>2</v>
      </c>
      <c r="L92" s="1">
        <v>149</v>
      </c>
      <c r="M92" s="1" t="s">
        <v>35</v>
      </c>
      <c r="N92" s="1" t="s">
        <v>21</v>
      </c>
    </row>
    <row r="93" spans="1:14" x14ac:dyDescent="0.15">
      <c r="A93" s="1">
        <v>1553637</v>
      </c>
      <c r="B93" s="1" t="s">
        <v>22</v>
      </c>
      <c r="C93" s="1" t="s">
        <v>18</v>
      </c>
      <c r="D93" s="2">
        <v>21424</v>
      </c>
      <c r="E93" s="1" t="s">
        <v>19</v>
      </c>
      <c r="F93" s="1">
        <v>5</v>
      </c>
      <c r="G93" s="1">
        <v>90002</v>
      </c>
      <c r="H93" s="1">
        <v>57000</v>
      </c>
      <c r="I93" s="1">
        <v>547</v>
      </c>
      <c r="J93" s="1">
        <v>900</v>
      </c>
      <c r="K93" s="1">
        <v>15</v>
      </c>
      <c r="L93" s="1">
        <v>158</v>
      </c>
      <c r="M93" s="1" t="s">
        <v>34</v>
      </c>
      <c r="N93" s="1" t="s">
        <v>21</v>
      </c>
    </row>
    <row r="94" spans="1:14" x14ac:dyDescent="0.15">
      <c r="A94" s="1">
        <v>1553660</v>
      </c>
      <c r="B94" s="1" t="s">
        <v>17</v>
      </c>
      <c r="C94" s="1" t="s">
        <v>23</v>
      </c>
      <c r="D94" s="2">
        <v>32357</v>
      </c>
      <c r="E94" s="1" t="s">
        <v>19</v>
      </c>
      <c r="F94" s="1">
        <v>2</v>
      </c>
      <c r="G94" s="1">
        <v>90023</v>
      </c>
      <c r="H94" s="1">
        <v>47000</v>
      </c>
      <c r="I94" s="1">
        <v>698</v>
      </c>
      <c r="J94" s="1">
        <v>745</v>
      </c>
      <c r="K94" s="1">
        <v>5</v>
      </c>
      <c r="L94" s="1">
        <v>160</v>
      </c>
      <c r="M94" s="1" t="s">
        <v>34</v>
      </c>
      <c r="N94" s="1" t="s">
        <v>21</v>
      </c>
    </row>
    <row r="95" spans="1:14" x14ac:dyDescent="0.15">
      <c r="A95" s="1">
        <v>1553692</v>
      </c>
      <c r="B95" s="1" t="s">
        <v>22</v>
      </c>
      <c r="C95" s="1" t="s">
        <v>27</v>
      </c>
      <c r="D95" s="2">
        <v>34812</v>
      </c>
      <c r="E95" s="1" t="s">
        <v>28</v>
      </c>
      <c r="F95" s="1">
        <v>4</v>
      </c>
      <c r="G95" s="1">
        <v>90019</v>
      </c>
      <c r="H95" s="1">
        <v>70000</v>
      </c>
      <c r="I95" s="1">
        <v>63</v>
      </c>
      <c r="J95" s="1">
        <v>60</v>
      </c>
      <c r="K95" s="1">
        <v>1</v>
      </c>
      <c r="L95" s="1">
        <v>288</v>
      </c>
      <c r="M95" s="1" t="s">
        <v>26</v>
      </c>
      <c r="N95" s="1" t="s">
        <v>29</v>
      </c>
    </row>
    <row r="96" spans="1:14" x14ac:dyDescent="0.15">
      <c r="A96" s="1">
        <v>1553737</v>
      </c>
      <c r="B96" s="1" t="s">
        <v>17</v>
      </c>
      <c r="C96" s="1" t="s">
        <v>27</v>
      </c>
      <c r="D96" s="2">
        <v>29087</v>
      </c>
      <c r="E96" s="1" t="s">
        <v>19</v>
      </c>
      <c r="F96" s="1">
        <v>5</v>
      </c>
      <c r="G96" s="1">
        <v>90052</v>
      </c>
      <c r="H96" s="1">
        <v>83000</v>
      </c>
      <c r="I96" s="1">
        <v>1210</v>
      </c>
      <c r="J96" s="1">
        <v>867</v>
      </c>
      <c r="K96" s="1">
        <v>16</v>
      </c>
      <c r="L96" s="1">
        <v>95</v>
      </c>
      <c r="M96" s="1" t="s">
        <v>24</v>
      </c>
      <c r="N96" s="1" t="s">
        <v>25</v>
      </c>
    </row>
    <row r="97" spans="1:14" x14ac:dyDescent="0.15">
      <c r="A97" s="1">
        <v>1553843</v>
      </c>
      <c r="B97" s="1" t="s">
        <v>22</v>
      </c>
      <c r="C97" s="1" t="s">
        <v>23</v>
      </c>
      <c r="D97" s="2">
        <v>29538</v>
      </c>
      <c r="E97" s="1" t="s">
        <v>19</v>
      </c>
      <c r="F97" s="1">
        <v>5</v>
      </c>
      <c r="G97" s="1">
        <v>90014</v>
      </c>
      <c r="H97" s="1">
        <v>136000</v>
      </c>
      <c r="I97" s="1">
        <v>363</v>
      </c>
      <c r="J97" s="1">
        <v>289</v>
      </c>
      <c r="K97" s="1">
        <v>4</v>
      </c>
      <c r="L97" s="1">
        <v>89</v>
      </c>
      <c r="M97" s="1" t="s">
        <v>34</v>
      </c>
      <c r="N97" s="1" t="s">
        <v>29</v>
      </c>
    </row>
    <row r="98" spans="1:14" x14ac:dyDescent="0.15">
      <c r="A98" s="1">
        <v>1553952</v>
      </c>
      <c r="B98" s="1" t="s">
        <v>22</v>
      </c>
      <c r="C98" s="1" t="s">
        <v>18</v>
      </c>
      <c r="D98" s="2">
        <v>30920</v>
      </c>
      <c r="E98" s="1" t="s">
        <v>28</v>
      </c>
      <c r="F98" s="1">
        <v>5</v>
      </c>
      <c r="G98" s="1">
        <v>90060</v>
      </c>
      <c r="H98" s="1">
        <v>43000</v>
      </c>
      <c r="I98" s="1">
        <v>771</v>
      </c>
      <c r="J98" s="1">
        <v>1250</v>
      </c>
      <c r="K98" s="1">
        <v>20</v>
      </c>
      <c r="L98" s="1">
        <v>267</v>
      </c>
      <c r="M98" s="1" t="s">
        <v>34</v>
      </c>
      <c r="N98" s="1" t="s">
        <v>25</v>
      </c>
    </row>
    <row r="99" spans="1:14" x14ac:dyDescent="0.15">
      <c r="A99" s="1">
        <v>1554342</v>
      </c>
      <c r="B99" s="1" t="s">
        <v>22</v>
      </c>
      <c r="C99" s="1" t="s">
        <v>27</v>
      </c>
      <c r="D99" s="2">
        <v>25511</v>
      </c>
      <c r="E99" s="1" t="s">
        <v>19</v>
      </c>
      <c r="F99" s="1">
        <v>1</v>
      </c>
      <c r="G99" s="1">
        <v>90018</v>
      </c>
      <c r="H99" s="1">
        <v>97000</v>
      </c>
      <c r="I99" s="1">
        <v>1495</v>
      </c>
      <c r="J99" s="1">
        <v>1126</v>
      </c>
      <c r="K99" s="1">
        <v>26</v>
      </c>
      <c r="L99" s="1">
        <v>313</v>
      </c>
      <c r="M99" s="1" t="s">
        <v>35</v>
      </c>
      <c r="N99" s="1" t="s">
        <v>25</v>
      </c>
    </row>
    <row r="100" spans="1:14" x14ac:dyDescent="0.15">
      <c r="A100" s="1">
        <v>1554589</v>
      </c>
      <c r="B100" s="1" t="s">
        <v>22</v>
      </c>
      <c r="C100" s="1" t="s">
        <v>31</v>
      </c>
      <c r="D100" s="2">
        <v>34962</v>
      </c>
      <c r="E100" s="1" t="s">
        <v>28</v>
      </c>
      <c r="F100" s="1">
        <v>2</v>
      </c>
      <c r="G100" s="1">
        <v>90030</v>
      </c>
      <c r="H100" s="1">
        <v>56000</v>
      </c>
      <c r="I100" s="1">
        <v>1489</v>
      </c>
      <c r="J100" s="1">
        <v>1226</v>
      </c>
      <c r="K100" s="1">
        <v>12</v>
      </c>
      <c r="L100" s="1">
        <v>12</v>
      </c>
      <c r="M100" s="1" t="s">
        <v>34</v>
      </c>
      <c r="N100" s="1" t="s">
        <v>25</v>
      </c>
    </row>
    <row r="101" spans="1:14" x14ac:dyDescent="0.15">
      <c r="A101" s="1">
        <v>1555143</v>
      </c>
      <c r="B101" s="1" t="s">
        <v>22</v>
      </c>
      <c r="C101" s="1" t="s">
        <v>31</v>
      </c>
      <c r="D101" s="2">
        <v>27677</v>
      </c>
      <c r="E101" s="1" t="s">
        <v>19</v>
      </c>
      <c r="F101" s="1">
        <v>1</v>
      </c>
      <c r="G101" s="1">
        <v>90059</v>
      </c>
      <c r="H101" s="1">
        <v>84000</v>
      </c>
      <c r="I101" s="1">
        <v>870</v>
      </c>
      <c r="J101" s="1">
        <v>950</v>
      </c>
      <c r="K101" s="1">
        <v>18</v>
      </c>
      <c r="L101" s="1">
        <v>211</v>
      </c>
      <c r="M101" s="1" t="s">
        <v>35</v>
      </c>
      <c r="N101" s="1" t="s">
        <v>29</v>
      </c>
    </row>
    <row r="102" spans="1:14" x14ac:dyDescent="0.15">
      <c r="A102" s="1">
        <v>1555266</v>
      </c>
      <c r="B102" s="1" t="s">
        <v>22</v>
      </c>
      <c r="C102" s="1" t="s">
        <v>23</v>
      </c>
      <c r="D102" s="2">
        <v>36254</v>
      </c>
      <c r="E102" s="1" t="s">
        <v>19</v>
      </c>
      <c r="F102" s="1">
        <v>3</v>
      </c>
      <c r="G102" s="1">
        <v>90063</v>
      </c>
      <c r="H102" s="1">
        <v>50000</v>
      </c>
      <c r="I102" s="1">
        <v>324</v>
      </c>
      <c r="J102" s="1">
        <v>482</v>
      </c>
      <c r="K102" s="1">
        <v>11</v>
      </c>
      <c r="L102" s="1">
        <v>130</v>
      </c>
      <c r="M102" s="1" t="s">
        <v>34</v>
      </c>
      <c r="N102" s="1" t="s">
        <v>21</v>
      </c>
    </row>
    <row r="103" spans="1:14" x14ac:dyDescent="0.15">
      <c r="A103" s="1">
        <v>1555356</v>
      </c>
      <c r="B103" s="1" t="s">
        <v>22</v>
      </c>
      <c r="C103" s="1" t="s">
        <v>27</v>
      </c>
      <c r="D103" s="2">
        <v>31993</v>
      </c>
      <c r="E103" s="1" t="s">
        <v>19</v>
      </c>
      <c r="F103" s="1">
        <v>3</v>
      </c>
      <c r="G103" s="1">
        <v>90028</v>
      </c>
      <c r="H103" s="1">
        <v>89000</v>
      </c>
      <c r="I103" s="1">
        <v>899</v>
      </c>
      <c r="J103" s="1">
        <v>1004</v>
      </c>
      <c r="K103" s="1">
        <v>16</v>
      </c>
      <c r="L103" s="1">
        <v>132</v>
      </c>
      <c r="M103" s="1" t="s">
        <v>34</v>
      </c>
      <c r="N103" s="1" t="s">
        <v>29</v>
      </c>
    </row>
    <row r="104" spans="1:14" x14ac:dyDescent="0.15">
      <c r="A104" s="1">
        <v>1555414</v>
      </c>
      <c r="B104" s="1" t="s">
        <v>22</v>
      </c>
      <c r="C104" s="1" t="s">
        <v>23</v>
      </c>
      <c r="D104" s="2">
        <v>20523</v>
      </c>
      <c r="E104" s="1" t="s">
        <v>28</v>
      </c>
      <c r="F104" s="1">
        <v>5</v>
      </c>
      <c r="G104" s="1">
        <v>90031</v>
      </c>
      <c r="H104" s="1">
        <v>109000</v>
      </c>
      <c r="I104" s="1">
        <v>652</v>
      </c>
      <c r="J104" s="1">
        <v>1046</v>
      </c>
      <c r="K104" s="1">
        <v>10</v>
      </c>
      <c r="L104" s="1">
        <v>351</v>
      </c>
      <c r="M104" s="1" t="s">
        <v>24</v>
      </c>
      <c r="N104" s="1" t="s">
        <v>21</v>
      </c>
    </row>
    <row r="105" spans="1:14" x14ac:dyDescent="0.15">
      <c r="A105" s="1">
        <v>1555438</v>
      </c>
      <c r="B105" s="1" t="s">
        <v>17</v>
      </c>
      <c r="C105" s="1" t="s">
        <v>23</v>
      </c>
      <c r="D105" s="2">
        <v>24128</v>
      </c>
      <c r="E105" s="1" t="s">
        <v>19</v>
      </c>
      <c r="F105" s="1">
        <v>5</v>
      </c>
      <c r="G105" s="1">
        <v>90016</v>
      </c>
      <c r="H105" s="1">
        <v>65000</v>
      </c>
      <c r="I105" s="1">
        <v>637</v>
      </c>
      <c r="J105" s="1">
        <v>728</v>
      </c>
      <c r="K105" s="1">
        <v>12</v>
      </c>
      <c r="L105" s="1">
        <v>22</v>
      </c>
      <c r="M105" s="1" t="s">
        <v>35</v>
      </c>
      <c r="N105" s="1" t="s">
        <v>29</v>
      </c>
    </row>
    <row r="106" spans="1:14" x14ac:dyDescent="0.15">
      <c r="A106" s="1">
        <v>1555539</v>
      </c>
      <c r="B106" s="1" t="s">
        <v>17</v>
      </c>
      <c r="C106" s="1" t="s">
        <v>18</v>
      </c>
      <c r="D106" s="2">
        <v>29747</v>
      </c>
      <c r="E106" s="1" t="s">
        <v>19</v>
      </c>
      <c r="F106" s="1">
        <v>2</v>
      </c>
      <c r="G106" s="1">
        <v>90061</v>
      </c>
      <c r="H106" s="1">
        <v>41000</v>
      </c>
      <c r="I106" s="1">
        <v>913</v>
      </c>
      <c r="J106" s="1">
        <v>1182</v>
      </c>
      <c r="K106" s="1">
        <v>8</v>
      </c>
      <c r="L106" s="1">
        <v>301</v>
      </c>
      <c r="M106" s="1" t="s">
        <v>26</v>
      </c>
      <c r="N106" s="1" t="s">
        <v>25</v>
      </c>
    </row>
    <row r="107" spans="1:14" x14ac:dyDescent="0.15">
      <c r="A107" s="1">
        <v>1555659</v>
      </c>
      <c r="B107" s="1" t="s">
        <v>17</v>
      </c>
      <c r="C107" s="1" t="s">
        <v>18</v>
      </c>
      <c r="D107" s="2">
        <v>34564</v>
      </c>
      <c r="E107" s="1" t="s">
        <v>19</v>
      </c>
      <c r="F107" s="1">
        <v>3</v>
      </c>
      <c r="G107" s="1">
        <v>90029</v>
      </c>
      <c r="H107" s="1">
        <v>42000</v>
      </c>
      <c r="I107" s="1">
        <v>1456</v>
      </c>
      <c r="J107" s="1">
        <v>1101</v>
      </c>
      <c r="K107" s="1">
        <v>11</v>
      </c>
      <c r="L107" s="1">
        <v>38</v>
      </c>
      <c r="M107" s="1" t="s">
        <v>26</v>
      </c>
      <c r="N107" s="1" t="s">
        <v>25</v>
      </c>
    </row>
    <row r="108" spans="1:14" x14ac:dyDescent="0.15">
      <c r="A108" s="1">
        <v>1555979</v>
      </c>
      <c r="B108" s="1" t="s">
        <v>22</v>
      </c>
      <c r="C108" s="1" t="s">
        <v>23</v>
      </c>
      <c r="D108" s="2">
        <v>20476</v>
      </c>
      <c r="E108" s="1" t="s">
        <v>19</v>
      </c>
      <c r="F108" s="1">
        <v>2</v>
      </c>
      <c r="G108" s="1">
        <v>90055</v>
      </c>
      <c r="H108" s="1">
        <v>69000</v>
      </c>
      <c r="I108" s="1">
        <v>636</v>
      </c>
      <c r="J108" s="1">
        <v>706</v>
      </c>
      <c r="K108" s="1">
        <v>12</v>
      </c>
      <c r="L108" s="1">
        <v>67</v>
      </c>
      <c r="M108" s="1" t="s">
        <v>34</v>
      </c>
      <c r="N108" s="1" t="s">
        <v>25</v>
      </c>
    </row>
    <row r="109" spans="1:14" x14ac:dyDescent="0.15">
      <c r="A109" s="1">
        <v>1556518</v>
      </c>
      <c r="B109" s="1" t="s">
        <v>17</v>
      </c>
      <c r="C109" s="1" t="s">
        <v>23</v>
      </c>
      <c r="D109" s="2">
        <v>35241</v>
      </c>
      <c r="E109" s="1" t="s">
        <v>19</v>
      </c>
      <c r="F109" s="1">
        <v>5</v>
      </c>
      <c r="G109" s="1">
        <v>90025</v>
      </c>
      <c r="H109" s="1">
        <v>62000</v>
      </c>
      <c r="I109" s="1">
        <v>794</v>
      </c>
      <c r="J109" s="1">
        <v>724</v>
      </c>
      <c r="K109" s="1">
        <v>19</v>
      </c>
      <c r="L109" s="1">
        <v>305</v>
      </c>
      <c r="M109" s="1" t="s">
        <v>34</v>
      </c>
      <c r="N109" s="1" t="s">
        <v>30</v>
      </c>
    </row>
    <row r="110" spans="1:14" x14ac:dyDescent="0.15">
      <c r="A110" s="1">
        <v>1556823</v>
      </c>
      <c r="B110" s="1" t="s">
        <v>17</v>
      </c>
      <c r="C110" s="1" t="s">
        <v>27</v>
      </c>
      <c r="D110" s="2">
        <v>30432</v>
      </c>
      <c r="E110" s="1" t="s">
        <v>19</v>
      </c>
      <c r="F110" s="1">
        <v>4</v>
      </c>
      <c r="G110" s="1">
        <v>90032</v>
      </c>
      <c r="H110" s="1">
        <v>58000</v>
      </c>
      <c r="I110" s="1">
        <v>686</v>
      </c>
      <c r="J110" s="1">
        <v>1123</v>
      </c>
      <c r="K110" s="1">
        <v>8</v>
      </c>
      <c r="L110" s="1">
        <v>254</v>
      </c>
      <c r="M110" s="1" t="s">
        <v>34</v>
      </c>
      <c r="N110" s="1" t="s">
        <v>30</v>
      </c>
    </row>
    <row r="111" spans="1:14" x14ac:dyDescent="0.15">
      <c r="A111" s="1">
        <v>1557181</v>
      </c>
      <c r="B111" s="1" t="s">
        <v>22</v>
      </c>
      <c r="C111" s="1" t="s">
        <v>23</v>
      </c>
      <c r="D111" s="2">
        <v>25253</v>
      </c>
      <c r="E111" s="1" t="s">
        <v>19</v>
      </c>
      <c r="F111" s="1">
        <v>1</v>
      </c>
      <c r="G111" s="1">
        <v>90067</v>
      </c>
      <c r="H111" s="1">
        <v>105000</v>
      </c>
      <c r="I111" s="1">
        <v>428</v>
      </c>
      <c r="J111" s="1">
        <v>327</v>
      </c>
      <c r="K111" s="1">
        <v>2</v>
      </c>
      <c r="L111" s="1">
        <v>345</v>
      </c>
      <c r="M111" s="1" t="s">
        <v>26</v>
      </c>
      <c r="N111" s="1" t="s">
        <v>21</v>
      </c>
    </row>
    <row r="112" spans="1:14" x14ac:dyDescent="0.15">
      <c r="A112" s="1">
        <v>1557273</v>
      </c>
      <c r="B112" s="1" t="s">
        <v>22</v>
      </c>
      <c r="C112" s="1" t="s">
        <v>18</v>
      </c>
      <c r="D112" s="2">
        <v>24443</v>
      </c>
      <c r="E112" s="1" t="s">
        <v>19</v>
      </c>
      <c r="F112" s="1">
        <v>2</v>
      </c>
      <c r="G112" s="1">
        <v>90007</v>
      </c>
      <c r="H112" s="1">
        <v>61000</v>
      </c>
      <c r="I112" s="1">
        <v>275</v>
      </c>
      <c r="J112" s="1">
        <v>431</v>
      </c>
      <c r="K112" s="1">
        <v>6</v>
      </c>
      <c r="L112" s="1">
        <v>205</v>
      </c>
      <c r="M112" s="1" t="s">
        <v>34</v>
      </c>
      <c r="N112" s="1" t="s">
        <v>29</v>
      </c>
    </row>
    <row r="113" spans="1:14" x14ac:dyDescent="0.15">
      <c r="A113" s="1">
        <v>1557386</v>
      </c>
      <c r="B113" s="1" t="s">
        <v>22</v>
      </c>
      <c r="C113" s="1" t="s">
        <v>18</v>
      </c>
      <c r="D113" s="2">
        <v>27660</v>
      </c>
      <c r="E113" s="1" t="s">
        <v>28</v>
      </c>
      <c r="F113" s="1">
        <v>3</v>
      </c>
      <c r="G113" s="1">
        <v>90032</v>
      </c>
      <c r="H113" s="1">
        <v>66000</v>
      </c>
      <c r="I113" s="1">
        <v>706</v>
      </c>
      <c r="J113" s="1">
        <v>564</v>
      </c>
      <c r="K113" s="1">
        <v>4</v>
      </c>
      <c r="L113" s="1">
        <v>69</v>
      </c>
      <c r="M113" s="1" t="s">
        <v>24</v>
      </c>
      <c r="N113" s="1" t="s">
        <v>25</v>
      </c>
    </row>
    <row r="114" spans="1:14" x14ac:dyDescent="0.15">
      <c r="A114" s="1">
        <v>1557407</v>
      </c>
      <c r="B114" s="1" t="s">
        <v>22</v>
      </c>
      <c r="C114" s="1" t="s">
        <v>23</v>
      </c>
      <c r="D114" s="2">
        <v>28120</v>
      </c>
      <c r="E114" s="1" t="s">
        <v>19</v>
      </c>
      <c r="F114" s="1">
        <v>4</v>
      </c>
      <c r="G114" s="1">
        <v>90015</v>
      </c>
      <c r="H114" s="1">
        <v>48000</v>
      </c>
      <c r="I114" s="1">
        <v>1398</v>
      </c>
      <c r="J114" s="1">
        <v>1163</v>
      </c>
      <c r="K114" s="1">
        <v>16</v>
      </c>
      <c r="L114" s="1">
        <v>16</v>
      </c>
      <c r="M114" s="1" t="s">
        <v>34</v>
      </c>
      <c r="N114" s="1" t="s">
        <v>30</v>
      </c>
    </row>
    <row r="115" spans="1:14" x14ac:dyDescent="0.15">
      <c r="A115" s="1">
        <v>1557679</v>
      </c>
      <c r="B115" s="1" t="s">
        <v>17</v>
      </c>
      <c r="C115" s="1" t="s">
        <v>23</v>
      </c>
      <c r="D115" s="2">
        <v>30953</v>
      </c>
      <c r="E115" s="1" t="s">
        <v>19</v>
      </c>
      <c r="F115" s="1">
        <v>2</v>
      </c>
      <c r="G115" s="1">
        <v>90004</v>
      </c>
      <c r="H115" s="1">
        <v>72000</v>
      </c>
      <c r="I115" s="1">
        <v>571</v>
      </c>
      <c r="J115" s="1">
        <v>728</v>
      </c>
      <c r="K115" s="1">
        <v>13</v>
      </c>
      <c r="L115" s="1">
        <v>241</v>
      </c>
      <c r="M115" s="1" t="s">
        <v>34</v>
      </c>
      <c r="N115" s="1" t="s">
        <v>25</v>
      </c>
    </row>
    <row r="116" spans="1:14" x14ac:dyDescent="0.15">
      <c r="A116" s="1">
        <v>1557697</v>
      </c>
      <c r="B116" s="1" t="s">
        <v>17</v>
      </c>
      <c r="C116" s="1" t="s">
        <v>23</v>
      </c>
      <c r="D116" s="2">
        <v>22340</v>
      </c>
      <c r="E116" s="1" t="s">
        <v>19</v>
      </c>
      <c r="F116" s="1">
        <v>2</v>
      </c>
      <c r="G116" s="1">
        <v>90007</v>
      </c>
      <c r="H116" s="1">
        <v>64000</v>
      </c>
      <c r="I116" s="1">
        <v>1112</v>
      </c>
      <c r="J116" s="1">
        <v>897</v>
      </c>
      <c r="K116" s="1">
        <v>10</v>
      </c>
      <c r="L116" s="1">
        <v>239</v>
      </c>
      <c r="M116" s="1" t="s">
        <v>34</v>
      </c>
      <c r="N116" s="1" t="s">
        <v>21</v>
      </c>
    </row>
    <row r="117" spans="1:14" x14ac:dyDescent="0.15">
      <c r="A117" s="1">
        <v>1557820</v>
      </c>
      <c r="B117" s="1" t="s">
        <v>22</v>
      </c>
      <c r="C117" s="1" t="s">
        <v>18</v>
      </c>
      <c r="D117" s="2">
        <v>24363</v>
      </c>
      <c r="E117" s="1" t="s">
        <v>19</v>
      </c>
      <c r="F117" s="1">
        <v>3</v>
      </c>
      <c r="G117" s="1">
        <v>90039</v>
      </c>
      <c r="H117" s="1">
        <v>80000</v>
      </c>
      <c r="I117" s="1">
        <v>578</v>
      </c>
      <c r="J117" s="1">
        <v>568</v>
      </c>
      <c r="K117" s="1">
        <v>10</v>
      </c>
      <c r="L117" s="1">
        <v>353</v>
      </c>
      <c r="M117" s="1" t="s">
        <v>24</v>
      </c>
      <c r="N117" s="1" t="s">
        <v>21</v>
      </c>
    </row>
    <row r="118" spans="1:14" x14ac:dyDescent="0.15">
      <c r="A118" s="1">
        <v>1559734</v>
      </c>
      <c r="B118" s="1" t="s">
        <v>22</v>
      </c>
      <c r="C118" s="1" t="s">
        <v>33</v>
      </c>
      <c r="D118" s="2">
        <v>25015</v>
      </c>
      <c r="E118" s="1" t="s">
        <v>19</v>
      </c>
      <c r="F118" s="1">
        <v>1</v>
      </c>
      <c r="G118" s="1">
        <v>90004</v>
      </c>
      <c r="H118" s="1">
        <v>75000</v>
      </c>
      <c r="I118" s="1">
        <v>822</v>
      </c>
      <c r="J118" s="1">
        <v>603</v>
      </c>
      <c r="K118" s="1">
        <v>9</v>
      </c>
      <c r="L118" s="1">
        <v>252</v>
      </c>
      <c r="M118" s="1" t="s">
        <v>24</v>
      </c>
      <c r="N118" s="1" t="s">
        <v>25</v>
      </c>
    </row>
    <row r="119" spans="1:14" x14ac:dyDescent="0.15">
      <c r="A119" s="1">
        <v>1560021</v>
      </c>
      <c r="B119" s="1" t="s">
        <v>22</v>
      </c>
      <c r="C119" s="1" t="s">
        <v>18</v>
      </c>
      <c r="D119" s="2">
        <v>35609</v>
      </c>
      <c r="E119" s="1" t="s">
        <v>19</v>
      </c>
      <c r="F119" s="1">
        <v>5</v>
      </c>
      <c r="G119" s="1">
        <v>90054</v>
      </c>
      <c r="H119" s="1">
        <v>50000</v>
      </c>
      <c r="I119" s="1">
        <v>181</v>
      </c>
      <c r="J119" s="1">
        <v>210</v>
      </c>
      <c r="K119" s="1">
        <v>3</v>
      </c>
      <c r="L119" s="1">
        <v>309</v>
      </c>
      <c r="M119" s="1" t="s">
        <v>24</v>
      </c>
      <c r="N119" s="1" t="s">
        <v>21</v>
      </c>
    </row>
    <row r="120" spans="1:14" x14ac:dyDescent="0.15">
      <c r="A120" s="1">
        <v>1560248</v>
      </c>
      <c r="B120" s="1" t="s">
        <v>22</v>
      </c>
      <c r="C120" s="1" t="s">
        <v>18</v>
      </c>
      <c r="D120" s="2">
        <v>28192</v>
      </c>
      <c r="E120" s="1" t="s">
        <v>28</v>
      </c>
      <c r="F120" s="1">
        <v>2</v>
      </c>
      <c r="G120" s="1">
        <v>90021</v>
      </c>
      <c r="H120" s="1">
        <v>54000</v>
      </c>
      <c r="I120" s="1">
        <v>284</v>
      </c>
      <c r="J120" s="1">
        <v>439</v>
      </c>
      <c r="K120" s="1">
        <v>9</v>
      </c>
      <c r="L120" s="1">
        <v>196</v>
      </c>
      <c r="M120" s="1" t="s">
        <v>34</v>
      </c>
      <c r="N120" s="1" t="s">
        <v>29</v>
      </c>
    </row>
    <row r="121" spans="1:14" x14ac:dyDescent="0.15">
      <c r="A121" s="1">
        <v>1560301</v>
      </c>
      <c r="B121" s="1" t="s">
        <v>22</v>
      </c>
      <c r="C121" s="1" t="s">
        <v>23</v>
      </c>
      <c r="D121" s="2">
        <v>31129</v>
      </c>
      <c r="E121" s="1" t="s">
        <v>28</v>
      </c>
      <c r="F121" s="1">
        <v>3</v>
      </c>
      <c r="G121" s="1">
        <v>90054</v>
      </c>
      <c r="H121" s="1">
        <v>93000</v>
      </c>
      <c r="I121" s="1">
        <v>553</v>
      </c>
      <c r="J121" s="1">
        <v>907</v>
      </c>
      <c r="K121" s="1">
        <v>17</v>
      </c>
      <c r="L121" s="1">
        <v>164</v>
      </c>
      <c r="M121" s="1" t="s">
        <v>26</v>
      </c>
      <c r="N121" s="1" t="s">
        <v>30</v>
      </c>
    </row>
    <row r="122" spans="1:14" x14ac:dyDescent="0.15">
      <c r="A122" s="1">
        <v>1560457</v>
      </c>
      <c r="B122" s="1" t="s">
        <v>22</v>
      </c>
      <c r="C122" s="1" t="s">
        <v>18</v>
      </c>
      <c r="D122" s="2">
        <v>32849</v>
      </c>
      <c r="E122" s="1" t="s">
        <v>19</v>
      </c>
      <c r="F122" s="1">
        <v>3</v>
      </c>
      <c r="G122" s="1">
        <v>90015</v>
      </c>
      <c r="H122" s="1">
        <v>46000</v>
      </c>
      <c r="I122" s="1">
        <v>789</v>
      </c>
      <c r="J122" s="1">
        <v>745</v>
      </c>
      <c r="K122" s="1">
        <v>15</v>
      </c>
      <c r="L122" s="1">
        <v>318</v>
      </c>
      <c r="M122" s="1" t="s">
        <v>35</v>
      </c>
      <c r="N122" s="1" t="s">
        <v>21</v>
      </c>
    </row>
    <row r="123" spans="1:14" x14ac:dyDescent="0.15">
      <c r="A123" s="1">
        <v>1560632</v>
      </c>
      <c r="B123" s="1" t="s">
        <v>17</v>
      </c>
      <c r="C123" s="1" t="s">
        <v>18</v>
      </c>
      <c r="D123" s="2">
        <v>19313</v>
      </c>
      <c r="E123" s="1" t="s">
        <v>19</v>
      </c>
      <c r="F123" s="1">
        <v>2</v>
      </c>
      <c r="G123" s="1">
        <v>90062</v>
      </c>
      <c r="H123" s="1">
        <v>84000</v>
      </c>
      <c r="I123" s="1">
        <v>532</v>
      </c>
      <c r="J123" s="1">
        <v>467</v>
      </c>
      <c r="K123" s="1">
        <v>11</v>
      </c>
      <c r="L123" s="1">
        <v>108</v>
      </c>
      <c r="M123" s="1" t="s">
        <v>34</v>
      </c>
      <c r="N123" s="1" t="s">
        <v>25</v>
      </c>
    </row>
    <row r="124" spans="1:14" x14ac:dyDescent="0.15">
      <c r="A124" s="1">
        <v>1560809</v>
      </c>
      <c r="B124" s="1" t="s">
        <v>22</v>
      </c>
      <c r="C124" s="1" t="s">
        <v>31</v>
      </c>
      <c r="D124" s="2">
        <v>30554</v>
      </c>
      <c r="E124" s="1" t="s">
        <v>19</v>
      </c>
      <c r="F124" s="1">
        <v>4</v>
      </c>
      <c r="G124" s="1">
        <v>90047</v>
      </c>
      <c r="H124" s="1">
        <v>58000</v>
      </c>
      <c r="I124" s="1">
        <v>542</v>
      </c>
      <c r="J124" s="1">
        <v>673</v>
      </c>
      <c r="K124" s="1">
        <v>15</v>
      </c>
      <c r="L124" s="1">
        <v>149</v>
      </c>
      <c r="M124" s="1" t="s">
        <v>34</v>
      </c>
      <c r="N124" s="1" t="s">
        <v>21</v>
      </c>
    </row>
    <row r="125" spans="1:14" x14ac:dyDescent="0.15">
      <c r="A125" s="1">
        <v>1560830</v>
      </c>
      <c r="B125" s="1" t="s">
        <v>17</v>
      </c>
      <c r="C125" s="1" t="s">
        <v>18</v>
      </c>
      <c r="D125" s="2">
        <v>27064</v>
      </c>
      <c r="E125" s="1" t="s">
        <v>19</v>
      </c>
      <c r="F125" s="1">
        <v>3</v>
      </c>
      <c r="G125" s="1">
        <v>90034</v>
      </c>
      <c r="H125" s="1">
        <v>63000</v>
      </c>
      <c r="I125" s="1">
        <v>463</v>
      </c>
      <c r="J125" s="1">
        <v>383</v>
      </c>
      <c r="K125" s="1">
        <v>9</v>
      </c>
      <c r="L125" s="1">
        <v>145</v>
      </c>
      <c r="M125" s="1" t="s">
        <v>34</v>
      </c>
      <c r="N125" s="1" t="s">
        <v>29</v>
      </c>
    </row>
    <row r="126" spans="1:14" x14ac:dyDescent="0.15">
      <c r="A126" s="1">
        <v>1561447</v>
      </c>
      <c r="B126" s="1" t="s">
        <v>17</v>
      </c>
      <c r="C126" s="1" t="s">
        <v>18</v>
      </c>
      <c r="D126" s="2">
        <v>27360</v>
      </c>
      <c r="E126" s="1" t="s">
        <v>19</v>
      </c>
      <c r="F126" s="1">
        <v>3</v>
      </c>
      <c r="G126" s="1">
        <v>90043</v>
      </c>
      <c r="H126" s="1">
        <v>43000</v>
      </c>
      <c r="I126" s="1">
        <v>447</v>
      </c>
      <c r="J126" s="1">
        <v>626</v>
      </c>
      <c r="K126" s="1">
        <v>13</v>
      </c>
      <c r="L126" s="1">
        <v>296</v>
      </c>
      <c r="M126" s="1" t="s">
        <v>34</v>
      </c>
      <c r="N126" s="1" t="s">
        <v>21</v>
      </c>
    </row>
    <row r="127" spans="1:14" x14ac:dyDescent="0.15">
      <c r="A127" s="1">
        <v>1562348</v>
      </c>
      <c r="B127" s="1" t="s">
        <v>17</v>
      </c>
      <c r="C127" s="1" t="s">
        <v>23</v>
      </c>
      <c r="D127" s="2">
        <v>23347</v>
      </c>
      <c r="E127" s="1" t="s">
        <v>19</v>
      </c>
      <c r="F127" s="1">
        <v>3</v>
      </c>
      <c r="G127" s="1">
        <v>90031</v>
      </c>
      <c r="H127" s="1">
        <v>97000</v>
      </c>
      <c r="I127" s="1">
        <v>877</v>
      </c>
      <c r="J127" s="1">
        <v>860</v>
      </c>
      <c r="K127" s="1">
        <v>7</v>
      </c>
      <c r="L127" s="1">
        <v>115</v>
      </c>
      <c r="M127" s="1" t="s">
        <v>24</v>
      </c>
      <c r="N127" s="1" t="s">
        <v>25</v>
      </c>
    </row>
    <row r="128" spans="1:14" x14ac:dyDescent="0.15">
      <c r="A128" s="1">
        <v>1562398</v>
      </c>
      <c r="B128" s="1" t="s">
        <v>22</v>
      </c>
      <c r="C128" s="1" t="s">
        <v>23</v>
      </c>
      <c r="D128" s="2">
        <v>32088</v>
      </c>
      <c r="E128" s="1" t="s">
        <v>28</v>
      </c>
      <c r="F128" s="1">
        <v>5</v>
      </c>
      <c r="G128" s="1">
        <v>90047</v>
      </c>
      <c r="H128" s="1">
        <v>70000</v>
      </c>
      <c r="I128" s="1">
        <v>280</v>
      </c>
      <c r="J128" s="1">
        <v>233</v>
      </c>
      <c r="K128" s="1">
        <v>2</v>
      </c>
      <c r="L128" s="1">
        <v>117</v>
      </c>
      <c r="M128" s="1" t="s">
        <v>34</v>
      </c>
      <c r="N128" s="1" t="s">
        <v>29</v>
      </c>
    </row>
    <row r="129" spans="1:14" x14ac:dyDescent="0.15">
      <c r="A129" s="1">
        <v>1562550</v>
      </c>
      <c r="B129" s="1" t="s">
        <v>17</v>
      </c>
      <c r="C129" s="1" t="s">
        <v>23</v>
      </c>
      <c r="D129" s="2">
        <v>28387</v>
      </c>
      <c r="E129" s="1" t="s">
        <v>19</v>
      </c>
      <c r="F129" s="1">
        <v>4</v>
      </c>
      <c r="G129" s="1">
        <v>90035</v>
      </c>
      <c r="H129" s="1">
        <v>48000</v>
      </c>
      <c r="I129" s="1">
        <v>1514</v>
      </c>
      <c r="J129" s="1">
        <v>1106</v>
      </c>
      <c r="K129" s="1">
        <v>26</v>
      </c>
      <c r="L129" s="1">
        <v>342</v>
      </c>
      <c r="M129" s="1" t="s">
        <v>26</v>
      </c>
      <c r="N129" s="1" t="s">
        <v>25</v>
      </c>
    </row>
    <row r="130" spans="1:14" x14ac:dyDescent="0.15">
      <c r="A130" s="1">
        <v>1562867</v>
      </c>
      <c r="B130" s="1" t="s">
        <v>17</v>
      </c>
      <c r="C130" s="1" t="s">
        <v>18</v>
      </c>
      <c r="D130" s="2">
        <v>26116</v>
      </c>
      <c r="E130" s="1" t="s">
        <v>19</v>
      </c>
      <c r="F130" s="1">
        <v>5</v>
      </c>
      <c r="G130" s="1">
        <v>90064</v>
      </c>
      <c r="H130" s="1">
        <v>97000</v>
      </c>
      <c r="I130" s="1">
        <v>660</v>
      </c>
      <c r="J130" s="1">
        <v>739</v>
      </c>
      <c r="K130" s="1">
        <v>5</v>
      </c>
      <c r="L130" s="1">
        <v>76</v>
      </c>
      <c r="M130" s="1" t="s">
        <v>34</v>
      </c>
      <c r="N130" s="1" t="s">
        <v>25</v>
      </c>
    </row>
    <row r="131" spans="1:14" x14ac:dyDescent="0.15">
      <c r="A131" s="1">
        <v>1563068</v>
      </c>
      <c r="B131" s="1" t="s">
        <v>17</v>
      </c>
      <c r="C131" s="1" t="s">
        <v>23</v>
      </c>
      <c r="D131" s="2">
        <v>34266</v>
      </c>
      <c r="E131" s="1" t="s">
        <v>28</v>
      </c>
      <c r="F131" s="1">
        <v>5</v>
      </c>
      <c r="G131" s="1">
        <v>90029</v>
      </c>
      <c r="H131" s="1">
        <v>38000</v>
      </c>
      <c r="I131" s="1">
        <v>369</v>
      </c>
      <c r="J131" s="1">
        <v>267</v>
      </c>
      <c r="K131" s="1">
        <v>6</v>
      </c>
      <c r="L131" s="1">
        <v>308</v>
      </c>
      <c r="M131" s="1" t="s">
        <v>34</v>
      </c>
      <c r="N131" s="1" t="s">
        <v>25</v>
      </c>
    </row>
    <row r="132" spans="1:14" x14ac:dyDescent="0.15">
      <c r="A132" s="1">
        <v>1563186</v>
      </c>
      <c r="B132" s="1" t="s">
        <v>22</v>
      </c>
      <c r="C132" s="1" t="s">
        <v>18</v>
      </c>
      <c r="D132" s="2">
        <v>23458</v>
      </c>
      <c r="E132" s="1" t="s">
        <v>19</v>
      </c>
      <c r="F132" s="1">
        <v>5</v>
      </c>
      <c r="G132" s="1">
        <v>90020</v>
      </c>
      <c r="H132" s="1">
        <v>70000</v>
      </c>
      <c r="I132" s="1">
        <v>779</v>
      </c>
      <c r="J132" s="1">
        <v>871</v>
      </c>
      <c r="K132" s="1">
        <v>13</v>
      </c>
      <c r="L132" s="1">
        <v>76</v>
      </c>
      <c r="M132" s="1" t="s">
        <v>34</v>
      </c>
      <c r="N132" s="1" t="s">
        <v>29</v>
      </c>
    </row>
    <row r="133" spans="1:14" x14ac:dyDescent="0.15">
      <c r="A133" s="1">
        <v>1563296</v>
      </c>
      <c r="B133" s="1" t="s">
        <v>22</v>
      </c>
      <c r="C133" s="1" t="s">
        <v>23</v>
      </c>
      <c r="D133" s="2">
        <v>36384</v>
      </c>
      <c r="E133" s="1" t="s">
        <v>19</v>
      </c>
      <c r="F133" s="1">
        <v>3</v>
      </c>
      <c r="G133" s="1">
        <v>90027</v>
      </c>
      <c r="H133" s="1">
        <v>95000</v>
      </c>
      <c r="I133" s="1">
        <v>474</v>
      </c>
      <c r="J133" s="1">
        <v>407</v>
      </c>
      <c r="K133" s="1">
        <v>9</v>
      </c>
      <c r="L133" s="1">
        <v>30</v>
      </c>
      <c r="M133" s="1" t="s">
        <v>26</v>
      </c>
      <c r="N133" s="1" t="s">
        <v>21</v>
      </c>
    </row>
    <row r="134" spans="1:14" x14ac:dyDescent="0.15">
      <c r="A134" s="1">
        <v>1563548</v>
      </c>
      <c r="B134" s="1" t="s">
        <v>22</v>
      </c>
      <c r="C134" s="1" t="s">
        <v>33</v>
      </c>
      <c r="D134" s="2">
        <v>32418</v>
      </c>
      <c r="E134" s="1" t="s">
        <v>19</v>
      </c>
      <c r="F134" s="1">
        <v>5</v>
      </c>
      <c r="G134" s="1">
        <v>90043</v>
      </c>
      <c r="H134" s="1">
        <v>167000</v>
      </c>
      <c r="I134" s="1">
        <v>1019</v>
      </c>
      <c r="J134" s="1">
        <v>692</v>
      </c>
      <c r="K134" s="1">
        <v>12</v>
      </c>
      <c r="L134" s="1">
        <v>221</v>
      </c>
      <c r="M134" s="1" t="s">
        <v>26</v>
      </c>
      <c r="N134" s="1" t="s">
        <v>21</v>
      </c>
    </row>
    <row r="135" spans="1:14" x14ac:dyDescent="0.15">
      <c r="A135" s="1">
        <v>1563690</v>
      </c>
      <c r="B135" s="1" t="s">
        <v>22</v>
      </c>
      <c r="C135" s="1" t="s">
        <v>23</v>
      </c>
      <c r="D135" s="2">
        <v>23508</v>
      </c>
      <c r="E135" s="1" t="s">
        <v>19</v>
      </c>
      <c r="F135" s="1">
        <v>4</v>
      </c>
      <c r="G135" s="1">
        <v>90057</v>
      </c>
      <c r="H135" s="1">
        <v>100000</v>
      </c>
      <c r="I135" s="1">
        <v>281</v>
      </c>
      <c r="J135" s="1">
        <v>221</v>
      </c>
      <c r="K135" s="1">
        <v>4</v>
      </c>
      <c r="L135" s="1">
        <v>354</v>
      </c>
      <c r="M135" s="1" t="s">
        <v>26</v>
      </c>
      <c r="N135" s="1" t="s">
        <v>29</v>
      </c>
    </row>
    <row r="136" spans="1:14" x14ac:dyDescent="0.15">
      <c r="A136" s="1">
        <v>1563805</v>
      </c>
      <c r="B136" s="1" t="s">
        <v>17</v>
      </c>
      <c r="C136" s="1" t="s">
        <v>23</v>
      </c>
      <c r="D136" s="2">
        <v>28996</v>
      </c>
      <c r="E136" s="1" t="s">
        <v>19</v>
      </c>
      <c r="F136" s="1">
        <v>5</v>
      </c>
      <c r="G136" s="1">
        <v>90032</v>
      </c>
      <c r="H136" s="1">
        <v>54000</v>
      </c>
      <c r="I136" s="1">
        <v>194</v>
      </c>
      <c r="J136" s="1">
        <v>151</v>
      </c>
      <c r="K136" s="1">
        <v>2</v>
      </c>
      <c r="L136" s="1">
        <v>234</v>
      </c>
      <c r="M136" s="1" t="s">
        <v>34</v>
      </c>
      <c r="N136" s="1" t="s">
        <v>29</v>
      </c>
    </row>
    <row r="137" spans="1:14" x14ac:dyDescent="0.15">
      <c r="A137" s="1">
        <v>1563935</v>
      </c>
      <c r="B137" s="1" t="s">
        <v>22</v>
      </c>
      <c r="C137" s="1" t="s">
        <v>27</v>
      </c>
      <c r="D137" s="2">
        <v>27102</v>
      </c>
      <c r="E137" s="1" t="s">
        <v>19</v>
      </c>
      <c r="F137" s="1">
        <v>1</v>
      </c>
      <c r="G137" s="1">
        <v>90063</v>
      </c>
      <c r="H137" s="1">
        <v>74000</v>
      </c>
      <c r="I137" s="1">
        <v>1062</v>
      </c>
      <c r="J137" s="1">
        <v>1075</v>
      </c>
      <c r="K137" s="1">
        <v>28</v>
      </c>
      <c r="L137" s="1">
        <v>145</v>
      </c>
      <c r="M137" s="1" t="s">
        <v>34</v>
      </c>
      <c r="N137" s="1" t="s">
        <v>29</v>
      </c>
    </row>
    <row r="138" spans="1:14" x14ac:dyDescent="0.15">
      <c r="A138" s="1">
        <v>1563995</v>
      </c>
      <c r="B138" s="1" t="s">
        <v>22</v>
      </c>
      <c r="C138" s="1" t="s">
        <v>31</v>
      </c>
      <c r="D138" s="2">
        <v>21529</v>
      </c>
      <c r="E138" s="1" t="s">
        <v>19</v>
      </c>
      <c r="F138" s="1">
        <v>2</v>
      </c>
      <c r="G138" s="1">
        <v>90010</v>
      </c>
      <c r="H138" s="1">
        <v>109000</v>
      </c>
      <c r="I138" s="1">
        <v>178</v>
      </c>
      <c r="J138" s="1">
        <v>127</v>
      </c>
      <c r="K138" s="1">
        <v>1</v>
      </c>
      <c r="L138" s="1">
        <v>319</v>
      </c>
      <c r="M138" s="1" t="s">
        <v>26</v>
      </c>
      <c r="N138" s="1" t="s">
        <v>29</v>
      </c>
    </row>
    <row r="139" spans="1:14" x14ac:dyDescent="0.15">
      <c r="A139" s="1">
        <v>1564191</v>
      </c>
      <c r="B139" s="1" t="s">
        <v>22</v>
      </c>
      <c r="C139" s="1" t="s">
        <v>23</v>
      </c>
      <c r="D139" s="2">
        <v>35020</v>
      </c>
      <c r="E139" s="1" t="s">
        <v>28</v>
      </c>
      <c r="F139" s="1">
        <v>3</v>
      </c>
      <c r="G139" s="1">
        <v>90059</v>
      </c>
      <c r="H139" s="1">
        <v>38000</v>
      </c>
      <c r="I139" s="1">
        <v>794</v>
      </c>
      <c r="J139" s="1">
        <v>555</v>
      </c>
      <c r="K139" s="1">
        <v>6</v>
      </c>
      <c r="L139" s="1">
        <v>14</v>
      </c>
      <c r="M139" s="1" t="s">
        <v>34</v>
      </c>
      <c r="N139" s="1" t="s">
        <v>30</v>
      </c>
    </row>
    <row r="140" spans="1:14" x14ac:dyDescent="0.15">
      <c r="A140" s="1">
        <v>1564329</v>
      </c>
      <c r="B140" s="1" t="s">
        <v>17</v>
      </c>
      <c r="C140" s="1" t="s">
        <v>27</v>
      </c>
      <c r="D140" s="2">
        <v>29961</v>
      </c>
      <c r="E140" s="1" t="s">
        <v>19</v>
      </c>
      <c r="F140" s="1">
        <v>4</v>
      </c>
      <c r="G140" s="1">
        <v>90029</v>
      </c>
      <c r="H140" s="1">
        <v>102000</v>
      </c>
      <c r="I140" s="1">
        <v>522</v>
      </c>
      <c r="J140" s="1">
        <v>449</v>
      </c>
      <c r="K140" s="1">
        <v>6</v>
      </c>
      <c r="L140" s="1">
        <v>296</v>
      </c>
      <c r="M140" s="1" t="s">
        <v>34</v>
      </c>
      <c r="N140" s="1" t="s">
        <v>29</v>
      </c>
    </row>
    <row r="141" spans="1:14" x14ac:dyDescent="0.15">
      <c r="A141" s="1">
        <v>1565323</v>
      </c>
      <c r="B141" s="1" t="s">
        <v>17</v>
      </c>
      <c r="C141" s="1" t="s">
        <v>23</v>
      </c>
      <c r="D141" s="2">
        <v>24316</v>
      </c>
      <c r="E141" s="1" t="s">
        <v>19</v>
      </c>
      <c r="F141" s="1">
        <v>3</v>
      </c>
      <c r="G141" s="1">
        <v>90059</v>
      </c>
      <c r="H141" s="1">
        <v>73000</v>
      </c>
      <c r="I141" s="1">
        <v>451</v>
      </c>
      <c r="J141" s="1">
        <v>421</v>
      </c>
      <c r="K141" s="1">
        <v>10</v>
      </c>
      <c r="L141" s="1">
        <v>180</v>
      </c>
      <c r="M141" s="1" t="s">
        <v>34</v>
      </c>
      <c r="N141" s="1" t="s">
        <v>21</v>
      </c>
    </row>
    <row r="142" spans="1:14" x14ac:dyDescent="0.15">
      <c r="A142" s="1">
        <v>1565499</v>
      </c>
      <c r="B142" s="1" t="s">
        <v>22</v>
      </c>
      <c r="C142" s="1" t="s">
        <v>23</v>
      </c>
      <c r="D142" s="2">
        <v>30634</v>
      </c>
      <c r="E142" s="1" t="s">
        <v>19</v>
      </c>
      <c r="F142" s="1">
        <v>1</v>
      </c>
      <c r="G142" s="1">
        <v>90018</v>
      </c>
      <c r="H142" s="1">
        <v>69000</v>
      </c>
      <c r="I142" s="1">
        <v>424</v>
      </c>
      <c r="J142" s="1">
        <v>499</v>
      </c>
      <c r="K142" s="1">
        <v>9</v>
      </c>
      <c r="L142" s="1">
        <v>279</v>
      </c>
      <c r="M142" s="1" t="s">
        <v>34</v>
      </c>
      <c r="N142" s="1" t="s">
        <v>30</v>
      </c>
    </row>
    <row r="143" spans="1:14" x14ac:dyDescent="0.15">
      <c r="A143" s="1">
        <v>1565587</v>
      </c>
      <c r="B143" s="1" t="s">
        <v>22</v>
      </c>
      <c r="C143" s="1" t="s">
        <v>18</v>
      </c>
      <c r="D143" s="2">
        <v>31194</v>
      </c>
      <c r="E143" s="1" t="s">
        <v>19</v>
      </c>
      <c r="F143" s="1">
        <v>4</v>
      </c>
      <c r="G143" s="1">
        <v>90063</v>
      </c>
      <c r="H143" s="1">
        <v>91000</v>
      </c>
      <c r="I143" s="1">
        <v>657</v>
      </c>
      <c r="J143" s="1">
        <v>842</v>
      </c>
      <c r="K143" s="1">
        <v>7</v>
      </c>
      <c r="L143" s="1">
        <v>103</v>
      </c>
      <c r="M143" s="1" t="s">
        <v>34</v>
      </c>
      <c r="N143" s="1" t="s">
        <v>25</v>
      </c>
    </row>
    <row r="144" spans="1:14" x14ac:dyDescent="0.15">
      <c r="A144" s="1">
        <v>1565651</v>
      </c>
      <c r="B144" s="1" t="s">
        <v>22</v>
      </c>
      <c r="C144" s="1" t="s">
        <v>27</v>
      </c>
      <c r="D144" s="2">
        <v>19025</v>
      </c>
      <c r="E144" s="1" t="s">
        <v>19</v>
      </c>
      <c r="F144" s="1">
        <v>3</v>
      </c>
      <c r="G144" s="1">
        <v>90032</v>
      </c>
      <c r="H144" s="1">
        <v>65000</v>
      </c>
      <c r="I144" s="1">
        <v>1646</v>
      </c>
      <c r="J144" s="1">
        <v>1110</v>
      </c>
      <c r="K144" s="1">
        <v>7</v>
      </c>
      <c r="L144" s="1">
        <v>250</v>
      </c>
      <c r="M144" s="1" t="s">
        <v>24</v>
      </c>
      <c r="N144" s="1" t="s">
        <v>21</v>
      </c>
    </row>
    <row r="145" spans="1:14" x14ac:dyDescent="0.15">
      <c r="A145" s="1">
        <v>1565786</v>
      </c>
      <c r="B145" s="1" t="s">
        <v>22</v>
      </c>
      <c r="C145" s="1" t="s">
        <v>31</v>
      </c>
      <c r="D145" s="2">
        <v>21969</v>
      </c>
      <c r="E145" s="1" t="s">
        <v>19</v>
      </c>
      <c r="F145" s="1">
        <v>3</v>
      </c>
      <c r="G145" s="1">
        <v>90031</v>
      </c>
      <c r="H145" s="1">
        <v>80000</v>
      </c>
      <c r="I145" s="1">
        <v>415</v>
      </c>
      <c r="J145" s="1">
        <v>300</v>
      </c>
      <c r="K145" s="1">
        <v>4</v>
      </c>
      <c r="L145" s="1">
        <v>139</v>
      </c>
      <c r="M145" s="1" t="s">
        <v>24</v>
      </c>
      <c r="N145" s="1" t="s">
        <v>30</v>
      </c>
    </row>
    <row r="146" spans="1:14" x14ac:dyDescent="0.15">
      <c r="A146" s="1">
        <v>1566013</v>
      </c>
      <c r="B146" s="1" t="s">
        <v>17</v>
      </c>
      <c r="C146" s="1" t="s">
        <v>18</v>
      </c>
      <c r="D146" s="2">
        <v>36384</v>
      </c>
      <c r="E146" s="1" t="s">
        <v>19</v>
      </c>
      <c r="F146" s="1">
        <v>1</v>
      </c>
      <c r="G146" s="1">
        <v>90022</v>
      </c>
      <c r="H146" s="1">
        <v>34000</v>
      </c>
      <c r="I146" s="1">
        <v>960</v>
      </c>
      <c r="J146" s="1">
        <v>761</v>
      </c>
      <c r="K146" s="1">
        <v>12</v>
      </c>
      <c r="L146" s="1">
        <v>296</v>
      </c>
      <c r="M146" s="1" t="s">
        <v>34</v>
      </c>
      <c r="N146" s="1" t="s">
        <v>21</v>
      </c>
    </row>
    <row r="147" spans="1:14" x14ac:dyDescent="0.15">
      <c r="A147" s="1">
        <v>1566051</v>
      </c>
      <c r="B147" s="1" t="s">
        <v>22</v>
      </c>
      <c r="C147" s="1" t="s">
        <v>27</v>
      </c>
      <c r="D147" s="2">
        <v>34967</v>
      </c>
      <c r="E147" s="1" t="s">
        <v>19</v>
      </c>
      <c r="F147" s="1">
        <v>1</v>
      </c>
      <c r="G147" s="1">
        <v>90029</v>
      </c>
      <c r="H147" s="1">
        <v>47000</v>
      </c>
      <c r="I147" s="1">
        <v>274</v>
      </c>
      <c r="J147" s="1">
        <v>517</v>
      </c>
      <c r="K147" s="1">
        <v>10</v>
      </c>
      <c r="L147" s="1">
        <v>345</v>
      </c>
      <c r="M147" s="1" t="s">
        <v>24</v>
      </c>
      <c r="N147" s="1" t="s">
        <v>25</v>
      </c>
    </row>
    <row r="148" spans="1:14" x14ac:dyDescent="0.15">
      <c r="A148" s="1">
        <v>1566110</v>
      </c>
      <c r="B148" s="1" t="s">
        <v>22</v>
      </c>
      <c r="C148" s="1" t="s">
        <v>27</v>
      </c>
      <c r="D148" s="2">
        <v>24291</v>
      </c>
      <c r="E148" s="1" t="s">
        <v>28</v>
      </c>
      <c r="F148" s="1">
        <v>3</v>
      </c>
      <c r="G148" s="1">
        <v>90055</v>
      </c>
      <c r="H148" s="1">
        <v>51000</v>
      </c>
      <c r="I148" s="1">
        <v>683</v>
      </c>
      <c r="J148" s="1">
        <v>1092</v>
      </c>
      <c r="K148" s="1">
        <v>22</v>
      </c>
      <c r="L148" s="1">
        <v>358</v>
      </c>
      <c r="M148" s="1" t="s">
        <v>34</v>
      </c>
      <c r="N148" s="1" t="s">
        <v>29</v>
      </c>
    </row>
    <row r="149" spans="1:14" x14ac:dyDescent="0.15">
      <c r="A149" s="1">
        <v>1566529</v>
      </c>
      <c r="B149" s="1" t="s">
        <v>17</v>
      </c>
      <c r="C149" s="1" t="s">
        <v>23</v>
      </c>
      <c r="D149" s="2">
        <v>33666</v>
      </c>
      <c r="E149" s="1" t="s">
        <v>19</v>
      </c>
      <c r="F149" s="1">
        <v>3</v>
      </c>
      <c r="G149" s="1">
        <v>90016</v>
      </c>
      <c r="H149" s="1">
        <v>78000</v>
      </c>
      <c r="I149" s="1">
        <v>1164</v>
      </c>
      <c r="J149" s="1">
        <v>1105</v>
      </c>
      <c r="K149" s="1">
        <v>13</v>
      </c>
      <c r="L149" s="1">
        <v>280</v>
      </c>
      <c r="M149" s="1" t="s">
        <v>35</v>
      </c>
      <c r="N149" s="1" t="s">
        <v>29</v>
      </c>
    </row>
    <row r="150" spans="1:14" x14ac:dyDescent="0.15">
      <c r="A150" s="1">
        <v>1567124</v>
      </c>
      <c r="B150" s="1" t="s">
        <v>17</v>
      </c>
      <c r="C150" s="1" t="s">
        <v>18</v>
      </c>
      <c r="D150" s="2">
        <v>20798</v>
      </c>
      <c r="E150" s="1" t="s">
        <v>28</v>
      </c>
      <c r="F150" s="1">
        <v>5</v>
      </c>
      <c r="G150" s="1">
        <v>90015</v>
      </c>
      <c r="H150" s="1">
        <v>67000</v>
      </c>
      <c r="I150" s="1">
        <v>610</v>
      </c>
      <c r="J150" s="1">
        <v>1128</v>
      </c>
      <c r="K150" s="1">
        <v>10</v>
      </c>
      <c r="L150" s="1">
        <v>59</v>
      </c>
      <c r="M150" s="1" t="s">
        <v>24</v>
      </c>
      <c r="N150" s="1" t="s">
        <v>29</v>
      </c>
    </row>
    <row r="151" spans="1:14" x14ac:dyDescent="0.15">
      <c r="A151" s="1">
        <v>1567193</v>
      </c>
      <c r="B151" s="1" t="s">
        <v>17</v>
      </c>
      <c r="C151" s="1" t="s">
        <v>23</v>
      </c>
      <c r="D151" s="2">
        <v>23665</v>
      </c>
      <c r="E151" s="1" t="s">
        <v>19</v>
      </c>
      <c r="F151" s="1">
        <v>3</v>
      </c>
      <c r="G151" s="1">
        <v>90010</v>
      </c>
      <c r="H151" s="1">
        <v>61000</v>
      </c>
      <c r="I151" s="1">
        <v>1157</v>
      </c>
      <c r="J151" s="1">
        <v>962</v>
      </c>
      <c r="K151" s="1">
        <v>22</v>
      </c>
      <c r="L151" s="1">
        <v>168</v>
      </c>
      <c r="M151" s="1" t="s">
        <v>35</v>
      </c>
      <c r="N151" s="1" t="s">
        <v>25</v>
      </c>
    </row>
    <row r="152" spans="1:14" x14ac:dyDescent="0.15">
      <c r="A152" s="1">
        <v>1567195</v>
      </c>
      <c r="B152" s="1" t="s">
        <v>22</v>
      </c>
      <c r="C152" s="1" t="s">
        <v>23</v>
      </c>
      <c r="D152" s="2">
        <v>21379</v>
      </c>
      <c r="E152" s="1" t="s">
        <v>19</v>
      </c>
      <c r="F152" s="1">
        <v>2</v>
      </c>
      <c r="G152" s="1">
        <v>90047</v>
      </c>
      <c r="H152" s="1">
        <v>136000</v>
      </c>
      <c r="I152" s="1">
        <v>333</v>
      </c>
      <c r="J152" s="1">
        <v>563</v>
      </c>
      <c r="K152" s="1">
        <v>14</v>
      </c>
      <c r="L152" s="1">
        <v>15</v>
      </c>
      <c r="M152" s="1" t="s">
        <v>34</v>
      </c>
      <c r="N152" s="1" t="s">
        <v>29</v>
      </c>
    </row>
    <row r="153" spans="1:14" x14ac:dyDescent="0.15">
      <c r="A153" s="1">
        <v>1567250</v>
      </c>
      <c r="B153" s="1" t="s">
        <v>22</v>
      </c>
      <c r="C153" s="1" t="s">
        <v>23</v>
      </c>
      <c r="D153" s="2">
        <v>28197</v>
      </c>
      <c r="E153" s="1" t="s">
        <v>19</v>
      </c>
      <c r="F153" s="1">
        <v>4</v>
      </c>
      <c r="G153" s="1">
        <v>90050</v>
      </c>
      <c r="H153" s="1">
        <v>77000</v>
      </c>
      <c r="I153" s="1">
        <v>275</v>
      </c>
      <c r="J153" s="1">
        <v>288</v>
      </c>
      <c r="K153" s="1">
        <v>2</v>
      </c>
      <c r="L153" s="1">
        <v>174</v>
      </c>
      <c r="M153" s="1" t="s">
        <v>34</v>
      </c>
      <c r="N153" s="1" t="s">
        <v>21</v>
      </c>
    </row>
    <row r="154" spans="1:14" x14ac:dyDescent="0.15">
      <c r="A154" s="1">
        <v>1567389</v>
      </c>
      <c r="B154" s="1" t="s">
        <v>17</v>
      </c>
      <c r="C154" s="1" t="s">
        <v>18</v>
      </c>
      <c r="D154" s="2">
        <v>36869</v>
      </c>
      <c r="E154" s="1" t="s">
        <v>19</v>
      </c>
      <c r="F154" s="1">
        <v>2</v>
      </c>
      <c r="G154" s="1">
        <v>90030</v>
      </c>
      <c r="H154" s="1">
        <v>41000</v>
      </c>
      <c r="I154" s="1">
        <v>1344</v>
      </c>
      <c r="J154" s="1">
        <v>979</v>
      </c>
      <c r="K154" s="1">
        <v>9</v>
      </c>
      <c r="L154" s="1">
        <v>213</v>
      </c>
      <c r="M154" s="1" t="s">
        <v>26</v>
      </c>
      <c r="N154" s="1" t="s">
        <v>29</v>
      </c>
    </row>
    <row r="155" spans="1:14" x14ac:dyDescent="0.15">
      <c r="A155" s="1">
        <v>1567469</v>
      </c>
      <c r="B155" s="1" t="s">
        <v>22</v>
      </c>
      <c r="C155" s="1" t="s">
        <v>23</v>
      </c>
      <c r="D155" s="2">
        <v>21964</v>
      </c>
      <c r="E155" s="1" t="s">
        <v>19</v>
      </c>
      <c r="F155" s="1">
        <v>1</v>
      </c>
      <c r="G155" s="1">
        <v>90065</v>
      </c>
      <c r="H155" s="1">
        <v>87000</v>
      </c>
      <c r="I155" s="1">
        <v>157</v>
      </c>
      <c r="J155" s="1">
        <v>247</v>
      </c>
      <c r="K155" s="1">
        <v>4</v>
      </c>
      <c r="L155" s="1">
        <v>129</v>
      </c>
      <c r="M155" s="1" t="s">
        <v>34</v>
      </c>
      <c r="N155" s="1" t="s">
        <v>30</v>
      </c>
    </row>
    <row r="156" spans="1:14" x14ac:dyDescent="0.15">
      <c r="A156" s="1">
        <v>1567597</v>
      </c>
      <c r="B156" s="1" t="s">
        <v>22</v>
      </c>
      <c r="C156" s="1" t="s">
        <v>23</v>
      </c>
      <c r="D156" s="2">
        <v>29834</v>
      </c>
      <c r="E156" s="1" t="s">
        <v>28</v>
      </c>
      <c r="F156" s="1">
        <v>1</v>
      </c>
      <c r="G156" s="1">
        <v>90032</v>
      </c>
      <c r="H156" s="1">
        <v>71000</v>
      </c>
      <c r="I156" s="1">
        <v>882</v>
      </c>
      <c r="J156" s="1">
        <v>659</v>
      </c>
      <c r="K156" s="1">
        <v>11</v>
      </c>
      <c r="L156" s="1">
        <v>121</v>
      </c>
      <c r="M156" s="1" t="s">
        <v>26</v>
      </c>
      <c r="N156" s="1" t="s">
        <v>30</v>
      </c>
    </row>
    <row r="157" spans="1:14" x14ac:dyDescent="0.15">
      <c r="A157" s="1">
        <v>1567998</v>
      </c>
      <c r="B157" s="1" t="s">
        <v>17</v>
      </c>
      <c r="C157" s="1" t="s">
        <v>23</v>
      </c>
      <c r="D157" s="2">
        <v>32290</v>
      </c>
      <c r="E157" s="1" t="s">
        <v>19</v>
      </c>
      <c r="F157" s="1">
        <v>2</v>
      </c>
      <c r="G157" s="1">
        <v>90014</v>
      </c>
      <c r="H157" s="1">
        <v>40000</v>
      </c>
      <c r="I157" s="1">
        <v>653</v>
      </c>
      <c r="J157" s="1">
        <v>556</v>
      </c>
      <c r="K157" s="1">
        <v>5</v>
      </c>
      <c r="L157" s="1">
        <v>100</v>
      </c>
      <c r="M157" s="1" t="s">
        <v>34</v>
      </c>
      <c r="N157" s="1" t="s">
        <v>30</v>
      </c>
    </row>
    <row r="158" spans="1:14" x14ac:dyDescent="0.15">
      <c r="A158" s="1">
        <v>1568380</v>
      </c>
      <c r="B158" s="1" t="s">
        <v>17</v>
      </c>
      <c r="C158" s="1" t="s">
        <v>32</v>
      </c>
      <c r="D158" s="2">
        <v>20686</v>
      </c>
      <c r="E158" s="1" t="s">
        <v>19</v>
      </c>
      <c r="F158" s="1">
        <v>2</v>
      </c>
      <c r="G158" s="1">
        <v>90020</v>
      </c>
      <c r="H158" s="1">
        <v>62000</v>
      </c>
      <c r="I158" s="1">
        <v>1096</v>
      </c>
      <c r="J158" s="1">
        <v>963</v>
      </c>
      <c r="K158" s="1">
        <v>9</v>
      </c>
      <c r="L158" s="1">
        <v>231</v>
      </c>
      <c r="M158" s="1" t="s">
        <v>24</v>
      </c>
      <c r="N158" s="1" t="s">
        <v>25</v>
      </c>
    </row>
    <row r="159" spans="1:14" x14ac:dyDescent="0.15">
      <c r="A159" s="1">
        <v>1568821</v>
      </c>
      <c r="B159" s="1" t="s">
        <v>17</v>
      </c>
      <c r="C159" s="1" t="s">
        <v>23</v>
      </c>
      <c r="D159" s="2">
        <v>27207</v>
      </c>
      <c r="E159" s="1" t="s">
        <v>19</v>
      </c>
      <c r="F159" s="1">
        <v>2</v>
      </c>
      <c r="G159" s="1">
        <v>90034</v>
      </c>
      <c r="H159" s="1">
        <v>52000</v>
      </c>
      <c r="I159" s="1">
        <v>572</v>
      </c>
      <c r="J159" s="1">
        <v>698</v>
      </c>
      <c r="K159" s="1">
        <v>10</v>
      </c>
      <c r="L159" s="1">
        <v>345</v>
      </c>
      <c r="M159" s="1" t="s">
        <v>34</v>
      </c>
      <c r="N159" s="1" t="s">
        <v>25</v>
      </c>
    </row>
    <row r="160" spans="1:14" x14ac:dyDescent="0.15">
      <c r="A160" s="1">
        <v>1569187</v>
      </c>
      <c r="B160" s="1" t="s">
        <v>22</v>
      </c>
      <c r="C160" s="1" t="s">
        <v>18</v>
      </c>
      <c r="D160" s="2">
        <v>20497</v>
      </c>
      <c r="E160" s="1" t="s">
        <v>19</v>
      </c>
      <c r="F160" s="1">
        <v>4</v>
      </c>
      <c r="G160" s="1">
        <v>90054</v>
      </c>
      <c r="H160" s="1">
        <v>68000</v>
      </c>
      <c r="I160" s="1">
        <v>758</v>
      </c>
      <c r="J160" s="1">
        <v>620</v>
      </c>
      <c r="K160" s="1">
        <v>11</v>
      </c>
      <c r="L160" s="1">
        <v>97</v>
      </c>
      <c r="M160" s="1" t="s">
        <v>35</v>
      </c>
      <c r="N160" s="1" t="s">
        <v>29</v>
      </c>
    </row>
    <row r="161" spans="1:14" x14ac:dyDescent="0.15">
      <c r="A161" s="1">
        <v>1569198</v>
      </c>
      <c r="B161" s="1" t="s">
        <v>22</v>
      </c>
      <c r="C161" s="1" t="s">
        <v>27</v>
      </c>
      <c r="D161" s="2">
        <v>19878</v>
      </c>
      <c r="E161" s="1" t="s">
        <v>19</v>
      </c>
      <c r="F161" s="1">
        <v>4</v>
      </c>
      <c r="G161" s="1">
        <v>90064</v>
      </c>
      <c r="H161" s="1">
        <v>54000</v>
      </c>
      <c r="I161" s="1">
        <v>835</v>
      </c>
      <c r="J161" s="1">
        <v>920</v>
      </c>
      <c r="K161" s="1">
        <v>23</v>
      </c>
      <c r="L161" s="1">
        <v>331</v>
      </c>
      <c r="M161" s="1" t="s">
        <v>34</v>
      </c>
      <c r="N161" s="1" t="s">
        <v>29</v>
      </c>
    </row>
    <row r="162" spans="1:14" x14ac:dyDescent="0.15">
      <c r="A162" s="1">
        <v>1569840</v>
      </c>
      <c r="B162" s="1" t="s">
        <v>17</v>
      </c>
      <c r="C162" s="1" t="s">
        <v>23</v>
      </c>
      <c r="D162" s="2">
        <v>32745</v>
      </c>
      <c r="E162" s="1" t="s">
        <v>19</v>
      </c>
      <c r="F162" s="1">
        <v>1</v>
      </c>
      <c r="G162" s="1">
        <v>90007</v>
      </c>
      <c r="H162" s="1">
        <v>44000</v>
      </c>
      <c r="I162" s="1">
        <v>700</v>
      </c>
      <c r="J162" s="1">
        <v>823</v>
      </c>
      <c r="K162" s="1">
        <v>20</v>
      </c>
      <c r="L162" s="1">
        <v>173</v>
      </c>
      <c r="M162" s="1" t="s">
        <v>34</v>
      </c>
      <c r="N162" s="1" t="s">
        <v>29</v>
      </c>
    </row>
    <row r="163" spans="1:14" x14ac:dyDescent="0.15">
      <c r="A163" s="1">
        <v>1570150</v>
      </c>
      <c r="B163" s="1" t="s">
        <v>17</v>
      </c>
      <c r="C163" s="1" t="s">
        <v>23</v>
      </c>
      <c r="D163" s="2">
        <v>23078</v>
      </c>
      <c r="E163" s="1" t="s">
        <v>28</v>
      </c>
      <c r="F163" s="1">
        <v>3</v>
      </c>
      <c r="G163" s="1">
        <v>90054</v>
      </c>
      <c r="H163" s="1">
        <v>53000</v>
      </c>
      <c r="I163" s="1">
        <v>947</v>
      </c>
      <c r="J163" s="1">
        <v>1155</v>
      </c>
      <c r="K163" s="1">
        <v>27</v>
      </c>
      <c r="L163" s="1">
        <v>352</v>
      </c>
      <c r="M163" s="1" t="s">
        <v>26</v>
      </c>
      <c r="N163" s="1" t="s">
        <v>25</v>
      </c>
    </row>
    <row r="164" spans="1:14" x14ac:dyDescent="0.15">
      <c r="A164" s="1">
        <v>1571158</v>
      </c>
      <c r="B164" s="1" t="s">
        <v>22</v>
      </c>
      <c r="C164" s="1" t="s">
        <v>18</v>
      </c>
      <c r="D164" s="2">
        <v>29181</v>
      </c>
      <c r="E164" s="1" t="s">
        <v>19</v>
      </c>
      <c r="F164" s="1">
        <v>1</v>
      </c>
      <c r="G164" s="1">
        <v>90052</v>
      </c>
      <c r="H164" s="1">
        <v>74000</v>
      </c>
      <c r="I164" s="1">
        <v>214</v>
      </c>
      <c r="J164" s="1">
        <v>220</v>
      </c>
      <c r="K164" s="1">
        <v>2</v>
      </c>
      <c r="L164" s="1">
        <v>134</v>
      </c>
      <c r="M164" s="1" t="s">
        <v>34</v>
      </c>
      <c r="N164" s="1" t="s">
        <v>29</v>
      </c>
    </row>
    <row r="165" spans="1:14" x14ac:dyDescent="0.15">
      <c r="A165" s="1">
        <v>1571419</v>
      </c>
      <c r="B165" s="1" t="s">
        <v>17</v>
      </c>
      <c r="C165" s="1" t="s">
        <v>18</v>
      </c>
      <c r="D165" s="2">
        <v>23606</v>
      </c>
      <c r="E165" s="1" t="s">
        <v>19</v>
      </c>
      <c r="F165" s="1">
        <v>5</v>
      </c>
      <c r="G165" s="1">
        <v>90064</v>
      </c>
      <c r="H165" s="1">
        <v>41000</v>
      </c>
      <c r="I165" s="1">
        <v>1285</v>
      </c>
      <c r="J165" s="1">
        <v>1137</v>
      </c>
      <c r="K165" s="1">
        <v>18</v>
      </c>
      <c r="L165" s="1">
        <v>44</v>
      </c>
      <c r="M165" s="1" t="s">
        <v>26</v>
      </c>
      <c r="N165" s="1" t="s">
        <v>29</v>
      </c>
    </row>
    <row r="166" spans="1:14" x14ac:dyDescent="0.15">
      <c r="A166" s="1">
        <v>1571455</v>
      </c>
      <c r="B166" s="1" t="s">
        <v>22</v>
      </c>
      <c r="C166" s="1" t="s">
        <v>31</v>
      </c>
      <c r="D166" s="2">
        <v>21980</v>
      </c>
      <c r="E166" s="1" t="s">
        <v>19</v>
      </c>
      <c r="F166" s="1">
        <v>4</v>
      </c>
      <c r="G166" s="1">
        <v>90043</v>
      </c>
      <c r="H166" s="1">
        <v>95000</v>
      </c>
      <c r="I166" s="1">
        <v>585</v>
      </c>
      <c r="J166" s="1">
        <v>1144</v>
      </c>
      <c r="K166" s="1">
        <v>7</v>
      </c>
      <c r="L166" s="1">
        <v>176</v>
      </c>
      <c r="M166" s="1" t="s">
        <v>26</v>
      </c>
      <c r="N166" s="1" t="s">
        <v>29</v>
      </c>
    </row>
    <row r="167" spans="1:14" x14ac:dyDescent="0.15">
      <c r="A167" s="1">
        <v>1571457</v>
      </c>
      <c r="B167" s="1" t="s">
        <v>22</v>
      </c>
      <c r="C167" s="1" t="s">
        <v>23</v>
      </c>
      <c r="D167" s="2">
        <v>35114</v>
      </c>
      <c r="E167" s="1" t="s">
        <v>19</v>
      </c>
      <c r="F167" s="1">
        <v>1</v>
      </c>
      <c r="G167" s="1">
        <v>90001</v>
      </c>
      <c r="H167" s="1">
        <v>99000</v>
      </c>
      <c r="I167" s="1">
        <v>963</v>
      </c>
      <c r="J167" s="1">
        <v>1099</v>
      </c>
      <c r="K167" s="1">
        <v>13</v>
      </c>
      <c r="L167" s="1">
        <v>248</v>
      </c>
      <c r="M167" s="1" t="s">
        <v>34</v>
      </c>
      <c r="N167" s="1" t="s">
        <v>21</v>
      </c>
    </row>
    <row r="168" spans="1:14" x14ac:dyDescent="0.15">
      <c r="A168" s="1">
        <v>1571887</v>
      </c>
      <c r="B168" s="1" t="s">
        <v>22</v>
      </c>
      <c r="C168" s="1" t="s">
        <v>18</v>
      </c>
      <c r="D168" s="2">
        <v>27983</v>
      </c>
      <c r="E168" s="1" t="s">
        <v>19</v>
      </c>
      <c r="F168" s="1">
        <v>5</v>
      </c>
      <c r="G168" s="1">
        <v>90013</v>
      </c>
      <c r="H168" s="1">
        <v>99000</v>
      </c>
      <c r="I168" s="1">
        <v>610</v>
      </c>
      <c r="J168" s="1">
        <v>520</v>
      </c>
      <c r="K168" s="1">
        <v>7</v>
      </c>
      <c r="L168" s="1">
        <v>68</v>
      </c>
      <c r="M168" s="1" t="s">
        <v>24</v>
      </c>
      <c r="N168" s="1" t="s">
        <v>21</v>
      </c>
    </row>
    <row r="169" spans="1:14" x14ac:dyDescent="0.15">
      <c r="A169" s="1">
        <v>1571944</v>
      </c>
      <c r="B169" s="1" t="s">
        <v>22</v>
      </c>
      <c r="C169" s="1" t="s">
        <v>23</v>
      </c>
      <c r="D169" s="2">
        <v>24796</v>
      </c>
      <c r="E169" s="1" t="s">
        <v>19</v>
      </c>
      <c r="F169" s="1">
        <v>5</v>
      </c>
      <c r="G169" s="1">
        <v>90001</v>
      </c>
      <c r="H169" s="1">
        <v>86000</v>
      </c>
      <c r="I169" s="1">
        <v>312</v>
      </c>
      <c r="J169" s="1">
        <v>226</v>
      </c>
      <c r="K169" s="1">
        <v>2</v>
      </c>
      <c r="L169" s="1">
        <v>100</v>
      </c>
      <c r="M169" s="1" t="s">
        <v>34</v>
      </c>
      <c r="N169" s="1" t="s">
        <v>25</v>
      </c>
    </row>
    <row r="170" spans="1:14" x14ac:dyDescent="0.15">
      <c r="A170" s="1">
        <v>1572715</v>
      </c>
      <c r="B170" s="1" t="s">
        <v>17</v>
      </c>
      <c r="C170" s="1" t="s">
        <v>18</v>
      </c>
      <c r="D170" s="2">
        <v>35545</v>
      </c>
      <c r="E170" s="1" t="s">
        <v>28</v>
      </c>
      <c r="F170" s="1">
        <v>4</v>
      </c>
      <c r="G170" s="1">
        <v>90026</v>
      </c>
      <c r="H170" s="1">
        <v>43000</v>
      </c>
      <c r="I170" s="1">
        <v>93</v>
      </c>
      <c r="J170" s="1">
        <v>69</v>
      </c>
      <c r="K170" s="1">
        <v>1</v>
      </c>
      <c r="L170" s="1">
        <v>223</v>
      </c>
      <c r="M170" s="1" t="s">
        <v>34</v>
      </c>
      <c r="N170" s="1" t="s">
        <v>25</v>
      </c>
    </row>
    <row r="171" spans="1:14" x14ac:dyDescent="0.15">
      <c r="A171" s="1">
        <v>1572877</v>
      </c>
      <c r="B171" s="1" t="s">
        <v>17</v>
      </c>
      <c r="C171" s="1" t="s">
        <v>23</v>
      </c>
      <c r="D171" s="2">
        <v>36369</v>
      </c>
      <c r="E171" s="1" t="s">
        <v>28</v>
      </c>
      <c r="F171" s="1">
        <v>1</v>
      </c>
      <c r="G171" s="1">
        <v>90032</v>
      </c>
      <c r="H171" s="1">
        <v>42000</v>
      </c>
      <c r="I171" s="1">
        <v>245</v>
      </c>
      <c r="J171" s="1">
        <v>183</v>
      </c>
      <c r="K171" s="1">
        <v>4</v>
      </c>
      <c r="L171" s="1">
        <v>60</v>
      </c>
      <c r="M171" s="1" t="s">
        <v>34</v>
      </c>
      <c r="N171" s="1" t="s">
        <v>25</v>
      </c>
    </row>
    <row r="172" spans="1:14" x14ac:dyDescent="0.15">
      <c r="A172" s="1">
        <v>1573196</v>
      </c>
      <c r="B172" s="1" t="s">
        <v>17</v>
      </c>
      <c r="C172" s="1" t="s">
        <v>18</v>
      </c>
      <c r="D172" s="2">
        <v>36834</v>
      </c>
      <c r="E172" s="1" t="s">
        <v>19</v>
      </c>
      <c r="F172" s="1">
        <v>4</v>
      </c>
      <c r="G172" s="1">
        <v>90012</v>
      </c>
      <c r="H172" s="1">
        <v>70000</v>
      </c>
      <c r="I172" s="1">
        <v>127</v>
      </c>
      <c r="J172" s="1">
        <v>104</v>
      </c>
      <c r="K172" s="1">
        <v>3</v>
      </c>
      <c r="L172" s="1">
        <v>137</v>
      </c>
      <c r="M172" s="1" t="s">
        <v>24</v>
      </c>
      <c r="N172" s="1" t="s">
        <v>30</v>
      </c>
    </row>
    <row r="173" spans="1:14" x14ac:dyDescent="0.15">
      <c r="A173" s="1">
        <v>1573273</v>
      </c>
      <c r="B173" s="1" t="s">
        <v>22</v>
      </c>
      <c r="C173" s="1" t="s">
        <v>23</v>
      </c>
      <c r="D173" s="2">
        <v>27646</v>
      </c>
      <c r="E173" s="1" t="s">
        <v>19</v>
      </c>
      <c r="F173" s="1">
        <v>5</v>
      </c>
      <c r="G173" s="1">
        <v>90023</v>
      </c>
      <c r="H173" s="1">
        <v>110000</v>
      </c>
      <c r="I173" s="1">
        <v>1497</v>
      </c>
      <c r="J173" s="1">
        <v>1157</v>
      </c>
      <c r="K173" s="1">
        <v>28</v>
      </c>
      <c r="L173" s="1">
        <v>220</v>
      </c>
      <c r="M173" s="1" t="s">
        <v>34</v>
      </c>
      <c r="N173" s="1" t="s">
        <v>29</v>
      </c>
    </row>
    <row r="174" spans="1:14" x14ac:dyDescent="0.15">
      <c r="A174" s="1">
        <v>1573758</v>
      </c>
      <c r="B174" s="1" t="s">
        <v>17</v>
      </c>
      <c r="C174" s="1" t="s">
        <v>27</v>
      </c>
      <c r="D174" s="2">
        <v>36684</v>
      </c>
      <c r="E174" s="1" t="s">
        <v>28</v>
      </c>
      <c r="F174" s="1">
        <v>3</v>
      </c>
      <c r="G174" s="1">
        <v>90013</v>
      </c>
      <c r="H174" s="1">
        <v>57000</v>
      </c>
      <c r="I174" s="1">
        <v>531</v>
      </c>
      <c r="J174" s="1">
        <v>986</v>
      </c>
      <c r="K174" s="1">
        <v>15</v>
      </c>
      <c r="L174" s="1">
        <v>13</v>
      </c>
      <c r="M174" s="1" t="s">
        <v>34</v>
      </c>
      <c r="N174" s="1" t="s">
        <v>25</v>
      </c>
    </row>
    <row r="175" spans="1:14" x14ac:dyDescent="0.15">
      <c r="A175" s="1">
        <v>1573908</v>
      </c>
      <c r="B175" s="1" t="s">
        <v>22</v>
      </c>
      <c r="C175" s="1" t="s">
        <v>23</v>
      </c>
      <c r="D175" s="2">
        <v>33126</v>
      </c>
      <c r="E175" s="1" t="s">
        <v>28</v>
      </c>
      <c r="F175" s="1">
        <v>4</v>
      </c>
      <c r="G175" s="1">
        <v>90039</v>
      </c>
      <c r="H175" s="1">
        <v>71000</v>
      </c>
      <c r="I175" s="1">
        <v>213</v>
      </c>
      <c r="J175" s="1">
        <v>293</v>
      </c>
      <c r="K175" s="1">
        <v>2</v>
      </c>
      <c r="L175" s="1">
        <v>42</v>
      </c>
      <c r="M175" s="1" t="s">
        <v>26</v>
      </c>
      <c r="N175" s="1" t="s">
        <v>30</v>
      </c>
    </row>
    <row r="176" spans="1:14" x14ac:dyDescent="0.15">
      <c r="A176" s="1">
        <v>1574015</v>
      </c>
      <c r="B176" s="1" t="s">
        <v>22</v>
      </c>
      <c r="C176" s="1" t="s">
        <v>23</v>
      </c>
      <c r="D176" s="2">
        <v>32258</v>
      </c>
      <c r="E176" s="1" t="s">
        <v>28</v>
      </c>
      <c r="F176" s="1">
        <v>2</v>
      </c>
      <c r="G176" s="1">
        <v>90049</v>
      </c>
      <c r="H176" s="1">
        <v>67000</v>
      </c>
      <c r="I176" s="1">
        <v>708</v>
      </c>
      <c r="J176" s="1">
        <v>549</v>
      </c>
      <c r="K176" s="1">
        <v>12</v>
      </c>
      <c r="L176" s="1">
        <v>133</v>
      </c>
      <c r="M176" s="1" t="s">
        <v>24</v>
      </c>
      <c r="N176" s="1" t="s">
        <v>29</v>
      </c>
    </row>
    <row r="177" spans="1:14" x14ac:dyDescent="0.15">
      <c r="A177" s="1">
        <v>1574042</v>
      </c>
      <c r="B177" s="1" t="s">
        <v>17</v>
      </c>
      <c r="C177" s="1" t="s">
        <v>27</v>
      </c>
      <c r="D177" s="2">
        <v>27321</v>
      </c>
      <c r="E177" s="1" t="s">
        <v>19</v>
      </c>
      <c r="F177" s="1">
        <v>3</v>
      </c>
      <c r="G177" s="1">
        <v>90013</v>
      </c>
      <c r="H177" s="1">
        <v>108000</v>
      </c>
      <c r="I177" s="1">
        <v>593</v>
      </c>
      <c r="J177" s="1">
        <v>1044</v>
      </c>
      <c r="K177" s="1">
        <v>9</v>
      </c>
      <c r="L177" s="1">
        <v>213</v>
      </c>
      <c r="M177" s="1" t="s">
        <v>34</v>
      </c>
      <c r="N177" s="1" t="s">
        <v>25</v>
      </c>
    </row>
    <row r="178" spans="1:14" x14ac:dyDescent="0.15">
      <c r="A178" s="1">
        <v>1574047</v>
      </c>
      <c r="B178" s="1" t="s">
        <v>17</v>
      </c>
      <c r="C178" s="1" t="s">
        <v>18</v>
      </c>
      <c r="D178" s="2">
        <v>26333</v>
      </c>
      <c r="E178" s="1" t="s">
        <v>19</v>
      </c>
      <c r="F178" s="1">
        <v>1</v>
      </c>
      <c r="G178" s="1">
        <v>90010</v>
      </c>
      <c r="H178" s="1">
        <v>49000</v>
      </c>
      <c r="I178" s="1">
        <v>298</v>
      </c>
      <c r="J178" s="1">
        <v>202</v>
      </c>
      <c r="K178" s="1">
        <v>2</v>
      </c>
      <c r="L178" s="1">
        <v>248</v>
      </c>
      <c r="M178" s="1" t="s">
        <v>34</v>
      </c>
      <c r="N178" s="1" t="s">
        <v>25</v>
      </c>
    </row>
    <row r="179" spans="1:14" x14ac:dyDescent="0.15">
      <c r="A179" s="1">
        <v>1574098</v>
      </c>
      <c r="B179" s="1" t="s">
        <v>22</v>
      </c>
      <c r="C179" s="1" t="s">
        <v>27</v>
      </c>
      <c r="D179" s="2">
        <v>29183</v>
      </c>
      <c r="E179" s="1" t="s">
        <v>19</v>
      </c>
      <c r="F179" s="1">
        <v>4</v>
      </c>
      <c r="G179" s="1">
        <v>90050</v>
      </c>
      <c r="H179" s="1">
        <v>86000</v>
      </c>
      <c r="I179" s="1">
        <v>75</v>
      </c>
      <c r="J179" s="1">
        <v>68</v>
      </c>
      <c r="K179" s="1">
        <v>1</v>
      </c>
      <c r="L179" s="1">
        <v>176</v>
      </c>
      <c r="M179" s="1" t="s">
        <v>34</v>
      </c>
      <c r="N179" s="1" t="s">
        <v>30</v>
      </c>
    </row>
    <row r="180" spans="1:14" x14ac:dyDescent="0.15">
      <c r="A180" s="1">
        <v>1574151</v>
      </c>
      <c r="B180" s="1" t="s">
        <v>17</v>
      </c>
      <c r="C180" s="1" t="s">
        <v>18</v>
      </c>
      <c r="D180" s="2">
        <v>29248</v>
      </c>
      <c r="E180" s="1" t="s">
        <v>19</v>
      </c>
      <c r="F180" s="1">
        <v>5</v>
      </c>
      <c r="G180" s="1">
        <v>90012</v>
      </c>
      <c r="H180" s="1">
        <v>61000</v>
      </c>
      <c r="I180" s="1">
        <v>778</v>
      </c>
      <c r="J180" s="1">
        <v>1144</v>
      </c>
      <c r="K180" s="1">
        <v>28</v>
      </c>
      <c r="L180" s="1">
        <v>95</v>
      </c>
      <c r="M180" s="1" t="s">
        <v>34</v>
      </c>
      <c r="N180" s="1" t="s">
        <v>25</v>
      </c>
    </row>
    <row r="181" spans="1:14" x14ac:dyDescent="0.15">
      <c r="A181" s="1">
        <v>1574379</v>
      </c>
      <c r="B181" s="1" t="s">
        <v>22</v>
      </c>
      <c r="C181" s="1" t="s">
        <v>18</v>
      </c>
      <c r="D181" s="2">
        <v>29099</v>
      </c>
      <c r="E181" s="1" t="s">
        <v>19</v>
      </c>
      <c r="F181" s="1">
        <v>2</v>
      </c>
      <c r="G181" s="1">
        <v>90047</v>
      </c>
      <c r="H181" s="1">
        <v>60000</v>
      </c>
      <c r="I181" s="1">
        <v>514</v>
      </c>
      <c r="J181" s="1">
        <v>636</v>
      </c>
      <c r="K181" s="1">
        <v>10</v>
      </c>
      <c r="L181" s="1">
        <v>265</v>
      </c>
      <c r="M181" s="1" t="s">
        <v>24</v>
      </c>
      <c r="N181" s="1" t="s">
        <v>30</v>
      </c>
    </row>
    <row r="182" spans="1:14" x14ac:dyDescent="0.15">
      <c r="A182" s="1">
        <v>1574687</v>
      </c>
      <c r="B182" s="1" t="s">
        <v>17</v>
      </c>
      <c r="C182" s="1" t="s">
        <v>18</v>
      </c>
      <c r="D182" s="2">
        <v>25123</v>
      </c>
      <c r="E182" s="1" t="s">
        <v>19</v>
      </c>
      <c r="F182" s="1">
        <v>1</v>
      </c>
      <c r="G182" s="1">
        <v>90030</v>
      </c>
      <c r="H182" s="1">
        <v>54000</v>
      </c>
      <c r="I182" s="1">
        <v>266</v>
      </c>
      <c r="J182" s="1">
        <v>338</v>
      </c>
      <c r="K182" s="1">
        <v>5</v>
      </c>
      <c r="L182" s="1">
        <v>281</v>
      </c>
      <c r="M182" s="1" t="s">
        <v>26</v>
      </c>
      <c r="N182" s="1" t="s">
        <v>30</v>
      </c>
    </row>
    <row r="183" spans="1:14" x14ac:dyDescent="0.15">
      <c r="A183" s="1">
        <v>1574764</v>
      </c>
      <c r="B183" s="1" t="s">
        <v>17</v>
      </c>
      <c r="C183" s="1" t="s">
        <v>23</v>
      </c>
      <c r="D183" s="2">
        <v>29270</v>
      </c>
      <c r="E183" s="1" t="s">
        <v>19</v>
      </c>
      <c r="F183" s="1">
        <v>4</v>
      </c>
      <c r="G183" s="1">
        <v>90041</v>
      </c>
      <c r="H183" s="1">
        <v>87000</v>
      </c>
      <c r="I183" s="1">
        <v>841</v>
      </c>
      <c r="J183" s="1">
        <v>689</v>
      </c>
      <c r="K183" s="1">
        <v>7</v>
      </c>
      <c r="L183" s="1">
        <v>181</v>
      </c>
      <c r="M183" s="1" t="s">
        <v>34</v>
      </c>
      <c r="N183" s="1" t="s">
        <v>25</v>
      </c>
    </row>
    <row r="184" spans="1:14" x14ac:dyDescent="0.15">
      <c r="A184" s="1">
        <v>1574841</v>
      </c>
      <c r="B184" s="1" t="s">
        <v>17</v>
      </c>
      <c r="C184" s="1" t="s">
        <v>23</v>
      </c>
      <c r="D184" s="2">
        <v>29896</v>
      </c>
      <c r="E184" s="1" t="s">
        <v>19</v>
      </c>
      <c r="F184" s="1">
        <v>2</v>
      </c>
      <c r="G184" s="1">
        <v>90037</v>
      </c>
      <c r="H184" s="1">
        <v>57000</v>
      </c>
      <c r="I184" s="1">
        <v>1212</v>
      </c>
      <c r="J184" s="1">
        <v>1122</v>
      </c>
      <c r="K184" s="1">
        <v>28</v>
      </c>
      <c r="L184" s="1">
        <v>228</v>
      </c>
      <c r="M184" s="1" t="s">
        <v>26</v>
      </c>
      <c r="N184" s="1" t="s">
        <v>30</v>
      </c>
    </row>
    <row r="185" spans="1:14" x14ac:dyDescent="0.15">
      <c r="A185" s="1">
        <v>1575294</v>
      </c>
      <c r="B185" s="1" t="s">
        <v>22</v>
      </c>
      <c r="C185" s="1" t="s">
        <v>23</v>
      </c>
      <c r="D185" s="2">
        <v>23248</v>
      </c>
      <c r="E185" s="1" t="s">
        <v>19</v>
      </c>
      <c r="F185" s="1">
        <v>3</v>
      </c>
      <c r="G185" s="1">
        <v>90061</v>
      </c>
      <c r="H185" s="1">
        <v>75000</v>
      </c>
      <c r="I185" s="1">
        <v>175</v>
      </c>
      <c r="J185" s="1">
        <v>172</v>
      </c>
      <c r="K185" s="1">
        <v>2</v>
      </c>
      <c r="L185" s="1">
        <v>211</v>
      </c>
      <c r="M185" s="1" t="s">
        <v>34</v>
      </c>
      <c r="N185" s="1" t="s">
        <v>30</v>
      </c>
    </row>
    <row r="186" spans="1:14" x14ac:dyDescent="0.15">
      <c r="A186" s="1">
        <v>1575448</v>
      </c>
      <c r="B186" s="1" t="s">
        <v>22</v>
      </c>
      <c r="C186" s="1" t="s">
        <v>27</v>
      </c>
      <c r="D186" s="2">
        <v>35965</v>
      </c>
      <c r="E186" s="1" t="s">
        <v>19</v>
      </c>
      <c r="F186" s="1">
        <v>4</v>
      </c>
      <c r="G186" s="1">
        <v>90050</v>
      </c>
      <c r="H186" s="1">
        <v>100000</v>
      </c>
      <c r="I186" s="1">
        <v>486</v>
      </c>
      <c r="J186" s="1">
        <v>437</v>
      </c>
      <c r="K186" s="1">
        <v>5</v>
      </c>
      <c r="L186" s="1">
        <v>223</v>
      </c>
      <c r="M186" s="1" t="s">
        <v>34</v>
      </c>
      <c r="N186" s="1" t="s">
        <v>30</v>
      </c>
    </row>
    <row r="187" spans="1:14" x14ac:dyDescent="0.15">
      <c r="A187" s="1">
        <v>1575538</v>
      </c>
      <c r="B187" s="1" t="s">
        <v>22</v>
      </c>
      <c r="C187" s="1" t="s">
        <v>27</v>
      </c>
      <c r="D187" s="2">
        <v>35371</v>
      </c>
      <c r="E187" s="1" t="s">
        <v>19</v>
      </c>
      <c r="F187" s="1">
        <v>5</v>
      </c>
      <c r="G187" s="1">
        <v>90063</v>
      </c>
      <c r="H187" s="1">
        <v>129000</v>
      </c>
      <c r="I187" s="1">
        <v>813</v>
      </c>
      <c r="J187" s="1">
        <v>949</v>
      </c>
      <c r="K187" s="1">
        <v>24</v>
      </c>
      <c r="L187" s="1">
        <v>140</v>
      </c>
      <c r="M187" s="1" t="s">
        <v>24</v>
      </c>
      <c r="N187" s="1" t="s">
        <v>29</v>
      </c>
    </row>
    <row r="188" spans="1:14" x14ac:dyDescent="0.15">
      <c r="A188" s="1">
        <v>1575993</v>
      </c>
      <c r="B188" s="1" t="s">
        <v>22</v>
      </c>
      <c r="C188" s="1" t="s">
        <v>23</v>
      </c>
      <c r="D188" s="2">
        <v>31726</v>
      </c>
      <c r="E188" s="1" t="s">
        <v>19</v>
      </c>
      <c r="F188" s="1">
        <v>3</v>
      </c>
      <c r="G188" s="1">
        <v>90036</v>
      </c>
      <c r="H188" s="1">
        <v>92000</v>
      </c>
      <c r="I188" s="1">
        <v>406</v>
      </c>
      <c r="J188" s="1">
        <v>409</v>
      </c>
      <c r="K188" s="1">
        <v>3</v>
      </c>
      <c r="L188" s="1">
        <v>294</v>
      </c>
      <c r="M188" s="1" t="s">
        <v>34</v>
      </c>
      <c r="N188" s="1" t="s">
        <v>21</v>
      </c>
    </row>
    <row r="189" spans="1:14" x14ac:dyDescent="0.15">
      <c r="A189" s="1">
        <v>1576211</v>
      </c>
      <c r="B189" s="1" t="s">
        <v>17</v>
      </c>
      <c r="C189" s="1" t="s">
        <v>23</v>
      </c>
      <c r="D189" s="2">
        <v>31273</v>
      </c>
      <c r="E189" s="1" t="s">
        <v>28</v>
      </c>
      <c r="F189" s="1">
        <v>1</v>
      </c>
      <c r="G189" s="1">
        <v>90017</v>
      </c>
      <c r="H189" s="1">
        <v>31000</v>
      </c>
      <c r="I189" s="1">
        <v>1336</v>
      </c>
      <c r="J189" s="1">
        <v>1244</v>
      </c>
      <c r="K189" s="1">
        <v>15</v>
      </c>
      <c r="L189" s="1">
        <v>280</v>
      </c>
      <c r="M189" s="1" t="s">
        <v>26</v>
      </c>
      <c r="N189" s="1" t="s">
        <v>29</v>
      </c>
    </row>
    <row r="190" spans="1:14" x14ac:dyDescent="0.15">
      <c r="A190" s="1">
        <v>1576752</v>
      </c>
      <c r="B190" s="1" t="s">
        <v>22</v>
      </c>
      <c r="C190" s="1" t="s">
        <v>18</v>
      </c>
      <c r="D190" s="2">
        <v>25037</v>
      </c>
      <c r="E190" s="1" t="s">
        <v>19</v>
      </c>
      <c r="F190" s="1">
        <v>4</v>
      </c>
      <c r="G190" s="1">
        <v>90044</v>
      </c>
      <c r="H190" s="1">
        <v>82000</v>
      </c>
      <c r="I190" s="1">
        <v>1322</v>
      </c>
      <c r="J190" s="1">
        <v>1241</v>
      </c>
      <c r="K190" s="1">
        <v>11</v>
      </c>
      <c r="L190" s="1">
        <v>159</v>
      </c>
      <c r="M190" s="1" t="s">
        <v>26</v>
      </c>
      <c r="N190" s="1" t="s">
        <v>25</v>
      </c>
    </row>
    <row r="191" spans="1:14" x14ac:dyDescent="0.15">
      <c r="A191" s="1">
        <v>1576984</v>
      </c>
      <c r="B191" s="1" t="s">
        <v>22</v>
      </c>
      <c r="C191" s="1" t="s">
        <v>18</v>
      </c>
      <c r="D191" s="2">
        <v>24158</v>
      </c>
      <c r="E191" s="1" t="s">
        <v>19</v>
      </c>
      <c r="F191" s="1">
        <v>4</v>
      </c>
      <c r="G191" s="1">
        <v>90050</v>
      </c>
      <c r="H191" s="1">
        <v>87000</v>
      </c>
      <c r="I191" s="1">
        <v>152</v>
      </c>
      <c r="J191" s="1">
        <v>247</v>
      </c>
      <c r="K191" s="1">
        <v>6</v>
      </c>
      <c r="L191" s="1">
        <v>148</v>
      </c>
      <c r="M191" s="1" t="s">
        <v>24</v>
      </c>
      <c r="N191" s="1" t="s">
        <v>29</v>
      </c>
    </row>
    <row r="192" spans="1:14" x14ac:dyDescent="0.15">
      <c r="A192" s="1">
        <v>1577095</v>
      </c>
      <c r="B192" s="1" t="s">
        <v>22</v>
      </c>
      <c r="C192" s="1" t="s">
        <v>23</v>
      </c>
      <c r="D192" s="2">
        <v>35768</v>
      </c>
      <c r="E192" s="1" t="s">
        <v>19</v>
      </c>
      <c r="F192" s="1">
        <v>2</v>
      </c>
      <c r="G192" s="1">
        <v>90030</v>
      </c>
      <c r="H192" s="1">
        <v>58000</v>
      </c>
      <c r="I192" s="1">
        <v>471</v>
      </c>
      <c r="J192" s="1">
        <v>319</v>
      </c>
      <c r="K192" s="1">
        <v>2</v>
      </c>
      <c r="L192" s="1">
        <v>128</v>
      </c>
      <c r="M192" s="1" t="s">
        <v>34</v>
      </c>
      <c r="N192" s="1" t="s">
        <v>21</v>
      </c>
    </row>
    <row r="193" spans="1:14" x14ac:dyDescent="0.15">
      <c r="A193" s="1">
        <v>1577691</v>
      </c>
      <c r="B193" s="1" t="s">
        <v>22</v>
      </c>
      <c r="C193" s="1" t="s">
        <v>27</v>
      </c>
      <c r="D193" s="2">
        <v>27846</v>
      </c>
      <c r="E193" s="1" t="s">
        <v>19</v>
      </c>
      <c r="F193" s="1">
        <v>5</v>
      </c>
      <c r="G193" s="1">
        <v>90001</v>
      </c>
      <c r="H193" s="1">
        <v>97000</v>
      </c>
      <c r="I193" s="1">
        <v>70</v>
      </c>
      <c r="J193" s="1">
        <v>89</v>
      </c>
      <c r="K193" s="1">
        <v>2</v>
      </c>
      <c r="L193" s="1">
        <v>205</v>
      </c>
      <c r="M193" s="1" t="s">
        <v>34</v>
      </c>
      <c r="N193" s="1" t="s">
        <v>25</v>
      </c>
    </row>
    <row r="194" spans="1:14" x14ac:dyDescent="0.15">
      <c r="A194" s="1">
        <v>1577940</v>
      </c>
      <c r="B194" s="1" t="s">
        <v>17</v>
      </c>
      <c r="C194" s="1" t="s">
        <v>18</v>
      </c>
      <c r="D194" s="2">
        <v>26722</v>
      </c>
      <c r="E194" s="1" t="s">
        <v>19</v>
      </c>
      <c r="F194" s="1">
        <v>5</v>
      </c>
      <c r="G194" s="1">
        <v>90019</v>
      </c>
      <c r="H194" s="1">
        <v>94000</v>
      </c>
      <c r="I194" s="1">
        <v>634</v>
      </c>
      <c r="J194" s="1">
        <v>1206</v>
      </c>
      <c r="K194" s="1">
        <v>18</v>
      </c>
      <c r="L194" s="1">
        <v>181</v>
      </c>
      <c r="M194" s="1" t="s">
        <v>34</v>
      </c>
      <c r="N194" s="1" t="s">
        <v>29</v>
      </c>
    </row>
    <row r="195" spans="1:14" x14ac:dyDescent="0.15">
      <c r="A195" s="1">
        <v>1578327</v>
      </c>
      <c r="B195" s="1" t="s">
        <v>22</v>
      </c>
      <c r="C195" s="1" t="s">
        <v>27</v>
      </c>
      <c r="D195" s="2">
        <v>24708</v>
      </c>
      <c r="E195" s="1" t="s">
        <v>19</v>
      </c>
      <c r="F195" s="1">
        <v>1</v>
      </c>
      <c r="G195" s="1">
        <v>90024</v>
      </c>
      <c r="H195" s="1">
        <v>49000</v>
      </c>
      <c r="I195" s="1">
        <v>1015</v>
      </c>
      <c r="J195" s="1">
        <v>760</v>
      </c>
      <c r="K195" s="1">
        <v>11</v>
      </c>
      <c r="L195" s="1">
        <v>136</v>
      </c>
      <c r="M195" s="1" t="s">
        <v>24</v>
      </c>
      <c r="N195" s="1" t="s">
        <v>21</v>
      </c>
    </row>
    <row r="196" spans="1:14" x14ac:dyDescent="0.15">
      <c r="A196" s="1">
        <v>1578472</v>
      </c>
      <c r="B196" s="1" t="s">
        <v>17</v>
      </c>
      <c r="C196" s="1" t="s">
        <v>18</v>
      </c>
      <c r="D196" s="2">
        <v>22831</v>
      </c>
      <c r="E196" s="1" t="s">
        <v>19</v>
      </c>
      <c r="F196" s="1">
        <v>2</v>
      </c>
      <c r="G196" s="1">
        <v>90067</v>
      </c>
      <c r="H196" s="1">
        <v>76000</v>
      </c>
      <c r="I196" s="1">
        <v>385</v>
      </c>
      <c r="J196" s="1">
        <v>322</v>
      </c>
      <c r="K196" s="1">
        <v>7</v>
      </c>
      <c r="L196" s="1">
        <v>344</v>
      </c>
      <c r="M196" s="1" t="s">
        <v>26</v>
      </c>
      <c r="N196" s="1" t="s">
        <v>29</v>
      </c>
    </row>
    <row r="197" spans="1:14" x14ac:dyDescent="0.15">
      <c r="A197" s="1">
        <v>1578525</v>
      </c>
      <c r="B197" s="1" t="s">
        <v>22</v>
      </c>
      <c r="C197" s="1" t="s">
        <v>27</v>
      </c>
      <c r="D197" s="2">
        <v>23357</v>
      </c>
      <c r="E197" s="1" t="s">
        <v>19</v>
      </c>
      <c r="F197" s="1">
        <v>1</v>
      </c>
      <c r="G197" s="1">
        <v>90005</v>
      </c>
      <c r="H197" s="1">
        <v>82000</v>
      </c>
      <c r="I197" s="1">
        <v>1521</v>
      </c>
      <c r="J197" s="1">
        <v>1121</v>
      </c>
      <c r="K197" s="1">
        <v>25</v>
      </c>
      <c r="L197" s="1">
        <v>302</v>
      </c>
      <c r="M197" s="1" t="s">
        <v>34</v>
      </c>
      <c r="N197" s="1" t="s">
        <v>29</v>
      </c>
    </row>
    <row r="198" spans="1:14" x14ac:dyDescent="0.15">
      <c r="A198" s="1">
        <v>1579349</v>
      </c>
      <c r="B198" s="1" t="s">
        <v>22</v>
      </c>
      <c r="C198" s="1" t="s">
        <v>31</v>
      </c>
      <c r="D198" s="2">
        <v>29574</v>
      </c>
      <c r="E198" s="1" t="s">
        <v>19</v>
      </c>
      <c r="F198" s="1">
        <v>1</v>
      </c>
      <c r="G198" s="1">
        <v>90010</v>
      </c>
      <c r="H198" s="1">
        <v>49000</v>
      </c>
      <c r="I198" s="1">
        <v>217</v>
      </c>
      <c r="J198" s="1">
        <v>397</v>
      </c>
      <c r="K198" s="1">
        <v>10</v>
      </c>
      <c r="L198" s="1">
        <v>200</v>
      </c>
      <c r="M198" s="1" t="s">
        <v>34</v>
      </c>
      <c r="N198" s="1" t="s">
        <v>29</v>
      </c>
    </row>
    <row r="199" spans="1:14" x14ac:dyDescent="0.15">
      <c r="A199" s="1">
        <v>1579389</v>
      </c>
      <c r="B199" s="1" t="s">
        <v>17</v>
      </c>
      <c r="C199" s="1" t="s">
        <v>33</v>
      </c>
      <c r="D199" s="2">
        <v>36667</v>
      </c>
      <c r="E199" s="1" t="s">
        <v>19</v>
      </c>
      <c r="F199" s="1">
        <v>1</v>
      </c>
      <c r="G199" s="1">
        <v>90009</v>
      </c>
      <c r="H199" s="1">
        <v>50000</v>
      </c>
      <c r="I199" s="1">
        <v>625</v>
      </c>
      <c r="J199" s="1">
        <v>514</v>
      </c>
      <c r="K199" s="1">
        <v>10</v>
      </c>
      <c r="L199" s="1">
        <v>233</v>
      </c>
      <c r="M199" s="1" t="s">
        <v>35</v>
      </c>
      <c r="N199" s="1" t="s">
        <v>30</v>
      </c>
    </row>
    <row r="200" spans="1:14" x14ac:dyDescent="0.15">
      <c r="A200" s="1">
        <v>1579857</v>
      </c>
      <c r="B200" s="1" t="s">
        <v>17</v>
      </c>
      <c r="C200" s="1" t="s">
        <v>23</v>
      </c>
      <c r="D200" s="2">
        <v>33264</v>
      </c>
      <c r="E200" s="1" t="s">
        <v>19</v>
      </c>
      <c r="F200" s="1">
        <v>1</v>
      </c>
      <c r="G200" s="1">
        <v>90055</v>
      </c>
      <c r="H200" s="1">
        <v>52000</v>
      </c>
      <c r="I200" s="1">
        <v>325</v>
      </c>
      <c r="J200" s="1">
        <v>586</v>
      </c>
      <c r="K200" s="1">
        <v>13</v>
      </c>
      <c r="L200" s="1">
        <v>219</v>
      </c>
      <c r="M200" s="1" t="s">
        <v>35</v>
      </c>
      <c r="N200" s="1" t="s">
        <v>30</v>
      </c>
    </row>
    <row r="201" spans="1:14" x14ac:dyDescent="0.15">
      <c r="A201" s="1">
        <v>1579979</v>
      </c>
      <c r="B201" s="1" t="s">
        <v>22</v>
      </c>
      <c r="C201" s="1" t="s">
        <v>23</v>
      </c>
      <c r="D201" s="2">
        <v>36346</v>
      </c>
      <c r="E201" s="1" t="s">
        <v>19</v>
      </c>
      <c r="F201" s="1">
        <v>5</v>
      </c>
      <c r="G201" s="1">
        <v>90043</v>
      </c>
      <c r="H201" s="1">
        <v>102000</v>
      </c>
      <c r="I201" s="1">
        <v>1080</v>
      </c>
      <c r="J201" s="1">
        <v>926</v>
      </c>
      <c r="K201" s="1">
        <v>10</v>
      </c>
      <c r="L201" s="1">
        <v>113</v>
      </c>
      <c r="M201" s="1" t="s">
        <v>34</v>
      </c>
      <c r="N20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FF42-777A-4E28-8315-7855846D41D0}">
  <dimension ref="A1:E151"/>
  <sheetViews>
    <sheetView workbookViewId="0">
      <selection activeCell="H37" sqref="H37"/>
    </sheetView>
  </sheetViews>
  <sheetFormatPr baseColWidth="10" defaultColWidth="8.83203125" defaultRowHeight="14" x14ac:dyDescent="0.15"/>
  <cols>
    <col min="1" max="1" width="13" style="1" customWidth="1"/>
    <col min="2" max="2" width="11.33203125" style="1" customWidth="1"/>
    <col min="3" max="3" width="12.33203125" style="1" customWidth="1"/>
    <col min="4" max="4" width="9.83203125" style="1" customWidth="1"/>
    <col min="5" max="5" width="9" style="1"/>
  </cols>
  <sheetData>
    <row r="1" spans="1:5" x14ac:dyDescent="0.1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15">
      <c r="A2" s="1">
        <v>1</v>
      </c>
      <c r="B2" s="1">
        <v>4</v>
      </c>
      <c r="C2" s="1">
        <v>5</v>
      </c>
      <c r="D2" s="1">
        <v>6</v>
      </c>
      <c r="E2" s="1">
        <v>4</v>
      </c>
    </row>
    <row r="3" spans="1:5" x14ac:dyDescent="0.15">
      <c r="A3" s="1">
        <v>2</v>
      </c>
      <c r="B3" s="1">
        <v>6</v>
      </c>
      <c r="C3" s="1">
        <v>6</v>
      </c>
      <c r="E3" s="1">
        <v>6</v>
      </c>
    </row>
    <row r="4" spans="1:5" x14ac:dyDescent="0.15">
      <c r="A4" s="1">
        <v>3</v>
      </c>
      <c r="B4" s="1">
        <v>5</v>
      </c>
      <c r="C4" s="1">
        <v>6</v>
      </c>
      <c r="D4" s="1">
        <v>6</v>
      </c>
      <c r="E4" s="1">
        <v>7</v>
      </c>
    </row>
    <row r="5" spans="1:5" x14ac:dyDescent="0.15">
      <c r="A5" s="1">
        <v>4</v>
      </c>
      <c r="B5" s="1">
        <v>4</v>
      </c>
      <c r="C5" s="1">
        <v>7</v>
      </c>
      <c r="D5" s="1">
        <v>5</v>
      </c>
      <c r="E5" s="1">
        <v>4</v>
      </c>
    </row>
    <row r="6" spans="1:5" x14ac:dyDescent="0.15">
      <c r="A6" s="1">
        <v>5</v>
      </c>
      <c r="B6" s="1">
        <v>4</v>
      </c>
      <c r="C6" s="1">
        <v>7</v>
      </c>
      <c r="D6" s="1">
        <v>7</v>
      </c>
      <c r="E6" s="1">
        <v>4</v>
      </c>
    </row>
    <row r="7" spans="1:5" x14ac:dyDescent="0.15">
      <c r="A7" s="1">
        <v>6</v>
      </c>
      <c r="B7" s="1">
        <v>3</v>
      </c>
      <c r="C7" s="1">
        <v>5</v>
      </c>
      <c r="D7" s="1">
        <v>6</v>
      </c>
      <c r="E7" s="1">
        <v>7</v>
      </c>
    </row>
    <row r="8" spans="1:5" x14ac:dyDescent="0.15">
      <c r="A8" s="1">
        <v>7</v>
      </c>
      <c r="B8" s="1">
        <v>3</v>
      </c>
      <c r="C8" s="1">
        <v>5</v>
      </c>
      <c r="D8" s="1">
        <v>6</v>
      </c>
      <c r="E8" s="1">
        <v>6</v>
      </c>
    </row>
    <row r="9" spans="1:5" x14ac:dyDescent="0.15">
      <c r="A9" s="1">
        <v>8</v>
      </c>
      <c r="B9" s="1">
        <v>4</v>
      </c>
      <c r="C9" s="1">
        <v>5</v>
      </c>
      <c r="D9" s="1">
        <v>7</v>
      </c>
      <c r="E9" s="1">
        <v>7</v>
      </c>
    </row>
    <row r="10" spans="1:5" x14ac:dyDescent="0.15">
      <c r="A10" s="1">
        <v>9</v>
      </c>
      <c r="B10" s="1">
        <v>5</v>
      </c>
      <c r="C10" s="1">
        <v>5</v>
      </c>
      <c r="D10" s="1">
        <v>6</v>
      </c>
      <c r="E10" s="1">
        <v>3</v>
      </c>
    </row>
    <row r="11" spans="1:5" x14ac:dyDescent="0.15">
      <c r="A11" s="1">
        <v>10</v>
      </c>
      <c r="B11" s="1">
        <v>3</v>
      </c>
      <c r="C11" s="1">
        <v>7</v>
      </c>
      <c r="D11" s="1">
        <v>7</v>
      </c>
      <c r="E11" s="1">
        <v>7</v>
      </c>
    </row>
    <row r="12" spans="1:5" x14ac:dyDescent="0.15">
      <c r="A12" s="1">
        <v>11</v>
      </c>
      <c r="B12" s="1">
        <v>4</v>
      </c>
      <c r="C12" s="1">
        <v>4</v>
      </c>
      <c r="D12" s="1">
        <v>5</v>
      </c>
      <c r="E12" s="1">
        <v>3</v>
      </c>
    </row>
    <row r="13" spans="1:5" x14ac:dyDescent="0.15">
      <c r="A13" s="1">
        <v>12</v>
      </c>
      <c r="B13" s="1">
        <v>4</v>
      </c>
      <c r="C13" s="1">
        <v>5</v>
      </c>
      <c r="D13" s="1">
        <v>6</v>
      </c>
      <c r="E13" s="1">
        <v>7</v>
      </c>
    </row>
    <row r="14" spans="1:5" x14ac:dyDescent="0.15">
      <c r="A14" s="1">
        <v>13</v>
      </c>
      <c r="B14" s="1">
        <v>6</v>
      </c>
      <c r="D14" s="1">
        <v>7</v>
      </c>
      <c r="E14" s="1">
        <v>5</v>
      </c>
    </row>
    <row r="15" spans="1:5" x14ac:dyDescent="0.15">
      <c r="A15" s="1">
        <v>14</v>
      </c>
      <c r="B15" s="1">
        <v>5</v>
      </c>
      <c r="C15" s="1">
        <v>7</v>
      </c>
      <c r="D15" s="1">
        <v>7</v>
      </c>
      <c r="E15" s="1">
        <v>7</v>
      </c>
    </row>
    <row r="16" spans="1:5" x14ac:dyDescent="0.15">
      <c r="A16" s="1">
        <v>15</v>
      </c>
      <c r="B16" s="1">
        <v>3</v>
      </c>
      <c r="C16" s="1">
        <v>5</v>
      </c>
      <c r="D16" s="1">
        <v>5</v>
      </c>
      <c r="E16" s="1">
        <v>5</v>
      </c>
    </row>
    <row r="17" spans="1:5" x14ac:dyDescent="0.15">
      <c r="A17" s="1">
        <v>16</v>
      </c>
      <c r="B17" s="1">
        <v>6</v>
      </c>
      <c r="C17" s="1">
        <v>4</v>
      </c>
      <c r="D17" s="1">
        <v>5</v>
      </c>
      <c r="E17" s="1">
        <v>6</v>
      </c>
    </row>
    <row r="18" spans="1:5" x14ac:dyDescent="0.15">
      <c r="A18" s="1">
        <v>17</v>
      </c>
      <c r="B18" s="1">
        <v>4</v>
      </c>
      <c r="C18" s="1">
        <v>5</v>
      </c>
      <c r="D18" s="1">
        <v>5</v>
      </c>
      <c r="E18" s="1">
        <v>5</v>
      </c>
    </row>
    <row r="19" spans="1:5" x14ac:dyDescent="0.15">
      <c r="A19" s="1">
        <v>18</v>
      </c>
      <c r="B19" s="1">
        <v>3</v>
      </c>
      <c r="C19" s="1">
        <v>6</v>
      </c>
      <c r="D19" s="1">
        <v>7</v>
      </c>
      <c r="E19" s="1">
        <v>6</v>
      </c>
    </row>
    <row r="20" spans="1:5" x14ac:dyDescent="0.15">
      <c r="A20" s="1">
        <v>19</v>
      </c>
      <c r="B20" s="1">
        <v>4</v>
      </c>
      <c r="C20" s="1">
        <v>7</v>
      </c>
      <c r="D20" s="1">
        <v>5</v>
      </c>
      <c r="E20" s="1">
        <v>3</v>
      </c>
    </row>
    <row r="21" spans="1:5" x14ac:dyDescent="0.15">
      <c r="A21" s="1">
        <v>20</v>
      </c>
      <c r="B21" s="1">
        <v>5</v>
      </c>
      <c r="C21" s="1">
        <v>7</v>
      </c>
      <c r="D21" s="1">
        <v>6</v>
      </c>
      <c r="E21" s="1">
        <v>3</v>
      </c>
    </row>
    <row r="22" spans="1:5" x14ac:dyDescent="0.15">
      <c r="A22" s="1">
        <v>21</v>
      </c>
      <c r="B22" s="1">
        <v>6</v>
      </c>
      <c r="C22" s="1">
        <v>6</v>
      </c>
      <c r="D22" s="1">
        <v>5</v>
      </c>
      <c r="E22" s="1">
        <v>4</v>
      </c>
    </row>
    <row r="23" spans="1:5" x14ac:dyDescent="0.15">
      <c r="A23" s="1">
        <v>22</v>
      </c>
      <c r="B23" s="1">
        <v>5</v>
      </c>
      <c r="C23" s="1">
        <v>7</v>
      </c>
      <c r="D23" s="1">
        <v>6</v>
      </c>
      <c r="E23" s="1">
        <v>7</v>
      </c>
    </row>
    <row r="24" spans="1:5" x14ac:dyDescent="0.15">
      <c r="A24" s="1">
        <v>23</v>
      </c>
      <c r="B24" s="1">
        <v>4</v>
      </c>
      <c r="C24" s="1">
        <v>5</v>
      </c>
      <c r="D24" s="1">
        <v>7</v>
      </c>
      <c r="E24" s="1">
        <v>4</v>
      </c>
    </row>
    <row r="25" spans="1:5" x14ac:dyDescent="0.15">
      <c r="A25" s="1">
        <v>24</v>
      </c>
      <c r="B25" s="1">
        <v>6</v>
      </c>
      <c r="C25" s="1">
        <v>4</v>
      </c>
      <c r="D25" s="1">
        <v>5</v>
      </c>
      <c r="E25" s="1">
        <v>6</v>
      </c>
    </row>
    <row r="26" spans="1:5" x14ac:dyDescent="0.15">
      <c r="A26" s="1">
        <v>25</v>
      </c>
      <c r="B26" s="1">
        <v>6</v>
      </c>
      <c r="C26" s="1">
        <v>7</v>
      </c>
      <c r="D26" s="1">
        <v>6</v>
      </c>
      <c r="E26" s="1">
        <v>7</v>
      </c>
    </row>
    <row r="27" spans="1:5" x14ac:dyDescent="0.15">
      <c r="A27" s="1">
        <v>26</v>
      </c>
      <c r="B27" s="1">
        <v>6</v>
      </c>
      <c r="C27" s="1">
        <v>7</v>
      </c>
      <c r="D27" s="1">
        <v>5</v>
      </c>
    </row>
    <row r="28" spans="1:5" x14ac:dyDescent="0.15">
      <c r="A28" s="1">
        <v>27</v>
      </c>
      <c r="B28" s="1">
        <v>5</v>
      </c>
      <c r="C28" s="1">
        <v>7</v>
      </c>
      <c r="D28" s="1">
        <v>5</v>
      </c>
      <c r="E28" s="1">
        <v>7</v>
      </c>
    </row>
    <row r="29" spans="1:5" x14ac:dyDescent="0.15">
      <c r="A29" s="1">
        <v>28</v>
      </c>
      <c r="B29" s="1">
        <v>6</v>
      </c>
      <c r="C29" s="1">
        <v>5</v>
      </c>
      <c r="D29" s="1">
        <v>5</v>
      </c>
      <c r="E29" s="1">
        <v>6</v>
      </c>
    </row>
    <row r="30" spans="1:5" x14ac:dyDescent="0.15">
      <c r="A30" s="1">
        <v>29</v>
      </c>
      <c r="B30" s="1">
        <v>3</v>
      </c>
      <c r="C30" s="1">
        <v>5</v>
      </c>
      <c r="D30" s="1">
        <v>6</v>
      </c>
      <c r="E30" s="1">
        <v>3</v>
      </c>
    </row>
    <row r="31" spans="1:5" x14ac:dyDescent="0.15">
      <c r="A31" s="1">
        <v>30</v>
      </c>
      <c r="B31" s="1">
        <v>6</v>
      </c>
      <c r="C31" s="1">
        <v>4</v>
      </c>
      <c r="D31" s="1">
        <v>7</v>
      </c>
      <c r="E31" s="1">
        <v>3</v>
      </c>
    </row>
    <row r="32" spans="1:5" x14ac:dyDescent="0.15">
      <c r="A32" s="1">
        <v>31</v>
      </c>
      <c r="B32" s="1">
        <v>4</v>
      </c>
      <c r="C32" s="1">
        <v>6</v>
      </c>
      <c r="D32" s="1">
        <v>6</v>
      </c>
      <c r="E32" s="1">
        <v>4</v>
      </c>
    </row>
    <row r="33" spans="1:5" x14ac:dyDescent="0.15">
      <c r="A33" s="1">
        <v>32</v>
      </c>
      <c r="B33" s="1">
        <v>4</v>
      </c>
      <c r="C33" s="1">
        <v>5</v>
      </c>
      <c r="D33" s="1">
        <v>5</v>
      </c>
      <c r="E33" s="1">
        <v>6</v>
      </c>
    </row>
    <row r="34" spans="1:5" x14ac:dyDescent="0.15">
      <c r="A34" s="1">
        <v>33</v>
      </c>
      <c r="B34" s="1">
        <v>3</v>
      </c>
      <c r="C34" s="1">
        <v>5</v>
      </c>
      <c r="D34" s="1">
        <v>6</v>
      </c>
      <c r="E34" s="1">
        <v>5</v>
      </c>
    </row>
    <row r="35" spans="1:5" x14ac:dyDescent="0.15">
      <c r="A35" s="1">
        <v>34</v>
      </c>
      <c r="B35" s="1">
        <v>5</v>
      </c>
      <c r="C35" s="1">
        <v>7</v>
      </c>
      <c r="D35" s="1">
        <v>7</v>
      </c>
      <c r="E35" s="1">
        <v>6</v>
      </c>
    </row>
    <row r="36" spans="1:5" x14ac:dyDescent="0.15">
      <c r="A36" s="1">
        <v>35</v>
      </c>
      <c r="B36" s="1">
        <v>4</v>
      </c>
      <c r="C36" s="1">
        <v>6</v>
      </c>
      <c r="D36" s="1">
        <v>6</v>
      </c>
      <c r="E36" s="1">
        <v>4</v>
      </c>
    </row>
    <row r="37" spans="1:5" x14ac:dyDescent="0.15">
      <c r="A37" s="1">
        <v>36</v>
      </c>
      <c r="B37" s="1">
        <v>3</v>
      </c>
      <c r="C37" s="1">
        <v>5</v>
      </c>
      <c r="D37" s="1">
        <v>5</v>
      </c>
      <c r="E37" s="1">
        <v>6</v>
      </c>
    </row>
    <row r="38" spans="1:5" x14ac:dyDescent="0.15">
      <c r="A38" s="1">
        <v>37</v>
      </c>
      <c r="B38" s="1">
        <v>3</v>
      </c>
      <c r="C38" s="1">
        <v>4</v>
      </c>
      <c r="D38" s="1">
        <v>5</v>
      </c>
      <c r="E38" s="1">
        <v>3</v>
      </c>
    </row>
    <row r="39" spans="1:5" x14ac:dyDescent="0.15">
      <c r="A39" s="1">
        <v>38</v>
      </c>
      <c r="B39" s="1">
        <v>4</v>
      </c>
      <c r="C39" s="1">
        <v>7</v>
      </c>
      <c r="D39" s="1">
        <v>6</v>
      </c>
      <c r="E39" s="1">
        <v>7</v>
      </c>
    </row>
    <row r="40" spans="1:5" x14ac:dyDescent="0.15">
      <c r="A40" s="1">
        <v>39</v>
      </c>
      <c r="B40" s="1">
        <v>4</v>
      </c>
      <c r="C40" s="1">
        <v>4</v>
      </c>
      <c r="D40" s="1">
        <v>7</v>
      </c>
      <c r="E40" s="1">
        <v>7</v>
      </c>
    </row>
    <row r="41" spans="1:5" x14ac:dyDescent="0.15">
      <c r="A41" s="1">
        <v>40</v>
      </c>
      <c r="B41" s="1">
        <v>3</v>
      </c>
      <c r="C41" s="1">
        <v>5</v>
      </c>
      <c r="D41" s="1">
        <v>7</v>
      </c>
      <c r="E41" s="1">
        <v>7</v>
      </c>
    </row>
    <row r="42" spans="1:5" x14ac:dyDescent="0.15">
      <c r="A42" s="1">
        <v>41</v>
      </c>
      <c r="B42" s="1">
        <v>6</v>
      </c>
      <c r="C42" s="1">
        <v>4</v>
      </c>
      <c r="D42" s="1">
        <v>5</v>
      </c>
      <c r="E42" s="1">
        <v>3</v>
      </c>
    </row>
    <row r="43" spans="1:5" x14ac:dyDescent="0.15">
      <c r="A43" s="1">
        <v>42</v>
      </c>
      <c r="B43" s="1">
        <v>4</v>
      </c>
      <c r="C43" s="1">
        <v>5</v>
      </c>
      <c r="D43" s="1">
        <v>6</v>
      </c>
      <c r="E43" s="1">
        <v>5</v>
      </c>
    </row>
    <row r="44" spans="1:5" x14ac:dyDescent="0.15">
      <c r="A44" s="1">
        <v>43</v>
      </c>
      <c r="B44" s="1">
        <v>4</v>
      </c>
      <c r="C44" s="1">
        <v>5</v>
      </c>
      <c r="D44" s="1">
        <v>7</v>
      </c>
      <c r="E44" s="1">
        <v>7</v>
      </c>
    </row>
    <row r="45" spans="1:5" x14ac:dyDescent="0.15">
      <c r="A45" s="1">
        <v>44</v>
      </c>
      <c r="B45" s="1">
        <v>3</v>
      </c>
      <c r="C45" s="1">
        <v>6</v>
      </c>
      <c r="D45" s="1">
        <v>7</v>
      </c>
      <c r="E45" s="1">
        <v>3</v>
      </c>
    </row>
    <row r="46" spans="1:5" x14ac:dyDescent="0.15">
      <c r="A46" s="1">
        <v>45</v>
      </c>
      <c r="B46" s="1">
        <v>5</v>
      </c>
      <c r="C46" s="1">
        <v>6</v>
      </c>
      <c r="D46" s="1">
        <v>7</v>
      </c>
      <c r="E46" s="1">
        <v>3</v>
      </c>
    </row>
    <row r="47" spans="1:5" x14ac:dyDescent="0.15">
      <c r="A47" s="1">
        <v>46</v>
      </c>
      <c r="B47" s="1">
        <v>6</v>
      </c>
      <c r="C47" s="1">
        <v>6</v>
      </c>
      <c r="D47" s="1">
        <v>7</v>
      </c>
      <c r="E47" s="1">
        <v>5</v>
      </c>
    </row>
    <row r="48" spans="1:5" x14ac:dyDescent="0.15">
      <c r="A48" s="1">
        <v>47</v>
      </c>
      <c r="B48" s="1">
        <v>6</v>
      </c>
      <c r="C48" s="1">
        <v>7</v>
      </c>
      <c r="D48" s="1">
        <v>7</v>
      </c>
      <c r="E48" s="1">
        <v>5</v>
      </c>
    </row>
    <row r="49" spans="1:5" x14ac:dyDescent="0.15">
      <c r="A49" s="1">
        <v>48</v>
      </c>
      <c r="B49" s="1">
        <v>3</v>
      </c>
      <c r="C49" s="1">
        <v>6</v>
      </c>
      <c r="D49" s="1">
        <v>5</v>
      </c>
      <c r="E49" s="1">
        <v>3</v>
      </c>
    </row>
    <row r="50" spans="1:5" x14ac:dyDescent="0.15">
      <c r="A50" s="1">
        <v>49</v>
      </c>
      <c r="B50" s="1">
        <v>5</v>
      </c>
      <c r="C50" s="1">
        <v>6</v>
      </c>
      <c r="D50" s="1">
        <v>6</v>
      </c>
      <c r="E50" s="1">
        <v>4</v>
      </c>
    </row>
    <row r="51" spans="1:5" x14ac:dyDescent="0.15">
      <c r="A51" s="1">
        <v>50</v>
      </c>
      <c r="B51" s="1">
        <v>6</v>
      </c>
      <c r="C51" s="1">
        <v>4</v>
      </c>
      <c r="D51" s="1">
        <v>5</v>
      </c>
      <c r="E51" s="1">
        <v>3</v>
      </c>
    </row>
    <row r="52" spans="1:5" x14ac:dyDescent="0.15">
      <c r="A52" s="1">
        <v>51</v>
      </c>
      <c r="B52" s="1">
        <v>5</v>
      </c>
      <c r="C52" s="1">
        <v>5</v>
      </c>
      <c r="D52" s="1">
        <v>7</v>
      </c>
      <c r="E52" s="1">
        <v>4</v>
      </c>
    </row>
    <row r="53" spans="1:5" x14ac:dyDescent="0.15">
      <c r="A53" s="1">
        <v>52</v>
      </c>
      <c r="B53" s="1">
        <v>4</v>
      </c>
      <c r="C53" s="1">
        <v>6</v>
      </c>
      <c r="D53" s="1">
        <v>5</v>
      </c>
      <c r="E53" s="1">
        <v>7</v>
      </c>
    </row>
    <row r="54" spans="1:5" x14ac:dyDescent="0.15">
      <c r="A54" s="1">
        <v>53</v>
      </c>
      <c r="B54" s="1">
        <v>4</v>
      </c>
      <c r="C54" s="1">
        <v>6</v>
      </c>
      <c r="D54" s="1">
        <v>6</v>
      </c>
      <c r="E54" s="1">
        <v>6</v>
      </c>
    </row>
    <row r="55" spans="1:5" x14ac:dyDescent="0.15">
      <c r="A55" s="1">
        <v>54</v>
      </c>
      <c r="B55" s="1">
        <v>5</v>
      </c>
      <c r="C55" s="1">
        <v>7</v>
      </c>
      <c r="D55" s="1">
        <v>6</v>
      </c>
      <c r="E55" s="1">
        <v>4</v>
      </c>
    </row>
    <row r="56" spans="1:5" x14ac:dyDescent="0.15">
      <c r="A56" s="1">
        <v>55</v>
      </c>
      <c r="B56" s="1">
        <v>5</v>
      </c>
      <c r="C56" s="1">
        <v>6</v>
      </c>
      <c r="D56" s="1">
        <v>5</v>
      </c>
      <c r="E56" s="1">
        <v>6</v>
      </c>
    </row>
    <row r="57" spans="1:5" x14ac:dyDescent="0.15">
      <c r="A57" s="1">
        <v>56</v>
      </c>
      <c r="B57" s="1">
        <v>5</v>
      </c>
      <c r="C57" s="1">
        <v>6</v>
      </c>
      <c r="D57" s="1">
        <v>7</v>
      </c>
      <c r="E57" s="1">
        <v>6</v>
      </c>
    </row>
    <row r="58" spans="1:5" x14ac:dyDescent="0.15">
      <c r="A58" s="1">
        <v>57</v>
      </c>
      <c r="B58" s="1">
        <v>6</v>
      </c>
      <c r="C58" s="1">
        <v>5</v>
      </c>
      <c r="D58" s="1">
        <v>6</v>
      </c>
      <c r="E58" s="1">
        <v>4</v>
      </c>
    </row>
    <row r="59" spans="1:5" x14ac:dyDescent="0.15">
      <c r="A59" s="1">
        <v>58</v>
      </c>
      <c r="B59" s="1">
        <v>4</v>
      </c>
      <c r="C59" s="1">
        <v>4</v>
      </c>
      <c r="D59" s="1">
        <v>6</v>
      </c>
      <c r="E59" s="1">
        <v>4</v>
      </c>
    </row>
    <row r="60" spans="1:5" x14ac:dyDescent="0.15">
      <c r="A60" s="1">
        <v>59</v>
      </c>
      <c r="B60" s="1">
        <v>6</v>
      </c>
      <c r="C60" s="1">
        <v>4</v>
      </c>
      <c r="D60" s="1">
        <v>6</v>
      </c>
      <c r="E60" s="1">
        <v>5</v>
      </c>
    </row>
    <row r="61" spans="1:5" x14ac:dyDescent="0.15">
      <c r="A61" s="1">
        <v>60</v>
      </c>
      <c r="B61" s="1">
        <v>4</v>
      </c>
      <c r="C61" s="1">
        <v>7</v>
      </c>
      <c r="D61" s="1">
        <v>6</v>
      </c>
      <c r="E61" s="1">
        <v>6</v>
      </c>
    </row>
    <row r="62" spans="1:5" x14ac:dyDescent="0.15">
      <c r="A62" s="1">
        <v>61</v>
      </c>
      <c r="B62" s="1">
        <v>5</v>
      </c>
      <c r="C62" s="1">
        <v>5</v>
      </c>
      <c r="D62" s="1">
        <v>7</v>
      </c>
      <c r="E62" s="1">
        <v>4</v>
      </c>
    </row>
    <row r="63" spans="1:5" x14ac:dyDescent="0.15">
      <c r="A63" s="1">
        <v>62</v>
      </c>
      <c r="B63" s="1">
        <v>4</v>
      </c>
      <c r="C63" s="1">
        <v>5</v>
      </c>
      <c r="D63" s="1">
        <v>6</v>
      </c>
      <c r="E63" s="1">
        <v>7</v>
      </c>
    </row>
    <row r="64" spans="1:5" x14ac:dyDescent="0.15">
      <c r="A64" s="1">
        <v>63</v>
      </c>
      <c r="B64" s="1">
        <v>4</v>
      </c>
      <c r="C64" s="1">
        <v>4</v>
      </c>
      <c r="D64" s="1">
        <v>7</v>
      </c>
      <c r="E64" s="1">
        <v>4</v>
      </c>
    </row>
    <row r="65" spans="1:5" x14ac:dyDescent="0.15">
      <c r="A65" s="1">
        <v>64</v>
      </c>
      <c r="B65" s="1">
        <v>3</v>
      </c>
      <c r="C65" s="1">
        <v>5</v>
      </c>
      <c r="D65" s="1">
        <v>5</v>
      </c>
      <c r="E65" s="1">
        <v>6</v>
      </c>
    </row>
    <row r="66" spans="1:5" x14ac:dyDescent="0.15">
      <c r="A66" s="1">
        <v>65</v>
      </c>
      <c r="B66" s="1">
        <v>5</v>
      </c>
      <c r="C66" s="1">
        <v>7</v>
      </c>
      <c r="D66" s="1">
        <v>6</v>
      </c>
      <c r="E66" s="1">
        <v>5</v>
      </c>
    </row>
    <row r="67" spans="1:5" x14ac:dyDescent="0.15">
      <c r="A67" s="1">
        <v>66</v>
      </c>
      <c r="B67" s="1">
        <v>3</v>
      </c>
      <c r="C67" s="1">
        <v>6</v>
      </c>
      <c r="D67" s="1">
        <v>5</v>
      </c>
      <c r="E67" s="1">
        <v>3</v>
      </c>
    </row>
    <row r="68" spans="1:5" x14ac:dyDescent="0.15">
      <c r="A68" s="1">
        <v>67</v>
      </c>
      <c r="B68" s="1">
        <v>3</v>
      </c>
      <c r="C68" s="1">
        <v>7</v>
      </c>
      <c r="D68" s="1">
        <v>5</v>
      </c>
      <c r="E68" s="1">
        <v>7</v>
      </c>
    </row>
    <row r="69" spans="1:5" x14ac:dyDescent="0.15">
      <c r="A69" s="1">
        <v>68</v>
      </c>
      <c r="B69" s="1">
        <v>5</v>
      </c>
      <c r="C69" s="1">
        <v>4</v>
      </c>
      <c r="D69" s="1">
        <v>6</v>
      </c>
      <c r="E69" s="1">
        <v>3</v>
      </c>
    </row>
    <row r="70" spans="1:5" x14ac:dyDescent="0.15">
      <c r="A70" s="1">
        <v>69</v>
      </c>
      <c r="B70" s="1">
        <v>3</v>
      </c>
      <c r="C70" s="1">
        <v>6</v>
      </c>
      <c r="D70" s="1">
        <v>7</v>
      </c>
      <c r="E70" s="1">
        <v>4</v>
      </c>
    </row>
    <row r="71" spans="1:5" x14ac:dyDescent="0.15">
      <c r="A71" s="1">
        <v>70</v>
      </c>
      <c r="B71" s="1">
        <v>6</v>
      </c>
      <c r="C71" s="1">
        <v>6</v>
      </c>
      <c r="D71" s="1">
        <v>7</v>
      </c>
      <c r="E71" s="1">
        <v>6</v>
      </c>
    </row>
    <row r="72" spans="1:5" x14ac:dyDescent="0.15">
      <c r="A72" s="1">
        <v>71</v>
      </c>
      <c r="B72" s="1">
        <v>6</v>
      </c>
      <c r="C72" s="1">
        <v>5</v>
      </c>
      <c r="D72" s="1">
        <v>6</v>
      </c>
      <c r="E72" s="1">
        <v>3</v>
      </c>
    </row>
    <row r="73" spans="1:5" x14ac:dyDescent="0.15">
      <c r="A73" s="1">
        <v>72</v>
      </c>
      <c r="B73" s="1">
        <v>5</v>
      </c>
      <c r="C73" s="1">
        <v>4</v>
      </c>
      <c r="D73" s="1">
        <v>6</v>
      </c>
      <c r="E73" s="1">
        <v>5</v>
      </c>
    </row>
    <row r="74" spans="1:5" x14ac:dyDescent="0.15">
      <c r="A74" s="1">
        <v>73</v>
      </c>
      <c r="B74" s="1">
        <v>4</v>
      </c>
      <c r="C74" s="1">
        <v>6</v>
      </c>
      <c r="D74" s="1">
        <v>6</v>
      </c>
      <c r="E74" s="1">
        <v>7</v>
      </c>
    </row>
    <row r="75" spans="1:5" x14ac:dyDescent="0.15">
      <c r="A75" s="1">
        <v>74</v>
      </c>
      <c r="B75" s="1">
        <v>4</v>
      </c>
      <c r="C75" s="1">
        <v>6</v>
      </c>
      <c r="D75" s="1">
        <v>7</v>
      </c>
      <c r="E75" s="1">
        <v>3</v>
      </c>
    </row>
    <row r="76" spans="1:5" x14ac:dyDescent="0.15">
      <c r="A76" s="1">
        <v>75</v>
      </c>
      <c r="B76" s="1">
        <v>3</v>
      </c>
      <c r="C76" s="1">
        <v>6</v>
      </c>
      <c r="D76" s="1">
        <v>7</v>
      </c>
      <c r="E76" s="1">
        <v>6</v>
      </c>
    </row>
    <row r="77" spans="1:5" x14ac:dyDescent="0.15">
      <c r="A77" s="1">
        <v>76</v>
      </c>
      <c r="B77" s="1">
        <v>6</v>
      </c>
      <c r="C77" s="1">
        <v>6</v>
      </c>
      <c r="D77" s="1">
        <v>6</v>
      </c>
      <c r="E77" s="1">
        <v>5</v>
      </c>
    </row>
    <row r="78" spans="1:5" x14ac:dyDescent="0.15">
      <c r="A78" s="1">
        <v>77</v>
      </c>
      <c r="B78" s="1">
        <v>6</v>
      </c>
      <c r="C78" s="1">
        <v>4</v>
      </c>
      <c r="D78" s="1">
        <v>7</v>
      </c>
      <c r="E78" s="1">
        <v>5</v>
      </c>
    </row>
    <row r="79" spans="1:5" x14ac:dyDescent="0.15">
      <c r="A79" s="1">
        <v>78</v>
      </c>
      <c r="B79" s="1">
        <v>5</v>
      </c>
      <c r="C79" s="1">
        <v>5</v>
      </c>
      <c r="D79" s="1">
        <v>5</v>
      </c>
      <c r="E79" s="1">
        <v>7</v>
      </c>
    </row>
    <row r="80" spans="1:5" x14ac:dyDescent="0.15">
      <c r="A80" s="1">
        <v>79</v>
      </c>
      <c r="B80" s="1">
        <v>4</v>
      </c>
      <c r="C80" s="1">
        <v>5</v>
      </c>
      <c r="D80" s="1">
        <v>7</v>
      </c>
      <c r="E80" s="1">
        <v>3</v>
      </c>
    </row>
    <row r="81" spans="1:5" x14ac:dyDescent="0.15">
      <c r="A81" s="1">
        <v>80</v>
      </c>
      <c r="B81" s="1">
        <v>3</v>
      </c>
      <c r="C81" s="1">
        <v>7</v>
      </c>
      <c r="D81" s="1">
        <v>7</v>
      </c>
      <c r="E81" s="1">
        <v>7</v>
      </c>
    </row>
    <row r="82" spans="1:5" x14ac:dyDescent="0.15">
      <c r="A82" s="1">
        <v>81</v>
      </c>
      <c r="B82" s="1">
        <v>6</v>
      </c>
      <c r="C82" s="1">
        <v>5</v>
      </c>
      <c r="D82" s="1">
        <v>6</v>
      </c>
      <c r="E82" s="1">
        <v>6</v>
      </c>
    </row>
    <row r="83" spans="1:5" x14ac:dyDescent="0.15">
      <c r="A83" s="1">
        <v>82</v>
      </c>
      <c r="B83" s="1">
        <v>3</v>
      </c>
      <c r="C83" s="1">
        <v>6</v>
      </c>
      <c r="D83" s="1">
        <v>7</v>
      </c>
      <c r="E83" s="1">
        <v>5</v>
      </c>
    </row>
    <row r="84" spans="1:5" x14ac:dyDescent="0.15">
      <c r="A84" s="1">
        <v>83</v>
      </c>
      <c r="B84" s="1">
        <v>4</v>
      </c>
      <c r="C84" s="1">
        <v>5</v>
      </c>
      <c r="D84" s="1">
        <v>6</v>
      </c>
      <c r="E84" s="1">
        <v>6</v>
      </c>
    </row>
    <row r="85" spans="1:5" x14ac:dyDescent="0.15">
      <c r="A85" s="1">
        <v>84</v>
      </c>
      <c r="B85" s="1">
        <v>4</v>
      </c>
      <c r="C85" s="1">
        <v>4</v>
      </c>
      <c r="D85" s="1">
        <v>7</v>
      </c>
      <c r="E85" s="1">
        <v>5</v>
      </c>
    </row>
    <row r="86" spans="1:5" x14ac:dyDescent="0.15">
      <c r="A86" s="1">
        <v>85</v>
      </c>
      <c r="B86" s="1">
        <v>3</v>
      </c>
      <c r="C86" s="1">
        <v>6</v>
      </c>
      <c r="D86" s="1">
        <v>5</v>
      </c>
      <c r="E86" s="1">
        <v>5</v>
      </c>
    </row>
    <row r="87" spans="1:5" x14ac:dyDescent="0.15">
      <c r="A87" s="1">
        <v>86</v>
      </c>
      <c r="B87" s="1">
        <v>3</v>
      </c>
      <c r="C87" s="1">
        <v>6</v>
      </c>
      <c r="D87" s="1">
        <v>5</v>
      </c>
      <c r="E87" s="1">
        <v>5</v>
      </c>
    </row>
    <row r="88" spans="1:5" x14ac:dyDescent="0.15">
      <c r="A88" s="1">
        <v>87</v>
      </c>
      <c r="B88" s="1">
        <v>4</v>
      </c>
      <c r="C88" s="1">
        <v>6</v>
      </c>
      <c r="D88" s="1">
        <v>7</v>
      </c>
      <c r="E88" s="1">
        <v>5</v>
      </c>
    </row>
    <row r="89" spans="1:5" x14ac:dyDescent="0.15">
      <c r="A89" s="1">
        <v>88</v>
      </c>
      <c r="B89" s="1">
        <v>3</v>
      </c>
      <c r="C89" s="1">
        <v>5</v>
      </c>
      <c r="D89" s="1">
        <v>7</v>
      </c>
      <c r="E89" s="1">
        <v>5</v>
      </c>
    </row>
    <row r="90" spans="1:5" x14ac:dyDescent="0.15">
      <c r="A90" s="1">
        <v>89</v>
      </c>
      <c r="B90" s="1">
        <v>4</v>
      </c>
      <c r="C90" s="1">
        <v>5</v>
      </c>
      <c r="D90" s="1">
        <v>5</v>
      </c>
      <c r="E90" s="1">
        <v>5</v>
      </c>
    </row>
    <row r="91" spans="1:5" x14ac:dyDescent="0.15">
      <c r="A91" s="1">
        <v>90</v>
      </c>
      <c r="B91" s="1">
        <v>6</v>
      </c>
      <c r="C91" s="1">
        <v>5</v>
      </c>
      <c r="D91" s="1">
        <v>5</v>
      </c>
      <c r="E91" s="1">
        <v>7</v>
      </c>
    </row>
    <row r="92" spans="1:5" x14ac:dyDescent="0.15">
      <c r="A92" s="1">
        <v>91</v>
      </c>
      <c r="B92" s="1">
        <v>3</v>
      </c>
      <c r="C92" s="1">
        <v>4</v>
      </c>
      <c r="D92" s="1">
        <v>5</v>
      </c>
      <c r="E92" s="1">
        <v>5</v>
      </c>
    </row>
    <row r="93" spans="1:5" x14ac:dyDescent="0.15">
      <c r="A93" s="1">
        <v>92</v>
      </c>
      <c r="B93" s="1">
        <v>3</v>
      </c>
      <c r="C93" s="1">
        <v>4</v>
      </c>
      <c r="D93" s="1">
        <v>6</v>
      </c>
      <c r="E93" s="1">
        <v>7</v>
      </c>
    </row>
    <row r="94" spans="1:5" x14ac:dyDescent="0.15">
      <c r="A94" s="1">
        <v>93</v>
      </c>
      <c r="B94" s="1">
        <v>6</v>
      </c>
      <c r="C94" s="1">
        <v>7</v>
      </c>
      <c r="D94" s="1">
        <v>6</v>
      </c>
      <c r="E94" s="1">
        <v>7</v>
      </c>
    </row>
    <row r="95" spans="1:5" x14ac:dyDescent="0.15">
      <c r="A95" s="1">
        <v>94</v>
      </c>
      <c r="B95" s="1">
        <v>3</v>
      </c>
      <c r="C95" s="1">
        <v>7</v>
      </c>
      <c r="D95" s="1">
        <v>6</v>
      </c>
      <c r="E95" s="1">
        <v>7</v>
      </c>
    </row>
    <row r="96" spans="1:5" x14ac:dyDescent="0.15">
      <c r="A96" s="1">
        <v>95</v>
      </c>
      <c r="B96" s="1">
        <v>4</v>
      </c>
      <c r="C96" s="1">
        <v>5</v>
      </c>
      <c r="D96" s="1">
        <v>5</v>
      </c>
      <c r="E96" s="1">
        <v>3</v>
      </c>
    </row>
    <row r="97" spans="1:5" x14ac:dyDescent="0.15">
      <c r="A97" s="1">
        <v>96</v>
      </c>
      <c r="B97" s="1">
        <v>5</v>
      </c>
      <c r="C97" s="1">
        <v>4</v>
      </c>
      <c r="D97" s="1">
        <v>5</v>
      </c>
      <c r="E97" s="1">
        <v>7</v>
      </c>
    </row>
    <row r="98" spans="1:5" x14ac:dyDescent="0.15">
      <c r="A98" s="1">
        <v>97</v>
      </c>
      <c r="B98" s="1">
        <v>5</v>
      </c>
      <c r="C98" s="1">
        <v>4</v>
      </c>
      <c r="D98" s="1">
        <v>5</v>
      </c>
      <c r="E98" s="1">
        <v>3</v>
      </c>
    </row>
    <row r="99" spans="1:5" x14ac:dyDescent="0.15">
      <c r="A99" s="1">
        <v>98</v>
      </c>
      <c r="B99" s="1">
        <v>4</v>
      </c>
      <c r="C99" s="1">
        <v>5</v>
      </c>
      <c r="D99" s="1">
        <v>7</v>
      </c>
      <c r="E99" s="1">
        <v>7</v>
      </c>
    </row>
    <row r="100" spans="1:5" x14ac:dyDescent="0.15">
      <c r="A100" s="1">
        <v>99</v>
      </c>
      <c r="B100" s="1">
        <v>4</v>
      </c>
      <c r="C100" s="1">
        <v>5</v>
      </c>
      <c r="D100" s="1">
        <v>5</v>
      </c>
      <c r="E100" s="1">
        <v>3</v>
      </c>
    </row>
    <row r="101" spans="1:5" x14ac:dyDescent="0.15">
      <c r="A101" s="1">
        <v>100</v>
      </c>
      <c r="B101" s="1">
        <v>6</v>
      </c>
      <c r="C101" s="1">
        <v>6</v>
      </c>
      <c r="E101" s="1">
        <v>3</v>
      </c>
    </row>
    <row r="102" spans="1:5" x14ac:dyDescent="0.15">
      <c r="A102" s="1">
        <v>101</v>
      </c>
      <c r="B102" s="1">
        <v>6</v>
      </c>
      <c r="C102" s="1">
        <v>7</v>
      </c>
      <c r="D102" s="1">
        <v>6</v>
      </c>
      <c r="E102" s="1">
        <v>6</v>
      </c>
    </row>
    <row r="103" spans="1:5" x14ac:dyDescent="0.15">
      <c r="A103" s="1">
        <v>102</v>
      </c>
      <c r="B103" s="1">
        <v>4</v>
      </c>
      <c r="C103" s="1">
        <v>7</v>
      </c>
      <c r="D103" s="1">
        <v>7</v>
      </c>
      <c r="E103" s="1">
        <v>6</v>
      </c>
    </row>
    <row r="104" spans="1:5" x14ac:dyDescent="0.15">
      <c r="A104" s="1">
        <v>103</v>
      </c>
      <c r="B104" s="1">
        <v>6</v>
      </c>
      <c r="C104" s="1">
        <v>5</v>
      </c>
      <c r="D104" s="1">
        <v>5</v>
      </c>
      <c r="E104" s="1">
        <v>3</v>
      </c>
    </row>
    <row r="105" spans="1:5" x14ac:dyDescent="0.15">
      <c r="A105" s="1">
        <v>104</v>
      </c>
      <c r="B105" s="1">
        <v>5</v>
      </c>
      <c r="C105" s="1">
        <v>4</v>
      </c>
      <c r="D105" s="1">
        <v>6</v>
      </c>
      <c r="E105" s="1">
        <v>4</v>
      </c>
    </row>
    <row r="106" spans="1:5" x14ac:dyDescent="0.15">
      <c r="A106" s="1">
        <v>105</v>
      </c>
      <c r="B106" s="1">
        <v>5</v>
      </c>
      <c r="C106" s="1">
        <v>7</v>
      </c>
      <c r="D106" s="1">
        <v>5</v>
      </c>
      <c r="E106" s="1">
        <v>5</v>
      </c>
    </row>
    <row r="107" spans="1:5" x14ac:dyDescent="0.15">
      <c r="A107" s="1">
        <v>106</v>
      </c>
      <c r="B107" s="1">
        <v>3</v>
      </c>
      <c r="C107" s="1">
        <v>4</v>
      </c>
      <c r="D107" s="1">
        <v>6</v>
      </c>
      <c r="E107" s="1">
        <v>7</v>
      </c>
    </row>
    <row r="108" spans="1:5" x14ac:dyDescent="0.15">
      <c r="A108" s="1">
        <v>107</v>
      </c>
      <c r="B108" s="1">
        <v>4</v>
      </c>
      <c r="C108" s="1">
        <v>6</v>
      </c>
      <c r="D108" s="1">
        <v>7</v>
      </c>
      <c r="E108" s="1">
        <v>3</v>
      </c>
    </row>
    <row r="109" spans="1:5" x14ac:dyDescent="0.15">
      <c r="A109" s="1">
        <v>108</v>
      </c>
      <c r="B109" s="1">
        <v>3</v>
      </c>
      <c r="C109" s="1">
        <v>6</v>
      </c>
      <c r="D109" s="1">
        <v>6</v>
      </c>
      <c r="E109" s="1">
        <v>6</v>
      </c>
    </row>
    <row r="110" spans="1:5" x14ac:dyDescent="0.15">
      <c r="A110" s="1">
        <v>109</v>
      </c>
      <c r="B110" s="1">
        <v>4</v>
      </c>
      <c r="C110" s="1">
        <v>5</v>
      </c>
      <c r="D110" s="1">
        <v>5</v>
      </c>
      <c r="E110" s="1">
        <v>4</v>
      </c>
    </row>
    <row r="111" spans="1:5" x14ac:dyDescent="0.15">
      <c r="A111" s="1">
        <v>110</v>
      </c>
      <c r="B111" s="1">
        <v>6</v>
      </c>
      <c r="C111" s="1">
        <v>6</v>
      </c>
      <c r="D111" s="1">
        <v>5</v>
      </c>
      <c r="E111" s="1">
        <v>6</v>
      </c>
    </row>
    <row r="112" spans="1:5" x14ac:dyDescent="0.15">
      <c r="A112" s="1">
        <v>111</v>
      </c>
      <c r="B112" s="1">
        <v>3</v>
      </c>
      <c r="C112" s="1">
        <v>6</v>
      </c>
      <c r="D112" s="1">
        <v>6</v>
      </c>
      <c r="E112" s="1">
        <v>4</v>
      </c>
    </row>
    <row r="113" spans="1:5" x14ac:dyDescent="0.15">
      <c r="A113" s="1">
        <v>112</v>
      </c>
      <c r="B113" s="1">
        <v>3</v>
      </c>
      <c r="C113" s="1">
        <v>4</v>
      </c>
      <c r="D113" s="1">
        <v>5</v>
      </c>
      <c r="E113" s="1">
        <v>5</v>
      </c>
    </row>
    <row r="114" spans="1:5" x14ac:dyDescent="0.15">
      <c r="A114" s="1">
        <v>113</v>
      </c>
      <c r="B114" s="1">
        <v>6</v>
      </c>
      <c r="C114" s="1">
        <v>5</v>
      </c>
      <c r="D114" s="1">
        <v>7</v>
      </c>
      <c r="E114" s="1">
        <v>7</v>
      </c>
    </row>
    <row r="115" spans="1:5" x14ac:dyDescent="0.15">
      <c r="A115" s="1">
        <v>114</v>
      </c>
      <c r="B115" s="1">
        <v>6</v>
      </c>
      <c r="C115" s="1">
        <v>5</v>
      </c>
      <c r="D115" s="1">
        <v>5</v>
      </c>
      <c r="E115" s="1">
        <v>5</v>
      </c>
    </row>
    <row r="116" spans="1:5" x14ac:dyDescent="0.15">
      <c r="A116" s="1">
        <v>115</v>
      </c>
      <c r="B116" s="1">
        <v>6</v>
      </c>
      <c r="C116" s="1">
        <v>4</v>
      </c>
      <c r="D116" s="1">
        <v>6</v>
      </c>
      <c r="E116" s="1">
        <v>5</v>
      </c>
    </row>
    <row r="117" spans="1:5" x14ac:dyDescent="0.15">
      <c r="A117" s="1">
        <v>116</v>
      </c>
      <c r="B117" s="1">
        <v>5</v>
      </c>
      <c r="C117" s="1">
        <v>4</v>
      </c>
      <c r="D117" s="1">
        <v>7</v>
      </c>
      <c r="E117" s="1">
        <v>6</v>
      </c>
    </row>
    <row r="118" spans="1:5" x14ac:dyDescent="0.15">
      <c r="A118" s="1">
        <v>117</v>
      </c>
      <c r="B118" s="1">
        <v>3</v>
      </c>
      <c r="C118" s="1">
        <v>5</v>
      </c>
      <c r="D118" s="1">
        <v>5</v>
      </c>
      <c r="E118" s="1">
        <v>7</v>
      </c>
    </row>
    <row r="119" spans="1:5" x14ac:dyDescent="0.15">
      <c r="A119" s="1">
        <v>118</v>
      </c>
      <c r="B119" s="1">
        <v>5</v>
      </c>
      <c r="C119" s="1">
        <v>7</v>
      </c>
      <c r="D119" s="1">
        <v>5</v>
      </c>
      <c r="E119" s="1">
        <v>6</v>
      </c>
    </row>
    <row r="120" spans="1:5" x14ac:dyDescent="0.15">
      <c r="A120" s="1">
        <v>119</v>
      </c>
      <c r="B120" s="1">
        <v>5</v>
      </c>
      <c r="C120" s="1">
        <v>4</v>
      </c>
      <c r="D120" s="1">
        <v>7</v>
      </c>
      <c r="E120" s="1">
        <v>3</v>
      </c>
    </row>
    <row r="121" spans="1:5" x14ac:dyDescent="0.15">
      <c r="A121" s="1">
        <v>120</v>
      </c>
      <c r="B121" s="1">
        <v>5</v>
      </c>
      <c r="C121" s="1">
        <v>4</v>
      </c>
      <c r="D121" s="1">
        <v>7</v>
      </c>
      <c r="E121" s="1">
        <v>5</v>
      </c>
    </row>
    <row r="122" spans="1:5" x14ac:dyDescent="0.15">
      <c r="A122" s="1">
        <v>121</v>
      </c>
      <c r="B122" s="1">
        <v>6</v>
      </c>
      <c r="C122" s="1">
        <v>5</v>
      </c>
      <c r="D122" s="1">
        <v>6</v>
      </c>
      <c r="E122" s="1">
        <v>4</v>
      </c>
    </row>
    <row r="123" spans="1:5" x14ac:dyDescent="0.15">
      <c r="A123" s="1">
        <v>122</v>
      </c>
      <c r="B123" s="1">
        <v>3</v>
      </c>
      <c r="C123" s="1">
        <v>4</v>
      </c>
      <c r="D123" s="1">
        <v>5</v>
      </c>
      <c r="E123" s="1">
        <v>7</v>
      </c>
    </row>
    <row r="124" spans="1:5" x14ac:dyDescent="0.15">
      <c r="A124" s="1">
        <v>123</v>
      </c>
      <c r="B124" s="1">
        <v>5</v>
      </c>
      <c r="C124" s="1">
        <v>7</v>
      </c>
      <c r="D124" s="1">
        <v>6</v>
      </c>
      <c r="E124" s="1">
        <v>6</v>
      </c>
    </row>
    <row r="125" spans="1:5" x14ac:dyDescent="0.15">
      <c r="A125" s="1">
        <v>124</v>
      </c>
      <c r="B125" s="1">
        <v>6</v>
      </c>
      <c r="C125" s="1">
        <v>4</v>
      </c>
      <c r="D125" s="1">
        <v>5</v>
      </c>
      <c r="E125" s="1">
        <v>5</v>
      </c>
    </row>
    <row r="126" spans="1:5" x14ac:dyDescent="0.15">
      <c r="A126" s="1">
        <v>125</v>
      </c>
      <c r="B126" s="1">
        <v>4</v>
      </c>
      <c r="C126" s="1">
        <v>5</v>
      </c>
      <c r="D126" s="1">
        <v>5</v>
      </c>
      <c r="E126" s="1">
        <v>3</v>
      </c>
    </row>
    <row r="127" spans="1:5" x14ac:dyDescent="0.15">
      <c r="A127" s="1">
        <v>126</v>
      </c>
      <c r="B127" s="1">
        <v>3</v>
      </c>
      <c r="C127" s="1">
        <v>6</v>
      </c>
      <c r="D127" s="1">
        <v>7</v>
      </c>
      <c r="E127" s="1">
        <v>5</v>
      </c>
    </row>
    <row r="128" spans="1:5" x14ac:dyDescent="0.15">
      <c r="A128" s="1">
        <v>127</v>
      </c>
      <c r="B128" s="1">
        <v>3</v>
      </c>
      <c r="C128" s="1">
        <v>4</v>
      </c>
      <c r="D128" s="1">
        <v>7</v>
      </c>
      <c r="E128" s="1">
        <v>5</v>
      </c>
    </row>
    <row r="129" spans="1:5" x14ac:dyDescent="0.15">
      <c r="A129" s="1">
        <v>128</v>
      </c>
      <c r="B129" s="1">
        <v>4</v>
      </c>
      <c r="C129" s="1">
        <v>5</v>
      </c>
      <c r="D129" s="1">
        <v>5</v>
      </c>
      <c r="E129" s="1">
        <v>4</v>
      </c>
    </row>
    <row r="130" spans="1:5" x14ac:dyDescent="0.15">
      <c r="A130" s="1">
        <v>129</v>
      </c>
      <c r="B130" s="1">
        <v>3</v>
      </c>
      <c r="C130" s="1">
        <v>4</v>
      </c>
      <c r="D130" s="1">
        <v>7</v>
      </c>
      <c r="E130" s="1">
        <v>3</v>
      </c>
    </row>
    <row r="131" spans="1:5" x14ac:dyDescent="0.15">
      <c r="A131" s="1">
        <v>130</v>
      </c>
      <c r="B131" s="1">
        <v>4</v>
      </c>
      <c r="C131" s="1">
        <v>7</v>
      </c>
      <c r="D131" s="1">
        <v>5</v>
      </c>
      <c r="E131" s="1">
        <v>3</v>
      </c>
    </row>
    <row r="132" spans="1:5" x14ac:dyDescent="0.15">
      <c r="A132" s="1">
        <v>131</v>
      </c>
      <c r="B132" s="1">
        <v>4</v>
      </c>
      <c r="C132" s="1">
        <v>7</v>
      </c>
      <c r="D132" s="1">
        <v>6</v>
      </c>
      <c r="E132" s="1">
        <v>5</v>
      </c>
    </row>
    <row r="133" spans="1:5" x14ac:dyDescent="0.15">
      <c r="A133" s="1">
        <v>132</v>
      </c>
      <c r="B133" s="1">
        <v>3</v>
      </c>
      <c r="C133" s="1">
        <v>5</v>
      </c>
      <c r="D133" s="1">
        <v>6</v>
      </c>
      <c r="E133" s="1">
        <v>3</v>
      </c>
    </row>
    <row r="134" spans="1:5" x14ac:dyDescent="0.15">
      <c r="A134" s="1">
        <v>133</v>
      </c>
      <c r="B134" s="1">
        <v>5</v>
      </c>
      <c r="C134" s="1">
        <v>7</v>
      </c>
      <c r="D134" s="1">
        <v>5</v>
      </c>
      <c r="E134" s="1">
        <v>7</v>
      </c>
    </row>
    <row r="135" spans="1:5" x14ac:dyDescent="0.15">
      <c r="A135" s="1">
        <v>134</v>
      </c>
      <c r="C135" s="1">
        <v>5</v>
      </c>
      <c r="E135" s="1">
        <v>6</v>
      </c>
    </row>
    <row r="136" spans="1:5" x14ac:dyDescent="0.15">
      <c r="A136" s="1">
        <v>135</v>
      </c>
      <c r="B136" s="1">
        <v>6</v>
      </c>
      <c r="C136" s="1">
        <v>6</v>
      </c>
      <c r="D136" s="1">
        <v>5</v>
      </c>
      <c r="E136" s="1">
        <v>7</v>
      </c>
    </row>
    <row r="137" spans="1:5" x14ac:dyDescent="0.15">
      <c r="A137" s="1">
        <v>136</v>
      </c>
      <c r="B137" s="1">
        <v>6</v>
      </c>
      <c r="C137" s="1">
        <v>7</v>
      </c>
      <c r="D137" s="1">
        <v>7</v>
      </c>
      <c r="E137" s="1">
        <v>4</v>
      </c>
    </row>
    <row r="138" spans="1:5" x14ac:dyDescent="0.15">
      <c r="A138" s="1">
        <v>137</v>
      </c>
      <c r="B138" s="1">
        <v>3</v>
      </c>
      <c r="C138" s="1">
        <v>4</v>
      </c>
      <c r="D138" s="1">
        <v>7</v>
      </c>
      <c r="E138" s="1">
        <v>6</v>
      </c>
    </row>
    <row r="139" spans="1:5" x14ac:dyDescent="0.15">
      <c r="A139" s="1">
        <v>138</v>
      </c>
      <c r="B139" s="1">
        <v>5</v>
      </c>
      <c r="C139" s="1">
        <v>7</v>
      </c>
      <c r="D139" s="1">
        <v>5</v>
      </c>
      <c r="E139" s="1">
        <v>6</v>
      </c>
    </row>
    <row r="140" spans="1:5" x14ac:dyDescent="0.15">
      <c r="A140" s="1">
        <v>139</v>
      </c>
      <c r="B140" s="1">
        <v>3</v>
      </c>
      <c r="C140" s="1">
        <v>7</v>
      </c>
      <c r="D140" s="1">
        <v>7</v>
      </c>
      <c r="E140" s="1">
        <v>4</v>
      </c>
    </row>
    <row r="141" spans="1:5" x14ac:dyDescent="0.15">
      <c r="A141" s="1">
        <v>140</v>
      </c>
      <c r="B141" s="1">
        <v>3</v>
      </c>
      <c r="C141" s="1">
        <v>4</v>
      </c>
      <c r="D141" s="1">
        <v>7</v>
      </c>
      <c r="E141" s="1">
        <v>5</v>
      </c>
    </row>
    <row r="142" spans="1:5" x14ac:dyDescent="0.15">
      <c r="A142" s="1">
        <v>141</v>
      </c>
      <c r="B142" s="1">
        <v>4</v>
      </c>
      <c r="C142" s="1">
        <v>6</v>
      </c>
      <c r="D142" s="1">
        <v>5</v>
      </c>
      <c r="E142" s="1">
        <v>6</v>
      </c>
    </row>
    <row r="143" spans="1:5" x14ac:dyDescent="0.15">
      <c r="A143" s="1">
        <v>142</v>
      </c>
      <c r="B143" s="1">
        <v>6</v>
      </c>
      <c r="C143" s="1">
        <v>6</v>
      </c>
      <c r="D143" s="1">
        <v>6</v>
      </c>
      <c r="E143" s="1">
        <v>5</v>
      </c>
    </row>
    <row r="144" spans="1:5" x14ac:dyDescent="0.15">
      <c r="A144" s="1">
        <v>143</v>
      </c>
      <c r="B144" s="1">
        <v>5</v>
      </c>
      <c r="C144" s="1">
        <v>6</v>
      </c>
      <c r="D144" s="1">
        <v>5</v>
      </c>
      <c r="E144" s="1">
        <v>4</v>
      </c>
    </row>
    <row r="145" spans="1:5" x14ac:dyDescent="0.15">
      <c r="A145" s="1">
        <v>144</v>
      </c>
      <c r="B145" s="1">
        <v>5</v>
      </c>
      <c r="C145" s="1">
        <v>6</v>
      </c>
      <c r="D145" s="1">
        <v>6</v>
      </c>
      <c r="E145" s="1">
        <v>6</v>
      </c>
    </row>
    <row r="146" spans="1:5" x14ac:dyDescent="0.15">
      <c r="A146" s="1">
        <v>145</v>
      </c>
      <c r="B146" s="1">
        <v>5</v>
      </c>
      <c r="C146" s="1">
        <v>4</v>
      </c>
      <c r="D146" s="1">
        <v>7</v>
      </c>
      <c r="E146" s="1">
        <v>4</v>
      </c>
    </row>
    <row r="147" spans="1:5" x14ac:dyDescent="0.15">
      <c r="A147" s="1">
        <v>146</v>
      </c>
      <c r="B147" s="1">
        <v>5</v>
      </c>
      <c r="C147" s="1">
        <v>6</v>
      </c>
      <c r="D147" s="1">
        <v>6</v>
      </c>
      <c r="E147" s="1">
        <v>3</v>
      </c>
    </row>
    <row r="148" spans="1:5" x14ac:dyDescent="0.15">
      <c r="A148" s="1">
        <v>147</v>
      </c>
      <c r="B148" s="1">
        <v>4</v>
      </c>
      <c r="C148" s="1">
        <v>6</v>
      </c>
      <c r="D148" s="1">
        <v>5</v>
      </c>
      <c r="E148" s="1">
        <v>6</v>
      </c>
    </row>
    <row r="149" spans="1:5" x14ac:dyDescent="0.15">
      <c r="A149" s="1">
        <v>148</v>
      </c>
      <c r="B149" s="1">
        <v>5</v>
      </c>
      <c r="C149" s="1">
        <v>6</v>
      </c>
      <c r="D149" s="1">
        <v>7</v>
      </c>
      <c r="E149" s="1">
        <v>5</v>
      </c>
    </row>
    <row r="150" spans="1:5" x14ac:dyDescent="0.15">
      <c r="A150" s="1">
        <v>149</v>
      </c>
      <c r="B150" s="1">
        <v>5</v>
      </c>
      <c r="C150" s="1">
        <v>5</v>
      </c>
      <c r="D150" s="1">
        <v>5</v>
      </c>
      <c r="E150" s="1">
        <v>4</v>
      </c>
    </row>
    <row r="151" spans="1:5" x14ac:dyDescent="0.15">
      <c r="A151" s="1">
        <v>150</v>
      </c>
      <c r="B151" s="1">
        <v>3</v>
      </c>
      <c r="C151" s="1">
        <v>5</v>
      </c>
      <c r="D151" s="1">
        <v>6</v>
      </c>
      <c r="E151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83E72-508B-4202-9C90-245F73E49C82}">
  <dimension ref="A1:L605"/>
  <sheetViews>
    <sheetView tabSelected="1" workbookViewId="0">
      <selection activeCell="J17" sqref="J17"/>
    </sheetView>
  </sheetViews>
  <sheetFormatPr baseColWidth="10" defaultColWidth="8.83203125" defaultRowHeight="14" x14ac:dyDescent="0.15"/>
  <cols>
    <col min="1" max="1" width="13.33203125" customWidth="1"/>
    <col min="2" max="2" width="13" customWidth="1"/>
    <col min="3" max="3" width="14.33203125" customWidth="1"/>
    <col min="4" max="4" width="14.5" customWidth="1"/>
    <col min="5" max="5" width="17.33203125" bestFit="1" customWidth="1"/>
    <col min="7" max="7" width="40.83203125" bestFit="1" customWidth="1"/>
    <col min="8" max="8" width="18.83203125" bestFit="1" customWidth="1"/>
    <col min="9" max="9" width="13.6640625" bestFit="1" customWidth="1"/>
  </cols>
  <sheetData>
    <row r="1" spans="1:12" ht="18" x14ac:dyDescent="0.2">
      <c r="A1" s="4" t="s">
        <v>41</v>
      </c>
      <c r="B1" s="4" t="s">
        <v>42</v>
      </c>
      <c r="C1" s="3" t="s">
        <v>43</v>
      </c>
      <c r="D1" s="3" t="s">
        <v>44</v>
      </c>
      <c r="E1" s="10" t="s">
        <v>68</v>
      </c>
      <c r="G1" s="9" t="s">
        <v>45</v>
      </c>
      <c r="H1" s="9"/>
      <c r="I1" s="9"/>
      <c r="K1" s="12" t="s">
        <v>68</v>
      </c>
      <c r="L1" s="12"/>
    </row>
    <row r="2" spans="1:12" ht="18" x14ac:dyDescent="0.2">
      <c r="A2" s="3">
        <v>1</v>
      </c>
      <c r="B2" s="3">
        <v>32.81</v>
      </c>
      <c r="C2" s="3" t="s">
        <v>46</v>
      </c>
      <c r="D2" s="3" t="s">
        <v>47</v>
      </c>
      <c r="E2" s="10" t="str">
        <f>IF(B2&lt;=$L$2,"Low",IF(B2&lt;=$L$3,"Medium",IF(B2&lt;=$L$4,"High")))</f>
        <v>Low</v>
      </c>
      <c r="G2" s="7" t="s">
        <v>48</v>
      </c>
      <c r="H2">
        <f>COUNTIF(C:C,"Automotive")</f>
        <v>190</v>
      </c>
      <c r="K2" s="10" t="s">
        <v>65</v>
      </c>
      <c r="L2" s="10">
        <f>PERCENTILE(B:B, 1/3)</f>
        <v>37.229999999999997</v>
      </c>
    </row>
    <row r="3" spans="1:12" ht="18" x14ac:dyDescent="0.2">
      <c r="A3" s="3">
        <v>2</v>
      </c>
      <c r="B3" s="3">
        <v>46</v>
      </c>
      <c r="C3" s="3" t="s">
        <v>49</v>
      </c>
      <c r="D3" s="3" t="s">
        <v>50</v>
      </c>
      <c r="E3" s="10" t="str">
        <f t="shared" ref="E3:E66" si="0">IF(B3&lt;=$L$2,"Low",IF(B3&lt;=$L$3,"Medium",IF(B3&lt;=$L$4,"High")))</f>
        <v>High</v>
      </c>
      <c r="G3" s="7" t="s">
        <v>51</v>
      </c>
      <c r="H3">
        <f>COUNTIF(B:B,"&gt;30")</f>
        <v>536</v>
      </c>
      <c r="K3" s="10" t="s">
        <v>66</v>
      </c>
      <c r="L3" s="10">
        <f>PERCENTILE(B:B, 2/3)</f>
        <v>44.57</v>
      </c>
    </row>
    <row r="4" spans="1:12" ht="18" x14ac:dyDescent="0.2">
      <c r="A4" s="3">
        <v>3</v>
      </c>
      <c r="B4" s="3">
        <v>43.13</v>
      </c>
      <c r="C4" s="3" t="s">
        <v>46</v>
      </c>
      <c r="D4" s="3" t="s">
        <v>52</v>
      </c>
      <c r="E4" s="10" t="str">
        <f t="shared" si="0"/>
        <v>Medium</v>
      </c>
      <c r="G4" s="7" t="s">
        <v>53</v>
      </c>
      <c r="H4">
        <f>COUNTIFS(C:C,"Automotive",B:B,"&gt;30")</f>
        <v>181</v>
      </c>
      <c r="K4" s="10" t="s">
        <v>67</v>
      </c>
      <c r="L4" s="10">
        <f>PERCENTILE(B:B, 3/3)</f>
        <v>51</v>
      </c>
    </row>
    <row r="5" spans="1:12" ht="18" x14ac:dyDescent="0.2">
      <c r="A5" s="3">
        <v>4</v>
      </c>
      <c r="B5" s="3">
        <v>48.09</v>
      </c>
      <c r="C5" s="3" t="s">
        <v>49</v>
      </c>
      <c r="D5" s="3" t="s">
        <v>54</v>
      </c>
      <c r="E5" s="10" t="str">
        <f t="shared" si="0"/>
        <v>High</v>
      </c>
      <c r="G5" s="7" t="s">
        <v>55</v>
      </c>
      <c r="H5" s="6" t="s">
        <v>42</v>
      </c>
      <c r="I5" s="6" t="s">
        <v>41</v>
      </c>
    </row>
    <row r="6" spans="1:12" ht="18" x14ac:dyDescent="0.2">
      <c r="A6" s="3">
        <v>5</v>
      </c>
      <c r="B6" s="3">
        <v>43.62</v>
      </c>
      <c r="C6" s="3" t="s">
        <v>49</v>
      </c>
      <c r="D6" s="3" t="s">
        <v>56</v>
      </c>
      <c r="E6" s="10" t="str">
        <f t="shared" si="0"/>
        <v>Medium</v>
      </c>
      <c r="G6" s="8" t="s">
        <v>61</v>
      </c>
      <c r="H6">
        <f>_xlfn.MAXIFS(B:B, C:C, "Automotive",D:D,"Accountant")</f>
        <v>49.32</v>
      </c>
      <c r="I6">
        <f>_xlfn.XLOOKUP(_xlfn.MAXIFS(B:B, C:C, "Automotive", D:D, "Accountant"), B:B, A:A)</f>
        <v>471</v>
      </c>
    </row>
    <row r="7" spans="1:12" ht="18" x14ac:dyDescent="0.2">
      <c r="A7" s="3">
        <v>6</v>
      </c>
      <c r="B7" s="3">
        <v>46.98</v>
      </c>
      <c r="C7" s="3" t="s">
        <v>46</v>
      </c>
      <c r="D7" s="3" t="s">
        <v>50</v>
      </c>
      <c r="E7" s="10" t="str">
        <f t="shared" si="0"/>
        <v>High</v>
      </c>
      <c r="G7" s="8" t="s">
        <v>62</v>
      </c>
      <c r="H7">
        <f>_xlfn.MINIFS(B:B, C:C, "Automotive",D:D,"Accountant")</f>
        <v>28.74</v>
      </c>
      <c r="I7">
        <f>_xlfn.XLOOKUP(_xlfn.MINIFS(B:B, C:C, "Automotive", D:D, "Accountant"), B:B, A:A)</f>
        <v>567</v>
      </c>
    </row>
    <row r="8" spans="1:12" ht="18" x14ac:dyDescent="0.2">
      <c r="A8" s="3">
        <v>7</v>
      </c>
      <c r="B8" s="3">
        <v>43.03</v>
      </c>
      <c r="C8" s="3" t="s">
        <v>46</v>
      </c>
      <c r="D8" s="3" t="s">
        <v>52</v>
      </c>
      <c r="E8" s="10" t="str">
        <f t="shared" si="0"/>
        <v>Medium</v>
      </c>
      <c r="G8" s="8" t="s">
        <v>63</v>
      </c>
      <c r="H8">
        <f>_xlfn.MAXIFS(B:B, C:C, "Tech",D:D,"Accountant")</f>
        <v>49.49</v>
      </c>
      <c r="I8">
        <f>_xlfn.XLOOKUP(_xlfn.MAXIFS(B:B, C:C, "Tech", D:D, "Accountant"), B:B, A:A)</f>
        <v>141</v>
      </c>
    </row>
    <row r="9" spans="1:12" ht="18" x14ac:dyDescent="0.2">
      <c r="A9" s="3">
        <v>8</v>
      </c>
      <c r="B9" s="3">
        <v>40.96</v>
      </c>
      <c r="C9" s="3" t="s">
        <v>46</v>
      </c>
      <c r="D9" s="3" t="s">
        <v>57</v>
      </c>
      <c r="E9" s="10" t="str">
        <f t="shared" si="0"/>
        <v>Medium</v>
      </c>
      <c r="G9" s="8" t="s">
        <v>64</v>
      </c>
      <c r="H9">
        <f>_xlfn.MINIFS(B:B, C:C, "Tech",D:D,"Accountant")</f>
        <v>36.130000000000003</v>
      </c>
      <c r="I9">
        <f>_xlfn.XLOOKUP(_xlfn.MINIFS(B:B, C:C, "Tech", D:D, "Accountant"), B:B, A:A)</f>
        <v>113</v>
      </c>
    </row>
    <row r="10" spans="1:12" ht="18" x14ac:dyDescent="0.2">
      <c r="A10" s="3">
        <v>9</v>
      </c>
      <c r="B10" s="3">
        <v>38.89</v>
      </c>
      <c r="C10" s="3" t="s">
        <v>46</v>
      </c>
      <c r="D10" s="3" t="s">
        <v>58</v>
      </c>
      <c r="E10" s="10" t="str">
        <f t="shared" si="0"/>
        <v>Medium</v>
      </c>
      <c r="G10" s="11" t="s">
        <v>59</v>
      </c>
      <c r="H10" s="10" t="s">
        <v>69</v>
      </c>
    </row>
    <row r="11" spans="1:12" x14ac:dyDescent="0.15">
      <c r="A11" s="3">
        <v>10</v>
      </c>
      <c r="B11" s="3">
        <v>46.13</v>
      </c>
      <c r="C11" s="3" t="s">
        <v>46</v>
      </c>
      <c r="D11" s="3" t="s">
        <v>56</v>
      </c>
      <c r="E11" s="10" t="str">
        <f t="shared" si="0"/>
        <v>High</v>
      </c>
    </row>
    <row r="12" spans="1:12" x14ac:dyDescent="0.15">
      <c r="A12" s="3">
        <v>11</v>
      </c>
      <c r="B12" s="3">
        <v>28</v>
      </c>
      <c r="C12" s="3" t="s">
        <v>49</v>
      </c>
      <c r="D12" s="3" t="s">
        <v>50</v>
      </c>
      <c r="E12" s="10" t="str">
        <f t="shared" si="0"/>
        <v>Low</v>
      </c>
    </row>
    <row r="13" spans="1:12" x14ac:dyDescent="0.15">
      <c r="A13" s="3">
        <v>12</v>
      </c>
      <c r="B13" s="3">
        <v>31.24</v>
      </c>
      <c r="C13" s="3" t="s">
        <v>46</v>
      </c>
      <c r="D13" s="3" t="s">
        <v>58</v>
      </c>
      <c r="E13" s="10" t="str">
        <f t="shared" si="0"/>
        <v>Low</v>
      </c>
    </row>
    <row r="14" spans="1:12" x14ac:dyDescent="0.15">
      <c r="A14" s="3">
        <v>13</v>
      </c>
      <c r="B14" s="3">
        <v>37.229999999999997</v>
      </c>
      <c r="C14" s="3" t="s">
        <v>46</v>
      </c>
      <c r="D14" s="3" t="s">
        <v>54</v>
      </c>
      <c r="E14" s="10" t="str">
        <f t="shared" si="0"/>
        <v>Low</v>
      </c>
    </row>
    <row r="15" spans="1:12" x14ac:dyDescent="0.15">
      <c r="A15" s="3">
        <v>14</v>
      </c>
      <c r="B15" s="3">
        <v>32.35</v>
      </c>
      <c r="C15" s="3" t="s">
        <v>46</v>
      </c>
      <c r="D15" s="3" t="s">
        <v>56</v>
      </c>
      <c r="E15" s="10" t="str">
        <f t="shared" si="0"/>
        <v>Low</v>
      </c>
    </row>
    <row r="16" spans="1:12" x14ac:dyDescent="0.15">
      <c r="A16" s="3">
        <v>15</v>
      </c>
      <c r="B16" s="3">
        <v>37.53</v>
      </c>
      <c r="C16" s="3" t="s">
        <v>46</v>
      </c>
      <c r="D16" s="3" t="s">
        <v>52</v>
      </c>
      <c r="E16" s="10" t="str">
        <f t="shared" si="0"/>
        <v>Medium</v>
      </c>
    </row>
    <row r="17" spans="1:5" x14ac:dyDescent="0.15">
      <c r="A17" s="3">
        <v>16</v>
      </c>
      <c r="B17" s="3">
        <v>24.76</v>
      </c>
      <c r="C17" s="3" t="s">
        <v>49</v>
      </c>
      <c r="D17" s="3" t="s">
        <v>57</v>
      </c>
      <c r="E17" s="10" t="str">
        <f t="shared" si="0"/>
        <v>Low</v>
      </c>
    </row>
    <row r="18" spans="1:5" x14ac:dyDescent="0.15">
      <c r="A18" s="3">
        <v>17</v>
      </c>
      <c r="B18" s="3">
        <v>47</v>
      </c>
      <c r="C18" s="3" t="s">
        <v>49</v>
      </c>
      <c r="D18" s="3" t="s">
        <v>54</v>
      </c>
      <c r="E18" s="10" t="str">
        <f t="shared" si="0"/>
        <v>High</v>
      </c>
    </row>
    <row r="19" spans="1:5" x14ac:dyDescent="0.15">
      <c r="A19" s="3">
        <v>18</v>
      </c>
      <c r="B19" s="3">
        <v>47.25</v>
      </c>
      <c r="C19" s="3" t="s">
        <v>49</v>
      </c>
      <c r="D19" s="3" t="s">
        <v>54</v>
      </c>
      <c r="E19" s="10" t="str">
        <f t="shared" si="0"/>
        <v>High</v>
      </c>
    </row>
    <row r="20" spans="1:5" x14ac:dyDescent="0.15">
      <c r="A20" s="3">
        <v>19</v>
      </c>
      <c r="B20" s="3">
        <v>42.53</v>
      </c>
      <c r="C20" s="3" t="s">
        <v>49</v>
      </c>
      <c r="D20" s="3" t="s">
        <v>50</v>
      </c>
      <c r="E20" s="10" t="str">
        <f t="shared" si="0"/>
        <v>Medium</v>
      </c>
    </row>
    <row r="21" spans="1:5" x14ac:dyDescent="0.15">
      <c r="A21" s="3">
        <v>20</v>
      </c>
      <c r="B21" s="3">
        <v>26.09</v>
      </c>
      <c r="C21" s="3" t="s">
        <v>46</v>
      </c>
      <c r="D21" s="3" t="s">
        <v>58</v>
      </c>
      <c r="E21" s="10" t="str">
        <f t="shared" si="0"/>
        <v>Low</v>
      </c>
    </row>
    <row r="22" spans="1:5" x14ac:dyDescent="0.15">
      <c r="A22" s="3">
        <v>21</v>
      </c>
      <c r="B22" s="3">
        <v>49.59</v>
      </c>
      <c r="C22" s="3" t="s">
        <v>46</v>
      </c>
      <c r="D22" s="3"/>
      <c r="E22" s="10" t="str">
        <f t="shared" si="0"/>
        <v>High</v>
      </c>
    </row>
    <row r="23" spans="1:5" x14ac:dyDescent="0.15">
      <c r="A23" s="3">
        <v>22</v>
      </c>
      <c r="B23" s="3">
        <v>47.97</v>
      </c>
      <c r="C23" s="3" t="s">
        <v>46</v>
      </c>
      <c r="D23" s="3" t="s">
        <v>56</v>
      </c>
      <c r="E23" s="10" t="str">
        <f t="shared" si="0"/>
        <v>High</v>
      </c>
    </row>
    <row r="24" spans="1:5" x14ac:dyDescent="0.15">
      <c r="A24" s="3">
        <v>23</v>
      </c>
      <c r="B24" s="3">
        <v>48.77</v>
      </c>
      <c r="C24" s="3" t="s">
        <v>46</v>
      </c>
      <c r="D24" s="3" t="s">
        <v>50</v>
      </c>
      <c r="E24" s="10" t="str">
        <f t="shared" si="0"/>
        <v>High</v>
      </c>
    </row>
    <row r="25" spans="1:5" x14ac:dyDescent="0.15">
      <c r="A25" s="3">
        <v>24</v>
      </c>
      <c r="B25" s="3">
        <v>42.58</v>
      </c>
      <c r="C25" s="3"/>
      <c r="D25" s="3" t="s">
        <v>52</v>
      </c>
      <c r="E25" s="10" t="str">
        <f t="shared" si="0"/>
        <v>Medium</v>
      </c>
    </row>
    <row r="26" spans="1:5" x14ac:dyDescent="0.15">
      <c r="A26" s="3">
        <v>25</v>
      </c>
      <c r="B26" s="3">
        <v>49.7</v>
      </c>
      <c r="C26" s="3" t="s">
        <v>49</v>
      </c>
      <c r="D26" s="3" t="s">
        <v>50</v>
      </c>
      <c r="E26" s="10" t="str">
        <f t="shared" si="0"/>
        <v>High</v>
      </c>
    </row>
    <row r="27" spans="1:5" x14ac:dyDescent="0.15">
      <c r="A27" s="3">
        <v>26</v>
      </c>
      <c r="B27" s="3">
        <v>42.18</v>
      </c>
      <c r="C27" s="3" t="s">
        <v>49</v>
      </c>
      <c r="D27" s="3" t="s">
        <v>50</v>
      </c>
      <c r="E27" s="10" t="str">
        <f t="shared" si="0"/>
        <v>Medium</v>
      </c>
    </row>
    <row r="28" spans="1:5" x14ac:dyDescent="0.15">
      <c r="A28" s="3">
        <v>27</v>
      </c>
      <c r="B28" s="3">
        <v>29.3</v>
      </c>
      <c r="C28" s="3" t="s">
        <v>46</v>
      </c>
      <c r="D28" s="3" t="s">
        <v>58</v>
      </c>
      <c r="E28" s="10" t="str">
        <f t="shared" si="0"/>
        <v>Low</v>
      </c>
    </row>
    <row r="29" spans="1:5" x14ac:dyDescent="0.15">
      <c r="A29" s="3">
        <v>28</v>
      </c>
      <c r="B29" s="3">
        <v>38.24</v>
      </c>
      <c r="C29" s="3" t="s">
        <v>46</v>
      </c>
      <c r="D29" s="3" t="s">
        <v>57</v>
      </c>
      <c r="E29" s="10" t="str">
        <f t="shared" si="0"/>
        <v>Medium</v>
      </c>
    </row>
    <row r="30" spans="1:5" x14ac:dyDescent="0.15">
      <c r="A30" s="3">
        <v>29</v>
      </c>
      <c r="B30" s="3">
        <v>48.87</v>
      </c>
      <c r="C30" s="3" t="s">
        <v>60</v>
      </c>
      <c r="D30" s="3" t="s">
        <v>52</v>
      </c>
      <c r="E30" s="10" t="str">
        <f t="shared" si="0"/>
        <v>High</v>
      </c>
    </row>
    <row r="31" spans="1:5" x14ac:dyDescent="0.15">
      <c r="A31" s="3">
        <v>30</v>
      </c>
      <c r="B31" s="3">
        <v>46.39</v>
      </c>
      <c r="C31" s="3" t="s">
        <v>49</v>
      </c>
      <c r="D31" s="3" t="s">
        <v>50</v>
      </c>
      <c r="E31" s="10" t="str">
        <f t="shared" si="0"/>
        <v>High</v>
      </c>
    </row>
    <row r="32" spans="1:5" x14ac:dyDescent="0.15">
      <c r="A32" s="3">
        <v>31</v>
      </c>
      <c r="B32" s="3">
        <v>46.66</v>
      </c>
      <c r="C32" s="3" t="s">
        <v>49</v>
      </c>
      <c r="D32" s="3" t="s">
        <v>50</v>
      </c>
      <c r="E32" s="10" t="str">
        <f t="shared" si="0"/>
        <v>High</v>
      </c>
    </row>
    <row r="33" spans="1:5" x14ac:dyDescent="0.15">
      <c r="A33" s="3">
        <v>32</v>
      </c>
      <c r="B33" s="3">
        <v>31.08</v>
      </c>
      <c r="C33" s="3" t="s">
        <v>46</v>
      </c>
      <c r="D33" s="3" t="s">
        <v>56</v>
      </c>
      <c r="E33" s="10" t="str">
        <f t="shared" si="0"/>
        <v>Low</v>
      </c>
    </row>
    <row r="34" spans="1:5" x14ac:dyDescent="0.15">
      <c r="A34" s="3">
        <v>33</v>
      </c>
      <c r="B34" s="3">
        <v>42.91</v>
      </c>
      <c r="C34" s="3" t="s">
        <v>46</v>
      </c>
      <c r="D34" s="3" t="s">
        <v>58</v>
      </c>
      <c r="E34" s="10" t="str">
        <f t="shared" si="0"/>
        <v>Medium</v>
      </c>
    </row>
    <row r="35" spans="1:5" x14ac:dyDescent="0.15">
      <c r="A35" s="3">
        <v>34</v>
      </c>
      <c r="B35" s="3">
        <v>37.53</v>
      </c>
      <c r="C35" s="3" t="s">
        <v>46</v>
      </c>
      <c r="D35" s="3" t="s">
        <v>52</v>
      </c>
      <c r="E35" s="10" t="str">
        <f t="shared" si="0"/>
        <v>Medium</v>
      </c>
    </row>
    <row r="36" spans="1:5" x14ac:dyDescent="0.15">
      <c r="A36" s="3">
        <v>35</v>
      </c>
      <c r="B36" s="3">
        <v>36.47</v>
      </c>
      <c r="C36" s="3" t="s">
        <v>46</v>
      </c>
      <c r="D36" s="3" t="s">
        <v>54</v>
      </c>
      <c r="E36" s="10" t="str">
        <f t="shared" si="0"/>
        <v>Low</v>
      </c>
    </row>
    <row r="37" spans="1:5" x14ac:dyDescent="0.15">
      <c r="A37" s="3">
        <v>36</v>
      </c>
      <c r="B37" s="3">
        <v>38.28</v>
      </c>
      <c r="C37" s="3" t="s">
        <v>49</v>
      </c>
      <c r="D37" s="3" t="s">
        <v>56</v>
      </c>
      <c r="E37" s="10" t="str">
        <f t="shared" si="0"/>
        <v>Medium</v>
      </c>
    </row>
    <row r="38" spans="1:5" x14ac:dyDescent="0.15">
      <c r="A38" s="3">
        <v>37</v>
      </c>
      <c r="B38" s="3">
        <v>48.53</v>
      </c>
      <c r="C38" s="3" t="s">
        <v>46</v>
      </c>
      <c r="D38" s="3" t="s">
        <v>50</v>
      </c>
      <c r="E38" s="10" t="str">
        <f t="shared" si="0"/>
        <v>High</v>
      </c>
    </row>
    <row r="39" spans="1:5" x14ac:dyDescent="0.15">
      <c r="A39" s="3">
        <v>38</v>
      </c>
      <c r="B39" s="3">
        <v>39.729999999999997</v>
      </c>
      <c r="C39" s="3" t="s">
        <v>46</v>
      </c>
      <c r="D39" s="3" t="s">
        <v>57</v>
      </c>
      <c r="E39" s="10" t="str">
        <f t="shared" si="0"/>
        <v>Medium</v>
      </c>
    </row>
    <row r="40" spans="1:5" x14ac:dyDescent="0.15">
      <c r="A40" s="3">
        <v>39</v>
      </c>
      <c r="B40" s="3">
        <v>32.17</v>
      </c>
      <c r="C40" s="3" t="s">
        <v>46</v>
      </c>
      <c r="D40" s="3" t="s">
        <v>52</v>
      </c>
      <c r="E40" s="10" t="str">
        <f t="shared" si="0"/>
        <v>Low</v>
      </c>
    </row>
    <row r="41" spans="1:5" x14ac:dyDescent="0.15">
      <c r="A41" s="3">
        <v>40</v>
      </c>
      <c r="B41" s="3">
        <v>34.76</v>
      </c>
      <c r="C41" s="3" t="s">
        <v>60</v>
      </c>
      <c r="D41" s="3" t="s">
        <v>57</v>
      </c>
      <c r="E41" s="10" t="str">
        <f t="shared" si="0"/>
        <v>Low</v>
      </c>
    </row>
    <row r="42" spans="1:5" x14ac:dyDescent="0.15">
      <c r="A42" s="3">
        <v>41</v>
      </c>
      <c r="B42" s="3">
        <v>38.76</v>
      </c>
      <c r="C42" s="3" t="s">
        <v>46</v>
      </c>
      <c r="D42" s="3" t="s">
        <v>58</v>
      </c>
      <c r="E42" s="10" t="str">
        <f t="shared" si="0"/>
        <v>Medium</v>
      </c>
    </row>
    <row r="43" spans="1:5" x14ac:dyDescent="0.15">
      <c r="A43" s="3">
        <v>42</v>
      </c>
      <c r="B43" s="3">
        <v>48.53</v>
      </c>
      <c r="C43" s="3" t="s">
        <v>46</v>
      </c>
      <c r="D43" s="3" t="s">
        <v>50</v>
      </c>
      <c r="E43" s="10" t="str">
        <f t="shared" si="0"/>
        <v>High</v>
      </c>
    </row>
    <row r="44" spans="1:5" x14ac:dyDescent="0.15">
      <c r="A44" s="3">
        <v>43</v>
      </c>
      <c r="B44" s="3">
        <v>41.26</v>
      </c>
      <c r="C44" s="3" t="s">
        <v>60</v>
      </c>
      <c r="D44" s="3" t="s">
        <v>56</v>
      </c>
      <c r="E44" s="10" t="str">
        <f t="shared" si="0"/>
        <v>Medium</v>
      </c>
    </row>
    <row r="45" spans="1:5" x14ac:dyDescent="0.15">
      <c r="A45" s="3">
        <v>44</v>
      </c>
      <c r="B45" s="3">
        <v>48.66</v>
      </c>
      <c r="C45" s="3" t="s">
        <v>49</v>
      </c>
      <c r="D45" s="3" t="s">
        <v>50</v>
      </c>
      <c r="E45" s="10" t="str">
        <f t="shared" si="0"/>
        <v>High</v>
      </c>
    </row>
    <row r="46" spans="1:5" x14ac:dyDescent="0.15">
      <c r="A46" s="3">
        <v>45</v>
      </c>
      <c r="B46" s="3">
        <v>33.78</v>
      </c>
      <c r="C46" s="3" t="s">
        <v>46</v>
      </c>
      <c r="D46" s="3" t="s">
        <v>50</v>
      </c>
      <c r="E46" s="10" t="str">
        <f t="shared" si="0"/>
        <v>Low</v>
      </c>
    </row>
    <row r="47" spans="1:5" x14ac:dyDescent="0.15">
      <c r="A47" s="3">
        <v>46</v>
      </c>
      <c r="B47" s="3">
        <v>47.46</v>
      </c>
      <c r="C47" s="3" t="s">
        <v>49</v>
      </c>
      <c r="D47" s="3" t="s">
        <v>50</v>
      </c>
      <c r="E47" s="10" t="str">
        <f t="shared" si="0"/>
        <v>High</v>
      </c>
    </row>
    <row r="48" spans="1:5" x14ac:dyDescent="0.15">
      <c r="A48" s="3">
        <v>47</v>
      </c>
      <c r="B48" s="3">
        <v>32</v>
      </c>
      <c r="C48" s="3" t="s">
        <v>49</v>
      </c>
      <c r="D48" s="3" t="s">
        <v>52</v>
      </c>
      <c r="E48" s="10" t="str">
        <f t="shared" si="0"/>
        <v>Low</v>
      </c>
    </row>
    <row r="49" spans="1:5" x14ac:dyDescent="0.15">
      <c r="A49" s="3">
        <v>48</v>
      </c>
      <c r="B49" s="3">
        <v>35.409999999999997</v>
      </c>
      <c r="C49" s="3" t="s">
        <v>46</v>
      </c>
      <c r="D49" s="3" t="s">
        <v>57</v>
      </c>
      <c r="E49" s="10" t="str">
        <f t="shared" si="0"/>
        <v>Low</v>
      </c>
    </row>
    <row r="50" spans="1:5" x14ac:dyDescent="0.15">
      <c r="A50" s="3">
        <v>49</v>
      </c>
      <c r="B50" s="3">
        <v>44.57</v>
      </c>
      <c r="C50" s="3" t="s">
        <v>46</v>
      </c>
      <c r="D50" s="3" t="s">
        <v>58</v>
      </c>
      <c r="E50" s="10" t="str">
        <f t="shared" si="0"/>
        <v>Medium</v>
      </c>
    </row>
    <row r="51" spans="1:5" x14ac:dyDescent="0.15">
      <c r="A51" s="3">
        <v>50</v>
      </c>
      <c r="B51" s="3">
        <v>45.42</v>
      </c>
      <c r="C51" s="3" t="s">
        <v>46</v>
      </c>
      <c r="D51" s="3" t="s">
        <v>54</v>
      </c>
      <c r="E51" s="10" t="str">
        <f t="shared" si="0"/>
        <v>High</v>
      </c>
    </row>
    <row r="52" spans="1:5" x14ac:dyDescent="0.15">
      <c r="A52" s="3">
        <v>51</v>
      </c>
      <c r="B52" s="3">
        <v>43.26</v>
      </c>
      <c r="C52" s="3" t="s">
        <v>46</v>
      </c>
      <c r="D52" s="3" t="s">
        <v>56</v>
      </c>
      <c r="E52" s="10" t="str">
        <f t="shared" si="0"/>
        <v>Medium</v>
      </c>
    </row>
    <row r="53" spans="1:5" x14ac:dyDescent="0.15">
      <c r="A53" s="3">
        <v>52</v>
      </c>
      <c r="B53" s="3">
        <v>33.659999999999997</v>
      </c>
      <c r="C53" s="3" t="s">
        <v>46</v>
      </c>
      <c r="D53" s="3" t="s">
        <v>50</v>
      </c>
      <c r="E53" s="10" t="str">
        <f t="shared" si="0"/>
        <v>Low</v>
      </c>
    </row>
    <row r="54" spans="1:5" x14ac:dyDescent="0.15">
      <c r="A54" s="3">
        <v>53</v>
      </c>
      <c r="B54" s="3">
        <v>33.659999999999997</v>
      </c>
      <c r="C54" s="3" t="s">
        <v>46</v>
      </c>
      <c r="D54" s="3" t="s">
        <v>50</v>
      </c>
      <c r="E54" s="10" t="str">
        <f t="shared" si="0"/>
        <v>Low</v>
      </c>
    </row>
    <row r="55" spans="1:5" x14ac:dyDescent="0.15">
      <c r="A55" s="3">
        <v>54</v>
      </c>
      <c r="B55" s="3">
        <v>48.95</v>
      </c>
      <c r="C55" s="3" t="s">
        <v>49</v>
      </c>
      <c r="D55" s="3" t="s">
        <v>50</v>
      </c>
      <c r="E55" s="10" t="str">
        <f t="shared" si="0"/>
        <v>High</v>
      </c>
    </row>
    <row r="56" spans="1:5" x14ac:dyDescent="0.15">
      <c r="A56" s="3">
        <v>55</v>
      </c>
      <c r="B56" s="3">
        <v>47.18</v>
      </c>
      <c r="C56" s="3" t="s">
        <v>46</v>
      </c>
      <c r="D56" s="3" t="s">
        <v>52</v>
      </c>
      <c r="E56" s="10" t="str">
        <f t="shared" si="0"/>
        <v>High</v>
      </c>
    </row>
    <row r="57" spans="1:5" x14ac:dyDescent="0.15">
      <c r="A57" s="3">
        <v>56</v>
      </c>
      <c r="B57" s="3">
        <v>44.57</v>
      </c>
      <c r="C57" s="3" t="s">
        <v>46</v>
      </c>
      <c r="D57" s="3" t="s">
        <v>57</v>
      </c>
      <c r="E57" s="10" t="str">
        <f t="shared" si="0"/>
        <v>Medium</v>
      </c>
    </row>
    <row r="58" spans="1:5" x14ac:dyDescent="0.15">
      <c r="A58" s="3">
        <v>57</v>
      </c>
      <c r="B58" s="3">
        <v>43.73</v>
      </c>
      <c r="C58" s="3" t="s">
        <v>46</v>
      </c>
      <c r="D58" s="3" t="s">
        <v>58</v>
      </c>
      <c r="E58" s="10" t="str">
        <f t="shared" si="0"/>
        <v>Medium</v>
      </c>
    </row>
    <row r="59" spans="1:5" x14ac:dyDescent="0.15">
      <c r="A59" s="3">
        <v>58</v>
      </c>
      <c r="B59" s="3">
        <v>44.9</v>
      </c>
      <c r="C59" s="3" t="s">
        <v>46</v>
      </c>
      <c r="D59" s="3"/>
      <c r="E59" s="10" t="str">
        <f t="shared" si="0"/>
        <v>High</v>
      </c>
    </row>
    <row r="60" spans="1:5" x14ac:dyDescent="0.15">
      <c r="A60" s="3">
        <v>59</v>
      </c>
      <c r="B60" s="3">
        <v>42.92</v>
      </c>
      <c r="C60" s="3" t="s">
        <v>49</v>
      </c>
      <c r="D60" s="3" t="s">
        <v>56</v>
      </c>
      <c r="E60" s="10" t="str">
        <f t="shared" si="0"/>
        <v>Medium</v>
      </c>
    </row>
    <row r="61" spans="1:5" x14ac:dyDescent="0.15">
      <c r="A61" s="3">
        <v>60</v>
      </c>
      <c r="B61" s="3">
        <v>42.85</v>
      </c>
      <c r="C61" s="3" t="s">
        <v>46</v>
      </c>
      <c r="D61" s="3" t="s">
        <v>57</v>
      </c>
      <c r="E61" s="10" t="str">
        <f t="shared" si="0"/>
        <v>Medium</v>
      </c>
    </row>
    <row r="62" spans="1:5" x14ac:dyDescent="0.15">
      <c r="A62" s="3">
        <v>61</v>
      </c>
      <c r="B62" s="3">
        <v>32.35</v>
      </c>
      <c r="C62" s="3" t="s">
        <v>46</v>
      </c>
      <c r="D62" s="3" t="s">
        <v>56</v>
      </c>
      <c r="E62" s="10" t="str">
        <f t="shared" si="0"/>
        <v>Low</v>
      </c>
    </row>
    <row r="63" spans="1:5" x14ac:dyDescent="0.15">
      <c r="A63" s="3">
        <v>62</v>
      </c>
      <c r="B63" s="3">
        <v>27.18</v>
      </c>
      <c r="C63" s="3" t="s">
        <v>46</v>
      </c>
      <c r="D63" s="3" t="s">
        <v>50</v>
      </c>
      <c r="E63" s="10" t="str">
        <f t="shared" si="0"/>
        <v>Low</v>
      </c>
    </row>
    <row r="64" spans="1:5" x14ac:dyDescent="0.15">
      <c r="A64" s="3">
        <v>63</v>
      </c>
      <c r="B64" s="3">
        <v>32.96</v>
      </c>
      <c r="C64" s="3" t="s">
        <v>46</v>
      </c>
      <c r="D64" s="3" t="s">
        <v>52</v>
      </c>
      <c r="E64" s="10" t="str">
        <f t="shared" si="0"/>
        <v>Low</v>
      </c>
    </row>
    <row r="65" spans="1:5" x14ac:dyDescent="0.15">
      <c r="A65" s="3">
        <v>64</v>
      </c>
      <c r="B65" s="3">
        <v>33.979999999999997</v>
      </c>
      <c r="C65" s="3" t="s">
        <v>46</v>
      </c>
      <c r="D65" s="3" t="s">
        <v>57</v>
      </c>
      <c r="E65" s="10" t="str">
        <f t="shared" si="0"/>
        <v>Low</v>
      </c>
    </row>
    <row r="66" spans="1:5" x14ac:dyDescent="0.15">
      <c r="A66" s="3">
        <v>65</v>
      </c>
      <c r="B66" s="3">
        <v>34.07</v>
      </c>
      <c r="C66" s="3" t="s">
        <v>49</v>
      </c>
      <c r="D66" s="3" t="s">
        <v>58</v>
      </c>
      <c r="E66" s="10" t="str">
        <f t="shared" si="0"/>
        <v>Low</v>
      </c>
    </row>
    <row r="67" spans="1:5" x14ac:dyDescent="0.15">
      <c r="A67" s="3">
        <v>66</v>
      </c>
      <c r="B67" s="3">
        <v>26.09</v>
      </c>
      <c r="C67" s="3" t="s">
        <v>46</v>
      </c>
      <c r="D67" s="3"/>
      <c r="E67" s="10" t="str">
        <f t="shared" ref="E67:E130" si="1">IF(B67&lt;=$L$2,"Low",IF(B67&lt;=$L$3,"Medium",IF(B67&lt;=$L$4,"High")))</f>
        <v>Low</v>
      </c>
    </row>
    <row r="68" spans="1:5" x14ac:dyDescent="0.15">
      <c r="A68" s="3">
        <v>67</v>
      </c>
      <c r="B68" s="3">
        <v>41.5</v>
      </c>
      <c r="C68" s="3" t="s">
        <v>49</v>
      </c>
      <c r="D68" s="3" t="s">
        <v>56</v>
      </c>
      <c r="E68" s="10" t="str">
        <f t="shared" si="1"/>
        <v>Medium</v>
      </c>
    </row>
    <row r="69" spans="1:5" x14ac:dyDescent="0.15">
      <c r="A69" s="3">
        <v>68</v>
      </c>
      <c r="B69" s="3">
        <v>25.4</v>
      </c>
      <c r="C69" s="3" t="s">
        <v>46</v>
      </c>
      <c r="D69" s="3" t="s">
        <v>50</v>
      </c>
      <c r="E69" s="10" t="str">
        <f t="shared" si="1"/>
        <v>Low</v>
      </c>
    </row>
    <row r="70" spans="1:5" x14ac:dyDescent="0.15">
      <c r="A70" s="3">
        <v>69</v>
      </c>
      <c r="B70" s="3">
        <v>35.78</v>
      </c>
      <c r="C70" s="3" t="s">
        <v>46</v>
      </c>
      <c r="D70" s="3" t="s">
        <v>52</v>
      </c>
      <c r="E70" s="10" t="str">
        <f t="shared" si="1"/>
        <v>Low</v>
      </c>
    </row>
    <row r="71" spans="1:5" x14ac:dyDescent="0.15">
      <c r="A71" s="3">
        <v>70</v>
      </c>
      <c r="B71" s="3">
        <v>49.77</v>
      </c>
      <c r="C71" s="3" t="s">
        <v>46</v>
      </c>
      <c r="D71" s="3" t="s">
        <v>56</v>
      </c>
      <c r="E71" s="10" t="str">
        <f t="shared" si="1"/>
        <v>High</v>
      </c>
    </row>
    <row r="72" spans="1:5" x14ac:dyDescent="0.15">
      <c r="A72" s="3">
        <v>71</v>
      </c>
      <c r="B72" s="3">
        <v>30.74</v>
      </c>
      <c r="C72" s="3" t="s">
        <v>46</v>
      </c>
      <c r="D72" s="3" t="s">
        <v>57</v>
      </c>
      <c r="E72" s="10" t="str">
        <f t="shared" si="1"/>
        <v>Low</v>
      </c>
    </row>
    <row r="73" spans="1:5" x14ac:dyDescent="0.15">
      <c r="A73" s="3">
        <v>72</v>
      </c>
      <c r="B73" s="3">
        <v>45.47</v>
      </c>
      <c r="C73" s="3" t="s">
        <v>49</v>
      </c>
      <c r="D73" s="3" t="s">
        <v>50</v>
      </c>
      <c r="E73" s="10" t="str">
        <f t="shared" si="1"/>
        <v>High</v>
      </c>
    </row>
    <row r="74" spans="1:5" x14ac:dyDescent="0.15">
      <c r="A74" s="3">
        <v>73</v>
      </c>
      <c r="B74" s="3">
        <v>43.73</v>
      </c>
      <c r="C74" s="3" t="s">
        <v>60</v>
      </c>
      <c r="D74" s="3" t="s">
        <v>58</v>
      </c>
      <c r="E74" s="10" t="str">
        <f t="shared" si="1"/>
        <v>Medium</v>
      </c>
    </row>
    <row r="75" spans="1:5" x14ac:dyDescent="0.15">
      <c r="A75" s="3">
        <v>74</v>
      </c>
      <c r="B75" s="3">
        <v>44.51</v>
      </c>
      <c r="C75" s="3" t="s">
        <v>46</v>
      </c>
      <c r="D75" s="3" t="s">
        <v>57</v>
      </c>
      <c r="E75" s="10" t="str">
        <f t="shared" si="1"/>
        <v>Medium</v>
      </c>
    </row>
    <row r="76" spans="1:5" x14ac:dyDescent="0.15">
      <c r="A76" s="3">
        <v>75</v>
      </c>
      <c r="B76" s="3">
        <v>42.92</v>
      </c>
      <c r="C76" s="3" t="s">
        <v>49</v>
      </c>
      <c r="D76" s="3" t="s">
        <v>56</v>
      </c>
      <c r="E76" s="10" t="str">
        <f t="shared" si="1"/>
        <v>Medium</v>
      </c>
    </row>
    <row r="77" spans="1:5" x14ac:dyDescent="0.15">
      <c r="A77" s="3">
        <v>76</v>
      </c>
      <c r="B77" s="3">
        <v>31.33</v>
      </c>
      <c r="C77" s="3" t="s">
        <v>46</v>
      </c>
      <c r="D77" s="3" t="s">
        <v>54</v>
      </c>
      <c r="E77" s="10" t="str">
        <f t="shared" si="1"/>
        <v>Low</v>
      </c>
    </row>
    <row r="78" spans="1:5" x14ac:dyDescent="0.15">
      <c r="A78" s="3">
        <v>77</v>
      </c>
      <c r="B78" s="3">
        <v>29</v>
      </c>
      <c r="C78" s="3" t="s">
        <v>49</v>
      </c>
      <c r="D78" s="3" t="s">
        <v>56</v>
      </c>
      <c r="E78" s="10" t="str">
        <f t="shared" si="1"/>
        <v>Low</v>
      </c>
    </row>
    <row r="79" spans="1:5" x14ac:dyDescent="0.15">
      <c r="A79" s="3">
        <v>78</v>
      </c>
      <c r="B79" s="3">
        <v>25.4</v>
      </c>
      <c r="C79" s="3" t="s">
        <v>46</v>
      </c>
      <c r="D79" s="3" t="s">
        <v>50</v>
      </c>
      <c r="E79" s="10" t="str">
        <f t="shared" si="1"/>
        <v>Low</v>
      </c>
    </row>
    <row r="80" spans="1:5" x14ac:dyDescent="0.15">
      <c r="A80" s="3">
        <v>79</v>
      </c>
      <c r="B80" s="3">
        <v>50</v>
      </c>
      <c r="C80" s="3" t="s">
        <v>49</v>
      </c>
      <c r="D80" s="3" t="s">
        <v>50</v>
      </c>
      <c r="E80" s="10" t="str">
        <f t="shared" si="1"/>
        <v>High</v>
      </c>
    </row>
    <row r="81" spans="1:5" x14ac:dyDescent="0.15">
      <c r="A81" s="3">
        <v>80</v>
      </c>
      <c r="B81" s="3">
        <v>34.76</v>
      </c>
      <c r="C81" s="3" t="s">
        <v>60</v>
      </c>
      <c r="D81" s="3" t="s">
        <v>50</v>
      </c>
      <c r="E81" s="10" t="str">
        <f t="shared" si="1"/>
        <v>Low</v>
      </c>
    </row>
    <row r="82" spans="1:5" x14ac:dyDescent="0.15">
      <c r="A82" s="3">
        <v>81</v>
      </c>
      <c r="B82" s="3">
        <v>34.01</v>
      </c>
      <c r="C82" s="3" t="s">
        <v>46</v>
      </c>
      <c r="D82" s="3" t="s">
        <v>52</v>
      </c>
      <c r="E82" s="10" t="str">
        <f t="shared" si="1"/>
        <v>Low</v>
      </c>
    </row>
    <row r="83" spans="1:5" x14ac:dyDescent="0.15">
      <c r="A83" s="3">
        <v>82</v>
      </c>
      <c r="B83" s="3">
        <v>41.26</v>
      </c>
      <c r="C83" s="3" t="s">
        <v>60</v>
      </c>
      <c r="D83" s="3" t="s">
        <v>57</v>
      </c>
      <c r="E83" s="10" t="str">
        <f t="shared" si="1"/>
        <v>Medium</v>
      </c>
    </row>
    <row r="84" spans="1:5" x14ac:dyDescent="0.15">
      <c r="A84" s="3">
        <v>83</v>
      </c>
      <c r="B84" s="3">
        <v>37.590000000000003</v>
      </c>
      <c r="C84" s="3" t="s">
        <v>46</v>
      </c>
      <c r="D84" s="3" t="s">
        <v>57</v>
      </c>
      <c r="E84" s="10" t="str">
        <f t="shared" si="1"/>
        <v>Medium</v>
      </c>
    </row>
    <row r="85" spans="1:5" x14ac:dyDescent="0.15">
      <c r="A85" s="3">
        <v>84</v>
      </c>
      <c r="B85" s="3">
        <v>42.92</v>
      </c>
      <c r="C85" s="3" t="s">
        <v>49</v>
      </c>
      <c r="D85" s="3" t="s">
        <v>56</v>
      </c>
      <c r="E85" s="10" t="str">
        <f t="shared" si="1"/>
        <v>Medium</v>
      </c>
    </row>
    <row r="86" spans="1:5" x14ac:dyDescent="0.15">
      <c r="A86" s="3">
        <v>85</v>
      </c>
      <c r="B86" s="3">
        <v>32.700000000000003</v>
      </c>
      <c r="C86" s="3" t="s">
        <v>46</v>
      </c>
      <c r="D86" s="3" t="s">
        <v>57</v>
      </c>
      <c r="E86" s="10" t="str">
        <f t="shared" si="1"/>
        <v>Low</v>
      </c>
    </row>
    <row r="87" spans="1:5" x14ac:dyDescent="0.15">
      <c r="A87" s="3">
        <v>86</v>
      </c>
      <c r="B87" s="3">
        <v>27.18</v>
      </c>
      <c r="C87" s="3" t="s">
        <v>46</v>
      </c>
      <c r="D87" s="3" t="s">
        <v>50</v>
      </c>
      <c r="E87" s="10" t="str">
        <f t="shared" si="1"/>
        <v>Low</v>
      </c>
    </row>
    <row r="88" spans="1:5" x14ac:dyDescent="0.15">
      <c r="A88" s="3">
        <v>87</v>
      </c>
      <c r="B88" s="3">
        <v>41.88</v>
      </c>
      <c r="C88" s="3" t="s">
        <v>49</v>
      </c>
      <c r="D88" s="3" t="s">
        <v>58</v>
      </c>
      <c r="E88" s="10" t="str">
        <f t="shared" si="1"/>
        <v>Medium</v>
      </c>
    </row>
    <row r="89" spans="1:5" x14ac:dyDescent="0.15">
      <c r="A89" s="3">
        <v>88</v>
      </c>
      <c r="B89" s="3">
        <v>31</v>
      </c>
      <c r="C89" s="3" t="s">
        <v>60</v>
      </c>
      <c r="D89" s="3" t="s">
        <v>54</v>
      </c>
      <c r="E89" s="10" t="str">
        <f t="shared" si="1"/>
        <v>Low</v>
      </c>
    </row>
    <row r="90" spans="1:5" x14ac:dyDescent="0.15">
      <c r="A90" s="3">
        <v>89</v>
      </c>
      <c r="B90" s="3">
        <v>41.93</v>
      </c>
      <c r="C90" s="3" t="s">
        <v>46</v>
      </c>
      <c r="D90" s="3"/>
      <c r="E90" s="10" t="str">
        <f t="shared" si="1"/>
        <v>Medium</v>
      </c>
    </row>
    <row r="91" spans="1:5" x14ac:dyDescent="0.15">
      <c r="A91" s="3">
        <v>90</v>
      </c>
      <c r="B91" s="3">
        <v>43</v>
      </c>
      <c r="C91" s="3" t="s">
        <v>49</v>
      </c>
      <c r="D91" s="3" t="s">
        <v>52</v>
      </c>
      <c r="E91" s="10" t="str">
        <f t="shared" si="1"/>
        <v>Medium</v>
      </c>
    </row>
    <row r="92" spans="1:5" x14ac:dyDescent="0.15">
      <c r="A92" s="3">
        <v>91</v>
      </c>
      <c r="B92" s="3">
        <v>33.450000000000003</v>
      </c>
      <c r="C92" s="3" t="s">
        <v>46</v>
      </c>
      <c r="D92" s="3" t="s">
        <v>56</v>
      </c>
      <c r="E92" s="10" t="str">
        <f t="shared" si="1"/>
        <v>Low</v>
      </c>
    </row>
    <row r="93" spans="1:5" x14ac:dyDescent="0.15">
      <c r="A93" s="3">
        <v>92</v>
      </c>
      <c r="B93" s="3">
        <v>49.77</v>
      </c>
      <c r="C93" s="3" t="s">
        <v>46</v>
      </c>
      <c r="D93" s="3" t="s">
        <v>56</v>
      </c>
      <c r="E93" s="10" t="str">
        <f t="shared" si="1"/>
        <v>High</v>
      </c>
    </row>
    <row r="94" spans="1:5" x14ac:dyDescent="0.15">
      <c r="A94" s="3">
        <v>93</v>
      </c>
      <c r="B94" s="3">
        <v>44.51</v>
      </c>
      <c r="C94" s="3" t="s">
        <v>46</v>
      </c>
      <c r="D94" s="3" t="s">
        <v>57</v>
      </c>
      <c r="E94" s="10" t="str">
        <f t="shared" si="1"/>
        <v>Medium</v>
      </c>
    </row>
    <row r="95" spans="1:5" x14ac:dyDescent="0.15">
      <c r="A95" s="3">
        <v>94</v>
      </c>
      <c r="B95" s="3">
        <v>45.01</v>
      </c>
      <c r="C95" s="3" t="s">
        <v>49</v>
      </c>
      <c r="D95" s="3" t="s">
        <v>50</v>
      </c>
      <c r="E95" s="10" t="str">
        <f t="shared" si="1"/>
        <v>High</v>
      </c>
    </row>
    <row r="96" spans="1:5" x14ac:dyDescent="0.15">
      <c r="A96" s="3">
        <v>95</v>
      </c>
      <c r="B96" s="3">
        <v>45.02</v>
      </c>
      <c r="C96" s="3" t="s">
        <v>49</v>
      </c>
      <c r="D96" s="3" t="s">
        <v>50</v>
      </c>
      <c r="E96" s="10" t="str">
        <f t="shared" si="1"/>
        <v>High</v>
      </c>
    </row>
    <row r="97" spans="1:5" x14ac:dyDescent="0.15">
      <c r="A97" s="3">
        <v>96</v>
      </c>
      <c r="B97" s="3">
        <v>41.14</v>
      </c>
      <c r="C97" s="3" t="s">
        <v>46</v>
      </c>
      <c r="D97" s="3" t="s">
        <v>50</v>
      </c>
      <c r="E97" s="10" t="str">
        <f t="shared" si="1"/>
        <v>Medium</v>
      </c>
    </row>
    <row r="98" spans="1:5" x14ac:dyDescent="0.15">
      <c r="A98" s="3">
        <v>97</v>
      </c>
      <c r="B98" s="3">
        <v>48.09</v>
      </c>
      <c r="C98" s="3" t="s">
        <v>46</v>
      </c>
      <c r="D98" s="3" t="s">
        <v>54</v>
      </c>
      <c r="E98" s="10" t="str">
        <f t="shared" si="1"/>
        <v>High</v>
      </c>
    </row>
    <row r="99" spans="1:5" x14ac:dyDescent="0.15">
      <c r="A99" s="3">
        <v>98</v>
      </c>
      <c r="B99" s="3">
        <v>46.18</v>
      </c>
      <c r="C99" s="3" t="s">
        <v>49</v>
      </c>
      <c r="D99" s="3" t="s">
        <v>50</v>
      </c>
      <c r="E99" s="10" t="str">
        <f t="shared" si="1"/>
        <v>High</v>
      </c>
    </row>
    <row r="100" spans="1:5" x14ac:dyDescent="0.15">
      <c r="A100" s="3">
        <v>99</v>
      </c>
      <c r="B100" s="3">
        <v>45.73</v>
      </c>
      <c r="C100" s="3" t="s">
        <v>49</v>
      </c>
      <c r="D100" s="3" t="s">
        <v>50</v>
      </c>
      <c r="E100" s="10" t="str">
        <f t="shared" si="1"/>
        <v>High</v>
      </c>
    </row>
    <row r="101" spans="1:5" x14ac:dyDescent="0.15">
      <c r="A101" s="3">
        <v>100</v>
      </c>
      <c r="B101" s="3">
        <v>47.13</v>
      </c>
      <c r="C101" s="3" t="s">
        <v>46</v>
      </c>
      <c r="D101" s="3" t="s">
        <v>50</v>
      </c>
      <c r="E101" s="10" t="str">
        <f t="shared" si="1"/>
        <v>High</v>
      </c>
    </row>
    <row r="102" spans="1:5" x14ac:dyDescent="0.15">
      <c r="A102" s="3">
        <v>101</v>
      </c>
      <c r="B102" s="3">
        <v>47.72</v>
      </c>
      <c r="C102" s="3" t="s">
        <v>46</v>
      </c>
      <c r="D102" s="3" t="s">
        <v>52</v>
      </c>
      <c r="E102" s="10" t="str">
        <f t="shared" si="1"/>
        <v>High</v>
      </c>
    </row>
    <row r="103" spans="1:5" x14ac:dyDescent="0.15">
      <c r="A103" s="3">
        <v>102</v>
      </c>
      <c r="B103" s="3">
        <v>40.18</v>
      </c>
      <c r="C103" s="3" t="s">
        <v>46</v>
      </c>
      <c r="D103" s="3" t="s">
        <v>57</v>
      </c>
      <c r="E103" s="10" t="str">
        <f t="shared" si="1"/>
        <v>Medium</v>
      </c>
    </row>
    <row r="104" spans="1:5" x14ac:dyDescent="0.15">
      <c r="A104" s="3">
        <v>103</v>
      </c>
      <c r="B104" s="3">
        <v>37.53</v>
      </c>
      <c r="C104" s="3" t="s">
        <v>46</v>
      </c>
      <c r="D104" s="3" t="s">
        <v>52</v>
      </c>
      <c r="E104" s="10" t="str">
        <f t="shared" si="1"/>
        <v>Medium</v>
      </c>
    </row>
    <row r="105" spans="1:5" x14ac:dyDescent="0.15">
      <c r="A105" s="3">
        <v>104</v>
      </c>
      <c r="B105" s="3">
        <v>29.56</v>
      </c>
      <c r="C105" s="3" t="s">
        <v>46</v>
      </c>
      <c r="D105" s="3" t="s">
        <v>58</v>
      </c>
      <c r="E105" s="10" t="str">
        <f t="shared" si="1"/>
        <v>Low</v>
      </c>
    </row>
    <row r="106" spans="1:5" x14ac:dyDescent="0.15">
      <c r="A106" s="3">
        <v>105</v>
      </c>
      <c r="B106" s="3">
        <v>48.71</v>
      </c>
      <c r="C106" s="3" t="s">
        <v>49</v>
      </c>
      <c r="D106" s="3" t="s">
        <v>50</v>
      </c>
      <c r="E106" s="10" t="str">
        <f t="shared" si="1"/>
        <v>High</v>
      </c>
    </row>
    <row r="107" spans="1:5" x14ac:dyDescent="0.15">
      <c r="A107" s="3">
        <v>106</v>
      </c>
      <c r="B107" s="3">
        <v>36.75</v>
      </c>
      <c r="C107" s="3" t="s">
        <v>46</v>
      </c>
      <c r="D107" s="3" t="s">
        <v>54</v>
      </c>
      <c r="E107" s="10" t="str">
        <f t="shared" si="1"/>
        <v>Low</v>
      </c>
    </row>
    <row r="108" spans="1:5" x14ac:dyDescent="0.15">
      <c r="A108" s="3">
        <v>107</v>
      </c>
      <c r="B108" s="3">
        <v>37.229999999999997</v>
      </c>
      <c r="C108" s="3" t="s">
        <v>46</v>
      </c>
      <c r="D108" s="3" t="s">
        <v>54</v>
      </c>
      <c r="E108" s="10" t="str">
        <f t="shared" si="1"/>
        <v>Low</v>
      </c>
    </row>
    <row r="109" spans="1:5" x14ac:dyDescent="0.15">
      <c r="A109" s="3">
        <v>108</v>
      </c>
      <c r="B109" s="3">
        <v>43.12</v>
      </c>
      <c r="C109" s="3" t="s">
        <v>46</v>
      </c>
      <c r="D109" s="3"/>
      <c r="E109" s="10" t="str">
        <f t="shared" si="1"/>
        <v>Medium</v>
      </c>
    </row>
    <row r="110" spans="1:5" x14ac:dyDescent="0.15">
      <c r="A110" s="3">
        <v>109</v>
      </c>
      <c r="B110" s="3">
        <v>43.95</v>
      </c>
      <c r="C110" s="3" t="s">
        <v>49</v>
      </c>
      <c r="D110" s="3" t="s">
        <v>50</v>
      </c>
      <c r="E110" s="10" t="str">
        <f t="shared" si="1"/>
        <v>Medium</v>
      </c>
    </row>
    <row r="111" spans="1:5" x14ac:dyDescent="0.15">
      <c r="A111" s="3">
        <v>110</v>
      </c>
      <c r="B111" s="3">
        <v>51</v>
      </c>
      <c r="C111" s="3" t="s">
        <v>46</v>
      </c>
      <c r="D111" s="3" t="s">
        <v>54</v>
      </c>
      <c r="E111" s="10" t="str">
        <f t="shared" si="1"/>
        <v>High</v>
      </c>
    </row>
    <row r="112" spans="1:5" x14ac:dyDescent="0.15">
      <c r="A112" s="3">
        <v>111</v>
      </c>
      <c r="B112" s="3">
        <v>42.04</v>
      </c>
      <c r="C112" s="3" t="s">
        <v>49</v>
      </c>
      <c r="D112" s="3" t="s">
        <v>50</v>
      </c>
      <c r="E112" s="10" t="str">
        <f t="shared" si="1"/>
        <v>Medium</v>
      </c>
    </row>
    <row r="113" spans="1:5" x14ac:dyDescent="0.15">
      <c r="A113" s="3">
        <v>112</v>
      </c>
      <c r="B113" s="3">
        <v>33.659999999999997</v>
      </c>
      <c r="C113" s="3" t="s">
        <v>46</v>
      </c>
      <c r="D113" s="3" t="s">
        <v>50</v>
      </c>
      <c r="E113" s="10" t="str">
        <f t="shared" si="1"/>
        <v>Low</v>
      </c>
    </row>
    <row r="114" spans="1:5" x14ac:dyDescent="0.15">
      <c r="A114" s="3">
        <v>113</v>
      </c>
      <c r="B114" s="3">
        <v>36.130000000000003</v>
      </c>
      <c r="C114" s="3" t="s">
        <v>60</v>
      </c>
      <c r="D114" s="3" t="s">
        <v>50</v>
      </c>
      <c r="E114" s="10" t="str">
        <f t="shared" si="1"/>
        <v>Low</v>
      </c>
    </row>
    <row r="115" spans="1:5" x14ac:dyDescent="0.15">
      <c r="A115" s="3">
        <v>114</v>
      </c>
      <c r="B115" s="3">
        <v>47.16</v>
      </c>
      <c r="C115" s="3" t="s">
        <v>49</v>
      </c>
      <c r="D115" s="3" t="s">
        <v>50</v>
      </c>
      <c r="E115" s="10" t="str">
        <f t="shared" si="1"/>
        <v>High</v>
      </c>
    </row>
    <row r="116" spans="1:5" x14ac:dyDescent="0.15">
      <c r="A116" s="3">
        <v>115</v>
      </c>
      <c r="B116" s="3">
        <v>40.18</v>
      </c>
      <c r="C116" s="3" t="s">
        <v>46</v>
      </c>
      <c r="D116" s="3" t="s">
        <v>57</v>
      </c>
      <c r="E116" s="10" t="str">
        <f t="shared" si="1"/>
        <v>Medium</v>
      </c>
    </row>
    <row r="117" spans="1:5" x14ac:dyDescent="0.15">
      <c r="A117" s="3">
        <v>116</v>
      </c>
      <c r="B117" s="3">
        <v>42.61</v>
      </c>
      <c r="C117" s="3" t="s">
        <v>49</v>
      </c>
      <c r="D117" s="3" t="s">
        <v>50</v>
      </c>
      <c r="E117" s="10" t="str">
        <f t="shared" si="1"/>
        <v>Medium</v>
      </c>
    </row>
    <row r="118" spans="1:5" x14ac:dyDescent="0.15">
      <c r="A118" s="3">
        <v>117</v>
      </c>
      <c r="B118" s="3">
        <v>35.71</v>
      </c>
      <c r="C118" s="3" t="s">
        <v>46</v>
      </c>
      <c r="D118" s="3" t="s">
        <v>57</v>
      </c>
      <c r="E118" s="10" t="str">
        <f t="shared" si="1"/>
        <v>Low</v>
      </c>
    </row>
    <row r="119" spans="1:5" x14ac:dyDescent="0.15">
      <c r="A119" s="3">
        <v>118</v>
      </c>
      <c r="B119" s="3">
        <v>36.11</v>
      </c>
      <c r="C119" s="3" t="s">
        <v>46</v>
      </c>
      <c r="D119" s="3" t="s">
        <v>58</v>
      </c>
      <c r="E119" s="10" t="str">
        <f t="shared" si="1"/>
        <v>Low</v>
      </c>
    </row>
    <row r="120" spans="1:5" x14ac:dyDescent="0.15">
      <c r="A120" s="3">
        <v>119</v>
      </c>
      <c r="B120" s="3">
        <v>48.93</v>
      </c>
      <c r="C120" s="3" t="s">
        <v>46</v>
      </c>
      <c r="D120" s="3" t="s">
        <v>54</v>
      </c>
      <c r="E120" s="10" t="str">
        <f t="shared" si="1"/>
        <v>High</v>
      </c>
    </row>
    <row r="121" spans="1:5" x14ac:dyDescent="0.15">
      <c r="A121" s="3">
        <v>120</v>
      </c>
      <c r="B121" s="3">
        <v>44.9</v>
      </c>
      <c r="C121" s="3" t="s">
        <v>46</v>
      </c>
      <c r="D121" s="3" t="s">
        <v>54</v>
      </c>
      <c r="E121" s="10" t="str">
        <f t="shared" si="1"/>
        <v>High</v>
      </c>
    </row>
    <row r="122" spans="1:5" x14ac:dyDescent="0.15">
      <c r="A122" s="3">
        <v>121</v>
      </c>
      <c r="B122" s="3">
        <v>48.71</v>
      </c>
      <c r="C122" s="3" t="s">
        <v>46</v>
      </c>
      <c r="D122" s="3" t="s">
        <v>54</v>
      </c>
      <c r="E122" s="10" t="str">
        <f t="shared" si="1"/>
        <v>High</v>
      </c>
    </row>
    <row r="123" spans="1:5" x14ac:dyDescent="0.15">
      <c r="A123" s="3">
        <v>122</v>
      </c>
      <c r="B123" s="3">
        <v>32.94</v>
      </c>
      <c r="C123" s="3" t="s">
        <v>46</v>
      </c>
      <c r="D123" s="3" t="s">
        <v>56</v>
      </c>
      <c r="E123" s="10" t="str">
        <f t="shared" si="1"/>
        <v>Low</v>
      </c>
    </row>
    <row r="124" spans="1:5" x14ac:dyDescent="0.15">
      <c r="A124" s="3">
        <v>123</v>
      </c>
      <c r="B124" s="3">
        <v>48.53</v>
      </c>
      <c r="C124" s="3" t="s">
        <v>46</v>
      </c>
      <c r="D124" s="3" t="s">
        <v>50</v>
      </c>
      <c r="E124" s="10" t="str">
        <f t="shared" si="1"/>
        <v>High</v>
      </c>
    </row>
    <row r="125" spans="1:5" x14ac:dyDescent="0.15">
      <c r="A125" s="3">
        <v>124</v>
      </c>
      <c r="B125" s="3">
        <v>44.9</v>
      </c>
      <c r="C125" s="3" t="s">
        <v>46</v>
      </c>
      <c r="D125" s="3" t="s">
        <v>54</v>
      </c>
      <c r="E125" s="10" t="str">
        <f t="shared" si="1"/>
        <v>High</v>
      </c>
    </row>
    <row r="126" spans="1:5" x14ac:dyDescent="0.15">
      <c r="A126" s="3">
        <v>125</v>
      </c>
      <c r="B126" s="3">
        <v>47.72</v>
      </c>
      <c r="C126" s="3" t="s">
        <v>60</v>
      </c>
      <c r="D126" s="3" t="s">
        <v>50</v>
      </c>
      <c r="E126" s="10" t="str">
        <f t="shared" si="1"/>
        <v>High</v>
      </c>
    </row>
    <row r="127" spans="1:5" x14ac:dyDescent="0.15">
      <c r="A127" s="3">
        <v>126</v>
      </c>
      <c r="B127" s="3">
        <v>42.58</v>
      </c>
      <c r="C127" s="3" t="s">
        <v>49</v>
      </c>
      <c r="D127" s="3" t="s">
        <v>52</v>
      </c>
      <c r="E127" s="10" t="str">
        <f t="shared" si="1"/>
        <v>Medium</v>
      </c>
    </row>
    <row r="128" spans="1:5" x14ac:dyDescent="0.15">
      <c r="A128" s="3">
        <v>127</v>
      </c>
      <c r="B128" s="3">
        <v>25.17</v>
      </c>
      <c r="C128" s="3" t="s">
        <v>60</v>
      </c>
      <c r="D128" s="3" t="s">
        <v>52</v>
      </c>
      <c r="E128" s="10" t="str">
        <f t="shared" si="1"/>
        <v>Low</v>
      </c>
    </row>
    <row r="129" spans="1:5" x14ac:dyDescent="0.15">
      <c r="A129" s="3">
        <v>128</v>
      </c>
      <c r="B129" s="3">
        <v>47.1</v>
      </c>
      <c r="C129" s="3" t="s">
        <v>49</v>
      </c>
      <c r="D129" s="3" t="s">
        <v>54</v>
      </c>
      <c r="E129" s="10" t="str">
        <f t="shared" si="1"/>
        <v>High</v>
      </c>
    </row>
    <row r="130" spans="1:5" x14ac:dyDescent="0.15">
      <c r="A130" s="3">
        <v>129</v>
      </c>
      <c r="B130" s="3">
        <v>47.79</v>
      </c>
      <c r="C130" s="3" t="s">
        <v>49</v>
      </c>
      <c r="D130" s="3" t="s">
        <v>50</v>
      </c>
      <c r="E130" s="10" t="str">
        <f t="shared" si="1"/>
        <v>High</v>
      </c>
    </row>
    <row r="131" spans="1:5" x14ac:dyDescent="0.15">
      <c r="A131" s="3">
        <v>130</v>
      </c>
      <c r="B131" s="3">
        <v>48.98</v>
      </c>
      <c r="C131" s="3" t="s">
        <v>49</v>
      </c>
      <c r="D131" s="3" t="s">
        <v>58</v>
      </c>
      <c r="E131" s="10" t="str">
        <f t="shared" ref="E131:E194" si="2">IF(B131&lt;=$L$2,"Low",IF(B131&lt;=$L$3,"Medium",IF(B131&lt;=$L$4,"High")))</f>
        <v>High</v>
      </c>
    </row>
    <row r="132" spans="1:5" x14ac:dyDescent="0.15">
      <c r="A132" s="3">
        <v>131</v>
      </c>
      <c r="B132" s="3">
        <v>44.59</v>
      </c>
      <c r="C132" s="3" t="s">
        <v>49</v>
      </c>
      <c r="D132" s="3" t="s">
        <v>50</v>
      </c>
      <c r="E132" s="10" t="str">
        <f t="shared" si="2"/>
        <v>High</v>
      </c>
    </row>
    <row r="133" spans="1:5" x14ac:dyDescent="0.15">
      <c r="A133" s="3">
        <v>132</v>
      </c>
      <c r="B133" s="3">
        <v>41.06</v>
      </c>
      <c r="C133" s="3" t="s">
        <v>46</v>
      </c>
      <c r="D133" s="3" t="s">
        <v>57</v>
      </c>
      <c r="E133" s="10" t="str">
        <f t="shared" si="2"/>
        <v>Medium</v>
      </c>
    </row>
    <row r="134" spans="1:5" x14ac:dyDescent="0.15">
      <c r="A134" s="3">
        <v>133</v>
      </c>
      <c r="B134" s="3">
        <v>43.83</v>
      </c>
      <c r="C134" s="3" t="s">
        <v>49</v>
      </c>
      <c r="D134" s="3" t="s">
        <v>50</v>
      </c>
      <c r="E134" s="10" t="str">
        <f t="shared" si="2"/>
        <v>Medium</v>
      </c>
    </row>
    <row r="135" spans="1:5" x14ac:dyDescent="0.15">
      <c r="A135" s="3">
        <v>134</v>
      </c>
      <c r="B135" s="3">
        <v>45.49</v>
      </c>
      <c r="C135" s="3" t="s">
        <v>60</v>
      </c>
      <c r="D135" s="3" t="s">
        <v>54</v>
      </c>
      <c r="E135" s="10" t="str">
        <f t="shared" si="2"/>
        <v>High</v>
      </c>
    </row>
    <row r="136" spans="1:5" x14ac:dyDescent="0.15">
      <c r="A136" s="3">
        <v>135</v>
      </c>
      <c r="B136" s="3">
        <v>44.57</v>
      </c>
      <c r="C136" s="3" t="s">
        <v>46</v>
      </c>
      <c r="D136" s="3" t="s">
        <v>58</v>
      </c>
      <c r="E136" s="10" t="str">
        <f t="shared" si="2"/>
        <v>Medium</v>
      </c>
    </row>
    <row r="137" spans="1:5" x14ac:dyDescent="0.15">
      <c r="A137" s="3">
        <v>136</v>
      </c>
      <c r="B137" s="3">
        <v>48.56</v>
      </c>
      <c r="C137" s="3" t="s">
        <v>49</v>
      </c>
      <c r="D137" s="3" t="s">
        <v>56</v>
      </c>
      <c r="E137" s="10" t="str">
        <f t="shared" si="2"/>
        <v>High</v>
      </c>
    </row>
    <row r="138" spans="1:5" x14ac:dyDescent="0.15">
      <c r="A138" s="3">
        <v>137</v>
      </c>
      <c r="B138" s="3">
        <v>48.87</v>
      </c>
      <c r="C138" s="3" t="s">
        <v>60</v>
      </c>
      <c r="D138" s="3" t="s">
        <v>52</v>
      </c>
      <c r="E138" s="10" t="str">
        <f t="shared" si="2"/>
        <v>High</v>
      </c>
    </row>
    <row r="139" spans="1:5" x14ac:dyDescent="0.15">
      <c r="A139" s="3">
        <v>138</v>
      </c>
      <c r="B139" s="3">
        <v>40.18</v>
      </c>
      <c r="C139" s="3" t="s">
        <v>46</v>
      </c>
      <c r="D139" s="3" t="s">
        <v>58</v>
      </c>
      <c r="E139" s="10" t="str">
        <f t="shared" si="2"/>
        <v>Medium</v>
      </c>
    </row>
    <row r="140" spans="1:5" x14ac:dyDescent="0.15">
      <c r="A140" s="3">
        <v>139</v>
      </c>
      <c r="B140" s="3">
        <v>42.18</v>
      </c>
      <c r="C140" s="3"/>
      <c r="D140" s="3" t="s">
        <v>50</v>
      </c>
      <c r="E140" s="10" t="str">
        <f t="shared" si="2"/>
        <v>Medium</v>
      </c>
    </row>
    <row r="141" spans="1:5" x14ac:dyDescent="0.15">
      <c r="A141" s="3">
        <v>140</v>
      </c>
      <c r="B141" s="3">
        <v>42.03</v>
      </c>
      <c r="C141" s="3" t="s">
        <v>49</v>
      </c>
      <c r="D141" s="3" t="s">
        <v>50</v>
      </c>
      <c r="E141" s="10" t="str">
        <f t="shared" si="2"/>
        <v>Medium</v>
      </c>
    </row>
    <row r="142" spans="1:5" x14ac:dyDescent="0.15">
      <c r="A142" s="3">
        <v>141</v>
      </c>
      <c r="B142" s="3">
        <v>49.49</v>
      </c>
      <c r="C142" s="3" t="s">
        <v>60</v>
      </c>
      <c r="D142" s="3" t="s">
        <v>56</v>
      </c>
      <c r="E142" s="10" t="str">
        <f t="shared" si="2"/>
        <v>High</v>
      </c>
    </row>
    <row r="143" spans="1:5" x14ac:dyDescent="0.15">
      <c r="A143" s="3">
        <v>142</v>
      </c>
      <c r="B143" s="3">
        <v>25.17</v>
      </c>
      <c r="C143" s="3" t="s">
        <v>49</v>
      </c>
      <c r="D143" s="3" t="s">
        <v>50</v>
      </c>
      <c r="E143" s="10" t="str">
        <f t="shared" si="2"/>
        <v>Low</v>
      </c>
    </row>
    <row r="144" spans="1:5" x14ac:dyDescent="0.15">
      <c r="A144" s="3">
        <v>143</v>
      </c>
      <c r="B144" s="3">
        <v>32.380000000000003</v>
      </c>
      <c r="C144" s="3" t="s">
        <v>46</v>
      </c>
      <c r="D144" s="3" t="s">
        <v>50</v>
      </c>
      <c r="E144" s="10" t="str">
        <f t="shared" si="2"/>
        <v>Low</v>
      </c>
    </row>
    <row r="145" spans="1:5" x14ac:dyDescent="0.15">
      <c r="A145" s="3">
        <v>144</v>
      </c>
      <c r="B145" s="3">
        <v>26.9</v>
      </c>
      <c r="C145" s="3" t="s">
        <v>46</v>
      </c>
      <c r="D145" s="3" t="s">
        <v>52</v>
      </c>
      <c r="E145" s="10" t="str">
        <f t="shared" si="2"/>
        <v>Low</v>
      </c>
    </row>
    <row r="146" spans="1:5" x14ac:dyDescent="0.15">
      <c r="A146" s="3">
        <v>145</v>
      </c>
      <c r="B146" s="3">
        <v>47.38</v>
      </c>
      <c r="C146" s="3" t="s">
        <v>49</v>
      </c>
      <c r="D146" s="3" t="s">
        <v>50</v>
      </c>
      <c r="E146" s="10" t="str">
        <f t="shared" si="2"/>
        <v>High</v>
      </c>
    </row>
    <row r="147" spans="1:5" x14ac:dyDescent="0.15">
      <c r="A147" s="3">
        <v>146</v>
      </c>
      <c r="B147" s="3">
        <v>48.53</v>
      </c>
      <c r="C147" s="3" t="s">
        <v>46</v>
      </c>
      <c r="D147" s="3" t="s">
        <v>50</v>
      </c>
      <c r="E147" s="10" t="str">
        <f t="shared" si="2"/>
        <v>High</v>
      </c>
    </row>
    <row r="148" spans="1:5" x14ac:dyDescent="0.15">
      <c r="A148" s="3">
        <v>147</v>
      </c>
      <c r="B148" s="3">
        <v>41.26</v>
      </c>
      <c r="C148" s="3" t="s">
        <v>49</v>
      </c>
      <c r="D148" s="3" t="s">
        <v>57</v>
      </c>
      <c r="E148" s="10" t="str">
        <f t="shared" si="2"/>
        <v>Medium</v>
      </c>
    </row>
    <row r="149" spans="1:5" x14ac:dyDescent="0.15">
      <c r="A149" s="3">
        <v>148</v>
      </c>
      <c r="B149" s="3">
        <v>44.51</v>
      </c>
      <c r="C149" s="3" t="s">
        <v>46</v>
      </c>
      <c r="D149" s="3" t="s">
        <v>57</v>
      </c>
      <c r="E149" s="10" t="str">
        <f t="shared" si="2"/>
        <v>Medium</v>
      </c>
    </row>
    <row r="150" spans="1:5" x14ac:dyDescent="0.15">
      <c r="A150" s="3">
        <v>149</v>
      </c>
      <c r="B150" s="3">
        <v>40.479999999999997</v>
      </c>
      <c r="C150" s="3" t="s">
        <v>49</v>
      </c>
      <c r="D150" s="3" t="s">
        <v>50</v>
      </c>
      <c r="E150" s="10" t="str">
        <f t="shared" si="2"/>
        <v>Medium</v>
      </c>
    </row>
    <row r="151" spans="1:5" x14ac:dyDescent="0.15">
      <c r="A151" s="3">
        <v>150</v>
      </c>
      <c r="B151" s="3">
        <v>26.09</v>
      </c>
      <c r="C151" s="3" t="s">
        <v>46</v>
      </c>
      <c r="D151" s="3" t="s">
        <v>54</v>
      </c>
      <c r="E151" s="10" t="str">
        <f t="shared" si="2"/>
        <v>Low</v>
      </c>
    </row>
    <row r="152" spans="1:5" x14ac:dyDescent="0.15">
      <c r="A152" s="3">
        <v>151</v>
      </c>
      <c r="B152" s="3">
        <v>44.98</v>
      </c>
      <c r="C152" s="3" t="s">
        <v>46</v>
      </c>
      <c r="D152" s="3" t="s">
        <v>57</v>
      </c>
      <c r="E152" s="10" t="str">
        <f t="shared" si="2"/>
        <v>High</v>
      </c>
    </row>
    <row r="153" spans="1:5" x14ac:dyDescent="0.15">
      <c r="A153" s="3">
        <v>152</v>
      </c>
      <c r="B153" s="3">
        <v>30.74</v>
      </c>
      <c r="C153" s="3" t="s">
        <v>46</v>
      </c>
      <c r="D153" s="3" t="s">
        <v>57</v>
      </c>
      <c r="E153" s="10" t="str">
        <f t="shared" si="2"/>
        <v>Low</v>
      </c>
    </row>
    <row r="154" spans="1:5" x14ac:dyDescent="0.15">
      <c r="A154" s="3">
        <v>153</v>
      </c>
      <c r="B154" s="3">
        <v>40.479999999999997</v>
      </c>
      <c r="C154" s="3" t="s">
        <v>46</v>
      </c>
      <c r="D154" s="3" t="s">
        <v>58</v>
      </c>
      <c r="E154" s="10" t="str">
        <f t="shared" si="2"/>
        <v>Medium</v>
      </c>
    </row>
    <row r="155" spans="1:5" x14ac:dyDescent="0.15">
      <c r="A155" s="3">
        <v>154</v>
      </c>
      <c r="B155" s="3">
        <v>40.340000000000003</v>
      </c>
      <c r="C155" s="3" t="s">
        <v>46</v>
      </c>
      <c r="D155" s="3" t="s">
        <v>54</v>
      </c>
      <c r="E155" s="10" t="str">
        <f t="shared" si="2"/>
        <v>Medium</v>
      </c>
    </row>
    <row r="156" spans="1:5" x14ac:dyDescent="0.15">
      <c r="A156" s="3">
        <v>155</v>
      </c>
      <c r="B156" s="3">
        <v>47.54</v>
      </c>
      <c r="C156" s="3" t="s">
        <v>49</v>
      </c>
      <c r="D156" s="3" t="s">
        <v>54</v>
      </c>
      <c r="E156" s="10" t="str">
        <f t="shared" si="2"/>
        <v>High</v>
      </c>
    </row>
    <row r="157" spans="1:5" x14ac:dyDescent="0.15">
      <c r="A157" s="3">
        <v>156</v>
      </c>
      <c r="B157" s="3">
        <v>25.4</v>
      </c>
      <c r="C157" s="3" t="s">
        <v>46</v>
      </c>
      <c r="D157" s="3" t="s">
        <v>50</v>
      </c>
      <c r="E157" s="10" t="str">
        <f t="shared" si="2"/>
        <v>Low</v>
      </c>
    </row>
    <row r="158" spans="1:5" x14ac:dyDescent="0.15">
      <c r="A158" s="3">
        <v>157</v>
      </c>
      <c r="B158" s="3">
        <v>36.299999999999997</v>
      </c>
      <c r="C158" s="3" t="s">
        <v>46</v>
      </c>
      <c r="D158" s="3" t="s">
        <v>56</v>
      </c>
      <c r="E158" s="10" t="str">
        <f t="shared" si="2"/>
        <v>Low</v>
      </c>
    </row>
    <row r="159" spans="1:5" x14ac:dyDescent="0.15">
      <c r="A159" s="3">
        <v>158</v>
      </c>
      <c r="B159" s="3">
        <v>44.38</v>
      </c>
      <c r="C159" s="3" t="s">
        <v>46</v>
      </c>
      <c r="D159" s="3" t="s">
        <v>54</v>
      </c>
      <c r="E159" s="10" t="str">
        <f t="shared" si="2"/>
        <v>Medium</v>
      </c>
    </row>
    <row r="160" spans="1:5" x14ac:dyDescent="0.15">
      <c r="A160" s="3">
        <v>159</v>
      </c>
      <c r="B160" s="3">
        <v>31.33</v>
      </c>
      <c r="C160" s="3" t="s">
        <v>46</v>
      </c>
      <c r="D160" s="3" t="s">
        <v>54</v>
      </c>
      <c r="E160" s="10" t="str">
        <f t="shared" si="2"/>
        <v>Low</v>
      </c>
    </row>
    <row r="161" spans="1:5" x14ac:dyDescent="0.15">
      <c r="A161" s="3">
        <v>160</v>
      </c>
      <c r="B161" s="3">
        <v>48.09</v>
      </c>
      <c r="C161" s="3" t="s">
        <v>46</v>
      </c>
      <c r="D161" s="3" t="s">
        <v>54</v>
      </c>
      <c r="E161" s="10" t="str">
        <f t="shared" si="2"/>
        <v>High</v>
      </c>
    </row>
    <row r="162" spans="1:5" x14ac:dyDescent="0.15">
      <c r="A162" s="3">
        <v>161</v>
      </c>
      <c r="B162" s="3">
        <v>46.35</v>
      </c>
      <c r="C162" s="3" t="s">
        <v>46</v>
      </c>
      <c r="D162" s="3" t="s">
        <v>54</v>
      </c>
      <c r="E162" s="10" t="str">
        <f t="shared" si="2"/>
        <v>High</v>
      </c>
    </row>
    <row r="163" spans="1:5" x14ac:dyDescent="0.15">
      <c r="A163" s="3">
        <v>162</v>
      </c>
      <c r="B163" s="3">
        <v>43.03</v>
      </c>
      <c r="C163" s="3" t="s">
        <v>46</v>
      </c>
      <c r="D163" s="3" t="s">
        <v>52</v>
      </c>
      <c r="E163" s="10" t="str">
        <f t="shared" si="2"/>
        <v>Medium</v>
      </c>
    </row>
    <row r="164" spans="1:5" x14ac:dyDescent="0.15">
      <c r="A164" s="3">
        <v>163</v>
      </c>
      <c r="B164" s="3">
        <v>48.08</v>
      </c>
      <c r="C164" s="3" t="s">
        <v>60</v>
      </c>
      <c r="D164" s="3" t="s">
        <v>52</v>
      </c>
      <c r="E164" s="10" t="str">
        <f t="shared" si="2"/>
        <v>High</v>
      </c>
    </row>
    <row r="165" spans="1:5" x14ac:dyDescent="0.15">
      <c r="A165" s="3">
        <v>164</v>
      </c>
      <c r="B165" s="3">
        <v>46.17</v>
      </c>
      <c r="C165" s="3" t="s">
        <v>49</v>
      </c>
      <c r="D165" s="3" t="s">
        <v>50</v>
      </c>
      <c r="E165" s="10" t="str">
        <f t="shared" si="2"/>
        <v>High</v>
      </c>
    </row>
    <row r="166" spans="1:5" x14ac:dyDescent="0.15">
      <c r="A166" s="3">
        <v>165</v>
      </c>
      <c r="B166" s="3">
        <v>31</v>
      </c>
      <c r="C166" s="3" t="s">
        <v>46</v>
      </c>
      <c r="D166" s="3" t="s">
        <v>50</v>
      </c>
      <c r="E166" s="10" t="str">
        <f t="shared" si="2"/>
        <v>Low</v>
      </c>
    </row>
    <row r="167" spans="1:5" x14ac:dyDescent="0.15">
      <c r="A167" s="3">
        <v>166</v>
      </c>
      <c r="B167" s="3">
        <v>40.18</v>
      </c>
      <c r="C167" s="3" t="s">
        <v>46</v>
      </c>
      <c r="D167" s="3" t="s">
        <v>57</v>
      </c>
      <c r="E167" s="10" t="str">
        <f t="shared" si="2"/>
        <v>Medium</v>
      </c>
    </row>
    <row r="168" spans="1:5" x14ac:dyDescent="0.15">
      <c r="A168" s="3">
        <v>167</v>
      </c>
      <c r="B168" s="3">
        <v>33</v>
      </c>
      <c r="C168" s="3" t="s">
        <v>60</v>
      </c>
      <c r="D168" s="3" t="s">
        <v>54</v>
      </c>
      <c r="E168" s="10" t="str">
        <f t="shared" si="2"/>
        <v>Low</v>
      </c>
    </row>
    <row r="169" spans="1:5" x14ac:dyDescent="0.15">
      <c r="A169" s="3">
        <v>168</v>
      </c>
      <c r="B169" s="3">
        <v>29.56</v>
      </c>
      <c r="C169" s="3" t="s">
        <v>46</v>
      </c>
      <c r="D169" s="3" t="s">
        <v>58</v>
      </c>
      <c r="E169" s="10" t="str">
        <f t="shared" si="2"/>
        <v>Low</v>
      </c>
    </row>
    <row r="170" spans="1:5" x14ac:dyDescent="0.15">
      <c r="A170" s="3">
        <v>169</v>
      </c>
      <c r="B170" s="3">
        <v>32.380000000000003</v>
      </c>
      <c r="C170" s="3" t="s">
        <v>46</v>
      </c>
      <c r="D170" s="3" t="s">
        <v>50</v>
      </c>
      <c r="E170" s="10" t="str">
        <f t="shared" si="2"/>
        <v>Low</v>
      </c>
    </row>
    <row r="171" spans="1:5" x14ac:dyDescent="0.15">
      <c r="A171" s="3">
        <v>170</v>
      </c>
      <c r="B171" s="3">
        <v>30.47</v>
      </c>
      <c r="C171" s="3" t="s">
        <v>46</v>
      </c>
      <c r="D171" s="3" t="s">
        <v>58</v>
      </c>
      <c r="E171" s="10" t="str">
        <f t="shared" si="2"/>
        <v>Low</v>
      </c>
    </row>
    <row r="172" spans="1:5" x14ac:dyDescent="0.15">
      <c r="A172" s="3">
        <v>171</v>
      </c>
      <c r="B172" s="3">
        <v>35.159999999999997</v>
      </c>
      <c r="C172" s="3" t="s">
        <v>46</v>
      </c>
      <c r="D172" s="3" t="s">
        <v>52</v>
      </c>
      <c r="E172" s="10" t="str">
        <f t="shared" si="2"/>
        <v>Low</v>
      </c>
    </row>
    <row r="173" spans="1:5" x14ac:dyDescent="0.15">
      <c r="A173" s="3">
        <v>172</v>
      </c>
      <c r="B173" s="3">
        <v>42.55</v>
      </c>
      <c r="C173" s="3" t="s">
        <v>46</v>
      </c>
      <c r="D173" s="3" t="s">
        <v>57</v>
      </c>
      <c r="E173" s="10" t="str">
        <f t="shared" si="2"/>
        <v>Medium</v>
      </c>
    </row>
    <row r="174" spans="1:5" x14ac:dyDescent="0.15">
      <c r="A174" s="3">
        <v>173</v>
      </c>
      <c r="B174" s="3">
        <v>42.84</v>
      </c>
      <c r="C174" s="3" t="s">
        <v>46</v>
      </c>
      <c r="D174" s="3" t="s">
        <v>58</v>
      </c>
      <c r="E174" s="10" t="str">
        <f t="shared" si="2"/>
        <v>Medium</v>
      </c>
    </row>
    <row r="175" spans="1:5" x14ac:dyDescent="0.15">
      <c r="A175" s="3">
        <v>174</v>
      </c>
      <c r="B175" s="3">
        <v>38.979999999999997</v>
      </c>
      <c r="C175" s="3" t="s">
        <v>46</v>
      </c>
      <c r="D175" s="3" t="s">
        <v>58</v>
      </c>
      <c r="E175" s="10" t="str">
        <f t="shared" si="2"/>
        <v>Medium</v>
      </c>
    </row>
    <row r="176" spans="1:5" x14ac:dyDescent="0.15">
      <c r="A176" s="3">
        <v>175</v>
      </c>
      <c r="B176" s="3">
        <v>48.8</v>
      </c>
      <c r="C176" s="3" t="s">
        <v>49</v>
      </c>
      <c r="D176" s="3"/>
      <c r="E176" s="10" t="str">
        <f t="shared" si="2"/>
        <v>High</v>
      </c>
    </row>
    <row r="177" spans="1:5" x14ac:dyDescent="0.15">
      <c r="A177" s="3">
        <v>176</v>
      </c>
      <c r="B177" s="3">
        <v>47.02</v>
      </c>
      <c r="C177" s="3" t="s">
        <v>49</v>
      </c>
      <c r="D177" s="3" t="s">
        <v>50</v>
      </c>
      <c r="E177" s="10" t="str">
        <f t="shared" si="2"/>
        <v>High</v>
      </c>
    </row>
    <row r="178" spans="1:5" x14ac:dyDescent="0.15">
      <c r="A178" s="3">
        <v>177</v>
      </c>
      <c r="B178" s="3">
        <v>40.18</v>
      </c>
      <c r="C178" s="3" t="s">
        <v>46</v>
      </c>
      <c r="D178" s="3" t="s">
        <v>57</v>
      </c>
      <c r="E178" s="10" t="str">
        <f t="shared" si="2"/>
        <v>Medium</v>
      </c>
    </row>
    <row r="179" spans="1:5" x14ac:dyDescent="0.15">
      <c r="A179" s="3">
        <v>178</v>
      </c>
      <c r="B179" s="3">
        <v>41.25</v>
      </c>
      <c r="C179" s="3" t="s">
        <v>49</v>
      </c>
      <c r="D179" s="3" t="s">
        <v>50</v>
      </c>
      <c r="E179" s="10" t="str">
        <f t="shared" si="2"/>
        <v>Medium</v>
      </c>
    </row>
    <row r="180" spans="1:5" x14ac:dyDescent="0.15">
      <c r="A180" s="3">
        <v>179</v>
      </c>
      <c r="B180" s="3">
        <v>48.09</v>
      </c>
      <c r="C180" s="3" t="s">
        <v>46</v>
      </c>
      <c r="D180" s="3" t="s">
        <v>56</v>
      </c>
      <c r="E180" s="10" t="str">
        <f t="shared" si="2"/>
        <v>High</v>
      </c>
    </row>
    <row r="181" spans="1:5" x14ac:dyDescent="0.15">
      <c r="A181" s="3">
        <v>180</v>
      </c>
      <c r="B181" s="3">
        <v>31.63</v>
      </c>
      <c r="C181" s="3" t="s">
        <v>46</v>
      </c>
      <c r="D181" s="3" t="s">
        <v>56</v>
      </c>
      <c r="E181" s="10" t="str">
        <f t="shared" si="2"/>
        <v>Low</v>
      </c>
    </row>
    <row r="182" spans="1:5" x14ac:dyDescent="0.15">
      <c r="A182" s="3">
        <v>181</v>
      </c>
      <c r="B182" s="3">
        <v>24.89</v>
      </c>
      <c r="C182" s="3" t="s">
        <v>46</v>
      </c>
      <c r="D182" s="3" t="s">
        <v>52</v>
      </c>
      <c r="E182" s="10" t="str">
        <f t="shared" si="2"/>
        <v>Low</v>
      </c>
    </row>
    <row r="183" spans="1:5" x14ac:dyDescent="0.15">
      <c r="A183" s="3">
        <v>182</v>
      </c>
      <c r="B183" s="3">
        <v>48.47</v>
      </c>
      <c r="C183" s="3" t="s">
        <v>46</v>
      </c>
      <c r="D183" s="3" t="s">
        <v>54</v>
      </c>
      <c r="E183" s="10" t="str">
        <f t="shared" si="2"/>
        <v>High</v>
      </c>
    </row>
    <row r="184" spans="1:5" x14ac:dyDescent="0.15">
      <c r="A184" s="3">
        <v>183</v>
      </c>
      <c r="B184" s="3">
        <v>41.65</v>
      </c>
      <c r="C184" s="3" t="s">
        <v>46</v>
      </c>
      <c r="D184" s="3" t="s">
        <v>50</v>
      </c>
      <c r="E184" s="10" t="str">
        <f t="shared" si="2"/>
        <v>Medium</v>
      </c>
    </row>
    <row r="185" spans="1:5" x14ac:dyDescent="0.15">
      <c r="A185" s="3">
        <v>184</v>
      </c>
      <c r="B185" s="3">
        <v>26.9</v>
      </c>
      <c r="C185" s="3" t="s">
        <v>46</v>
      </c>
      <c r="D185" s="3" t="s">
        <v>52</v>
      </c>
      <c r="E185" s="10" t="str">
        <f t="shared" si="2"/>
        <v>Low</v>
      </c>
    </row>
    <row r="186" spans="1:5" x14ac:dyDescent="0.15">
      <c r="A186" s="3">
        <v>185</v>
      </c>
      <c r="B186" s="3">
        <v>33.979999999999997</v>
      </c>
      <c r="C186" s="3" t="s">
        <v>46</v>
      </c>
      <c r="D186" s="3" t="s">
        <v>57</v>
      </c>
      <c r="E186" s="10" t="str">
        <f t="shared" si="2"/>
        <v>Low</v>
      </c>
    </row>
    <row r="187" spans="1:5" x14ac:dyDescent="0.15">
      <c r="A187" s="3">
        <v>186</v>
      </c>
      <c r="B187" s="3">
        <v>48.75</v>
      </c>
      <c r="C187" s="3" t="s">
        <v>46</v>
      </c>
      <c r="D187" s="3" t="s">
        <v>54</v>
      </c>
      <c r="E187" s="10" t="str">
        <f t="shared" si="2"/>
        <v>High</v>
      </c>
    </row>
    <row r="188" spans="1:5" x14ac:dyDescent="0.15">
      <c r="A188" s="3">
        <v>187</v>
      </c>
      <c r="B188" s="3">
        <v>44.57</v>
      </c>
      <c r="C188" s="3" t="s">
        <v>46</v>
      </c>
      <c r="D188" s="3" t="s">
        <v>56</v>
      </c>
      <c r="E188" s="10" t="str">
        <f t="shared" si="2"/>
        <v>Medium</v>
      </c>
    </row>
    <row r="189" spans="1:5" x14ac:dyDescent="0.15">
      <c r="A189" s="3">
        <v>188</v>
      </c>
      <c r="B189" s="3">
        <v>49</v>
      </c>
      <c r="C189" s="3" t="s">
        <v>49</v>
      </c>
      <c r="D189" s="3" t="s">
        <v>57</v>
      </c>
      <c r="E189" s="10" t="str">
        <f t="shared" si="2"/>
        <v>High</v>
      </c>
    </row>
    <row r="190" spans="1:5" x14ac:dyDescent="0.15">
      <c r="A190" s="3">
        <v>189</v>
      </c>
      <c r="B190" s="3">
        <v>44.57</v>
      </c>
      <c r="C190" s="3" t="s">
        <v>46</v>
      </c>
      <c r="D190" s="3" t="s">
        <v>58</v>
      </c>
      <c r="E190" s="10" t="str">
        <f t="shared" si="2"/>
        <v>Medium</v>
      </c>
    </row>
    <row r="191" spans="1:5" x14ac:dyDescent="0.15">
      <c r="A191" s="3">
        <v>190</v>
      </c>
      <c r="B191" s="3">
        <v>49.01</v>
      </c>
      <c r="C191" s="3" t="s">
        <v>49</v>
      </c>
      <c r="D191" s="3" t="s">
        <v>50</v>
      </c>
      <c r="E191" s="10" t="str">
        <f t="shared" si="2"/>
        <v>High</v>
      </c>
    </row>
    <row r="192" spans="1:5" x14ac:dyDescent="0.15">
      <c r="A192" s="3">
        <v>191</v>
      </c>
      <c r="B192" s="3">
        <v>40.76</v>
      </c>
      <c r="C192" s="3" t="s">
        <v>46</v>
      </c>
      <c r="D192" s="3" t="s">
        <v>54</v>
      </c>
      <c r="E192" s="10" t="str">
        <f t="shared" si="2"/>
        <v>Medium</v>
      </c>
    </row>
    <row r="193" spans="1:5" x14ac:dyDescent="0.15">
      <c r="A193" s="3">
        <v>192</v>
      </c>
      <c r="B193" s="3">
        <v>40.270000000000003</v>
      </c>
      <c r="C193" s="3" t="s">
        <v>46</v>
      </c>
      <c r="D193" s="3" t="s">
        <v>56</v>
      </c>
      <c r="E193" s="10" t="str">
        <f t="shared" si="2"/>
        <v>Medium</v>
      </c>
    </row>
    <row r="194" spans="1:5" x14ac:dyDescent="0.15">
      <c r="A194" s="3">
        <v>193</v>
      </c>
      <c r="B194" s="3">
        <v>45.04</v>
      </c>
      <c r="C194" s="3" t="s">
        <v>49</v>
      </c>
      <c r="D194" s="3" t="s">
        <v>54</v>
      </c>
      <c r="E194" s="10" t="str">
        <f t="shared" si="2"/>
        <v>High</v>
      </c>
    </row>
    <row r="195" spans="1:5" x14ac:dyDescent="0.15">
      <c r="A195" s="3">
        <v>194</v>
      </c>
      <c r="B195" s="3">
        <v>41.06</v>
      </c>
      <c r="C195" s="3" t="s">
        <v>46</v>
      </c>
      <c r="D195" s="3" t="s">
        <v>57</v>
      </c>
      <c r="E195" s="10" t="str">
        <f t="shared" ref="E195:E258" si="3">IF(B195&lt;=$L$2,"Low",IF(B195&lt;=$L$3,"Medium",IF(B195&lt;=$L$4,"High")))</f>
        <v>Medium</v>
      </c>
    </row>
    <row r="196" spans="1:5" x14ac:dyDescent="0.15">
      <c r="A196" s="3">
        <v>195</v>
      </c>
      <c r="B196" s="3">
        <v>40.18</v>
      </c>
      <c r="C196" s="3" t="s">
        <v>46</v>
      </c>
      <c r="D196" s="3" t="s">
        <v>57</v>
      </c>
      <c r="E196" s="10" t="str">
        <f t="shared" si="3"/>
        <v>Medium</v>
      </c>
    </row>
    <row r="197" spans="1:5" x14ac:dyDescent="0.15">
      <c r="A197" s="3">
        <v>196</v>
      </c>
      <c r="B197" s="3">
        <v>42.88</v>
      </c>
      <c r="C197" s="3" t="s">
        <v>46</v>
      </c>
      <c r="D197" s="3" t="s">
        <v>50</v>
      </c>
      <c r="E197" s="10" t="str">
        <f t="shared" si="3"/>
        <v>Medium</v>
      </c>
    </row>
    <row r="198" spans="1:5" x14ac:dyDescent="0.15">
      <c r="A198" s="3">
        <v>197</v>
      </c>
      <c r="B198" s="3">
        <v>48.87</v>
      </c>
      <c r="C198" s="3" t="s">
        <v>60</v>
      </c>
      <c r="D198" s="3" t="s">
        <v>52</v>
      </c>
      <c r="E198" s="10" t="str">
        <f t="shared" si="3"/>
        <v>High</v>
      </c>
    </row>
    <row r="199" spans="1:5" x14ac:dyDescent="0.15">
      <c r="A199" s="3">
        <v>198</v>
      </c>
      <c r="B199" s="3">
        <v>36.130000000000003</v>
      </c>
      <c r="C199" s="3" t="s">
        <v>60</v>
      </c>
      <c r="D199" s="3" t="s">
        <v>52</v>
      </c>
      <c r="E199" s="10" t="str">
        <f t="shared" si="3"/>
        <v>Low</v>
      </c>
    </row>
    <row r="200" spans="1:5" x14ac:dyDescent="0.15">
      <c r="A200" s="3">
        <v>199</v>
      </c>
      <c r="B200" s="3">
        <v>41.87</v>
      </c>
      <c r="C200" s="3" t="s">
        <v>49</v>
      </c>
      <c r="D200" s="3" t="s">
        <v>50</v>
      </c>
      <c r="E200" s="10" t="str">
        <f t="shared" si="3"/>
        <v>Medium</v>
      </c>
    </row>
    <row r="201" spans="1:5" x14ac:dyDescent="0.15">
      <c r="A201" s="3">
        <v>200</v>
      </c>
      <c r="B201" s="3">
        <v>47.44</v>
      </c>
      <c r="C201" s="3" t="s">
        <v>46</v>
      </c>
      <c r="D201" s="3" t="s">
        <v>52</v>
      </c>
      <c r="E201" s="10" t="str">
        <f t="shared" si="3"/>
        <v>High</v>
      </c>
    </row>
    <row r="202" spans="1:5" x14ac:dyDescent="0.15">
      <c r="A202" s="3">
        <v>201</v>
      </c>
      <c r="B202" s="3">
        <v>48.09</v>
      </c>
      <c r="C202" s="3" t="s">
        <v>46</v>
      </c>
      <c r="D202" s="3" t="s">
        <v>54</v>
      </c>
      <c r="E202" s="10" t="str">
        <f t="shared" si="3"/>
        <v>High</v>
      </c>
    </row>
    <row r="203" spans="1:5" x14ac:dyDescent="0.15">
      <c r="A203" s="3">
        <v>202</v>
      </c>
      <c r="B203" s="3">
        <v>45.66</v>
      </c>
      <c r="C203" s="3" t="s">
        <v>49</v>
      </c>
      <c r="D203" s="3" t="s">
        <v>50</v>
      </c>
      <c r="E203" s="10" t="str">
        <f t="shared" si="3"/>
        <v>High</v>
      </c>
    </row>
    <row r="204" spans="1:5" x14ac:dyDescent="0.15">
      <c r="A204" s="3">
        <v>203</v>
      </c>
      <c r="B204" s="3">
        <v>40.479999999999997</v>
      </c>
      <c r="C204" s="3" t="s">
        <v>46</v>
      </c>
      <c r="D204" s="3" t="s">
        <v>57</v>
      </c>
      <c r="E204" s="10" t="str">
        <f t="shared" si="3"/>
        <v>Medium</v>
      </c>
    </row>
    <row r="205" spans="1:5" x14ac:dyDescent="0.15">
      <c r="A205" s="3">
        <v>204</v>
      </c>
      <c r="B205" s="3">
        <v>44.94</v>
      </c>
      <c r="C205" s="3" t="s">
        <v>49</v>
      </c>
      <c r="D205" s="3" t="s">
        <v>50</v>
      </c>
      <c r="E205" s="10" t="str">
        <f t="shared" si="3"/>
        <v>High</v>
      </c>
    </row>
    <row r="206" spans="1:5" x14ac:dyDescent="0.15">
      <c r="A206" s="3">
        <v>205</v>
      </c>
      <c r="B206" s="3">
        <v>25</v>
      </c>
      <c r="C206" s="3" t="s">
        <v>49</v>
      </c>
      <c r="D206" s="3" t="s">
        <v>50</v>
      </c>
      <c r="E206" s="10" t="str">
        <f t="shared" si="3"/>
        <v>Low</v>
      </c>
    </row>
    <row r="207" spans="1:5" x14ac:dyDescent="0.15">
      <c r="A207" s="3">
        <v>206</v>
      </c>
      <c r="B207" s="3">
        <v>42.53</v>
      </c>
      <c r="C207" s="3" t="s">
        <v>49</v>
      </c>
      <c r="D207" s="3" t="s">
        <v>50</v>
      </c>
      <c r="E207" s="10" t="str">
        <f t="shared" si="3"/>
        <v>Medium</v>
      </c>
    </row>
    <row r="208" spans="1:5" x14ac:dyDescent="0.15">
      <c r="A208" s="3">
        <v>207</v>
      </c>
      <c r="B208" s="3">
        <v>35.409999999999997</v>
      </c>
      <c r="C208" s="3" t="s">
        <v>46</v>
      </c>
      <c r="D208" s="3" t="s">
        <v>57</v>
      </c>
      <c r="E208" s="10" t="str">
        <f t="shared" si="3"/>
        <v>Low</v>
      </c>
    </row>
    <row r="209" spans="1:5" x14ac:dyDescent="0.15">
      <c r="A209" s="3">
        <v>208</v>
      </c>
      <c r="B209" s="3">
        <v>41.88</v>
      </c>
      <c r="C209" s="3" t="s">
        <v>46</v>
      </c>
      <c r="D209" s="3" t="s">
        <v>50</v>
      </c>
      <c r="E209" s="10" t="str">
        <f t="shared" si="3"/>
        <v>Medium</v>
      </c>
    </row>
    <row r="210" spans="1:5" x14ac:dyDescent="0.15">
      <c r="A210" s="3">
        <v>209</v>
      </c>
      <c r="B210" s="3">
        <v>46.45</v>
      </c>
      <c r="C210" s="3" t="s">
        <v>49</v>
      </c>
      <c r="D210" s="3" t="s">
        <v>50</v>
      </c>
      <c r="E210" s="10" t="str">
        <f t="shared" si="3"/>
        <v>High</v>
      </c>
    </row>
    <row r="211" spans="1:5" x14ac:dyDescent="0.15">
      <c r="A211" s="3">
        <v>210</v>
      </c>
      <c r="B211" s="3">
        <v>30.76</v>
      </c>
      <c r="C211" s="3" t="s">
        <v>46</v>
      </c>
      <c r="D211" s="3" t="s">
        <v>58</v>
      </c>
      <c r="E211" s="10" t="str">
        <f t="shared" si="3"/>
        <v>Low</v>
      </c>
    </row>
    <row r="212" spans="1:5" x14ac:dyDescent="0.15">
      <c r="A212" s="3">
        <v>211</v>
      </c>
      <c r="B212" s="3">
        <v>42.18</v>
      </c>
      <c r="C212" s="3" t="s">
        <v>49</v>
      </c>
      <c r="D212" s="3" t="s">
        <v>50</v>
      </c>
      <c r="E212" s="10" t="str">
        <f t="shared" si="3"/>
        <v>Medium</v>
      </c>
    </row>
    <row r="213" spans="1:5" x14ac:dyDescent="0.15">
      <c r="A213" s="3">
        <v>212</v>
      </c>
      <c r="B213" s="3">
        <v>30.74</v>
      </c>
      <c r="C213" s="3" t="s">
        <v>46</v>
      </c>
      <c r="D213" s="3"/>
      <c r="E213" s="10" t="str">
        <f t="shared" si="3"/>
        <v>Low</v>
      </c>
    </row>
    <row r="214" spans="1:5" x14ac:dyDescent="0.15">
      <c r="A214" s="3">
        <v>213</v>
      </c>
      <c r="B214" s="3">
        <v>43.01</v>
      </c>
      <c r="C214" s="3" t="s">
        <v>46</v>
      </c>
      <c r="D214" s="3" t="s">
        <v>56</v>
      </c>
      <c r="E214" s="10" t="str">
        <f t="shared" si="3"/>
        <v>Medium</v>
      </c>
    </row>
    <row r="215" spans="1:5" x14ac:dyDescent="0.15">
      <c r="A215" s="3">
        <v>214</v>
      </c>
      <c r="B215" s="3">
        <v>27.18</v>
      </c>
      <c r="C215" s="3" t="s">
        <v>46</v>
      </c>
      <c r="D215" s="3" t="s">
        <v>50</v>
      </c>
      <c r="E215" s="10" t="str">
        <f t="shared" si="3"/>
        <v>Low</v>
      </c>
    </row>
    <row r="216" spans="1:5" x14ac:dyDescent="0.15">
      <c r="A216" s="3">
        <v>215</v>
      </c>
      <c r="B216" s="3">
        <v>45.19</v>
      </c>
      <c r="C216" s="3" t="s">
        <v>49</v>
      </c>
      <c r="D216" s="3" t="s">
        <v>54</v>
      </c>
      <c r="E216" s="10" t="str">
        <f t="shared" si="3"/>
        <v>High</v>
      </c>
    </row>
    <row r="217" spans="1:5" x14ac:dyDescent="0.15">
      <c r="A217" s="3">
        <v>216</v>
      </c>
      <c r="B217" s="3">
        <v>25.17</v>
      </c>
      <c r="C217" s="3" t="s">
        <v>60</v>
      </c>
      <c r="D217" s="3" t="s">
        <v>50</v>
      </c>
      <c r="E217" s="10" t="str">
        <f t="shared" si="3"/>
        <v>Low</v>
      </c>
    </row>
    <row r="218" spans="1:5" x14ac:dyDescent="0.15">
      <c r="A218" s="3">
        <v>217</v>
      </c>
      <c r="B218" s="3">
        <v>49.55</v>
      </c>
      <c r="C218" s="3" t="s">
        <v>60</v>
      </c>
      <c r="D218" s="3" t="s">
        <v>50</v>
      </c>
      <c r="E218" s="10" t="str">
        <f t="shared" si="3"/>
        <v>High</v>
      </c>
    </row>
    <row r="219" spans="1:5" x14ac:dyDescent="0.15">
      <c r="A219" s="3">
        <v>218</v>
      </c>
      <c r="B219" s="3">
        <v>38.979999999999997</v>
      </c>
      <c r="C219" s="3" t="s">
        <v>46</v>
      </c>
      <c r="D219" s="3" t="s">
        <v>52</v>
      </c>
      <c r="E219" s="10" t="str">
        <f t="shared" si="3"/>
        <v>Medium</v>
      </c>
    </row>
    <row r="220" spans="1:5" x14ac:dyDescent="0.15">
      <c r="A220" s="3">
        <v>219</v>
      </c>
      <c r="B220" s="3">
        <v>33.979999999999997</v>
      </c>
      <c r="C220" s="3" t="s">
        <v>46</v>
      </c>
      <c r="D220" s="3" t="s">
        <v>57</v>
      </c>
      <c r="E220" s="10" t="str">
        <f t="shared" si="3"/>
        <v>Low</v>
      </c>
    </row>
    <row r="221" spans="1:5" x14ac:dyDescent="0.15">
      <c r="A221" s="3">
        <v>220</v>
      </c>
      <c r="B221" s="3">
        <v>39.71</v>
      </c>
      <c r="C221" s="3" t="s">
        <v>49</v>
      </c>
      <c r="D221" s="3" t="s">
        <v>54</v>
      </c>
      <c r="E221" s="10" t="str">
        <f t="shared" si="3"/>
        <v>Medium</v>
      </c>
    </row>
    <row r="222" spans="1:5" x14ac:dyDescent="0.15">
      <c r="A222" s="3">
        <v>221</v>
      </c>
      <c r="B222" s="3">
        <v>24.76</v>
      </c>
      <c r="C222" s="3" t="s">
        <v>49</v>
      </c>
      <c r="D222" s="3" t="s">
        <v>57</v>
      </c>
      <c r="E222" s="10" t="str">
        <f t="shared" si="3"/>
        <v>Low</v>
      </c>
    </row>
    <row r="223" spans="1:5" x14ac:dyDescent="0.15">
      <c r="A223" s="3">
        <v>222</v>
      </c>
      <c r="B223" s="3">
        <v>47.81</v>
      </c>
      <c r="C223" s="3" t="s">
        <v>49</v>
      </c>
      <c r="D223" s="3" t="s">
        <v>50</v>
      </c>
      <c r="E223" s="10" t="str">
        <f t="shared" si="3"/>
        <v>High</v>
      </c>
    </row>
    <row r="224" spans="1:5" x14ac:dyDescent="0.15">
      <c r="A224" s="3">
        <v>223</v>
      </c>
      <c r="B224" s="3">
        <v>35.159999999999997</v>
      </c>
      <c r="C224" s="3" t="s">
        <v>46</v>
      </c>
      <c r="D224" s="3" t="s">
        <v>52</v>
      </c>
      <c r="E224" s="10" t="str">
        <f t="shared" si="3"/>
        <v>Low</v>
      </c>
    </row>
    <row r="225" spans="1:5" x14ac:dyDescent="0.15">
      <c r="A225" s="3">
        <v>224</v>
      </c>
      <c r="B225" s="3">
        <v>30.74</v>
      </c>
      <c r="C225" s="3" t="s">
        <v>46</v>
      </c>
      <c r="D225" s="3" t="s">
        <v>57</v>
      </c>
      <c r="E225" s="10" t="str">
        <f t="shared" si="3"/>
        <v>Low</v>
      </c>
    </row>
    <row r="226" spans="1:5" x14ac:dyDescent="0.15">
      <c r="A226" s="3">
        <v>225</v>
      </c>
      <c r="B226" s="3">
        <v>44.57</v>
      </c>
      <c r="C226" s="3" t="s">
        <v>46</v>
      </c>
      <c r="D226" s="3" t="s">
        <v>54</v>
      </c>
      <c r="E226" s="10" t="str">
        <f t="shared" si="3"/>
        <v>Medium</v>
      </c>
    </row>
    <row r="227" spans="1:5" x14ac:dyDescent="0.15">
      <c r="A227" s="3">
        <v>226</v>
      </c>
      <c r="B227" s="3">
        <v>33.979999999999997</v>
      </c>
      <c r="C227" s="3" t="s">
        <v>46</v>
      </c>
      <c r="D227" s="3" t="s">
        <v>57</v>
      </c>
      <c r="E227" s="10" t="str">
        <f t="shared" si="3"/>
        <v>Low</v>
      </c>
    </row>
    <row r="228" spans="1:5" x14ac:dyDescent="0.15">
      <c r="A228" s="3">
        <v>227</v>
      </c>
      <c r="B228" s="3">
        <v>49.69</v>
      </c>
      <c r="C228" s="3" t="s">
        <v>49</v>
      </c>
      <c r="D228" s="3" t="s">
        <v>50</v>
      </c>
      <c r="E228" s="10" t="str">
        <f t="shared" si="3"/>
        <v>High</v>
      </c>
    </row>
    <row r="229" spans="1:5" x14ac:dyDescent="0.15">
      <c r="A229" s="3">
        <v>228</v>
      </c>
      <c r="B229" s="3">
        <v>37.590000000000003</v>
      </c>
      <c r="C229" s="3" t="s">
        <v>49</v>
      </c>
      <c r="D229" s="3" t="s">
        <v>57</v>
      </c>
      <c r="E229" s="10" t="str">
        <f t="shared" si="3"/>
        <v>Medium</v>
      </c>
    </row>
    <row r="230" spans="1:5" x14ac:dyDescent="0.15">
      <c r="A230" s="3">
        <v>229</v>
      </c>
      <c r="B230" s="3">
        <v>40.880000000000003</v>
      </c>
      <c r="C230" s="3" t="s">
        <v>49</v>
      </c>
      <c r="D230" s="3" t="s">
        <v>50</v>
      </c>
      <c r="E230" s="10" t="str">
        <f t="shared" si="3"/>
        <v>Medium</v>
      </c>
    </row>
    <row r="231" spans="1:5" x14ac:dyDescent="0.15">
      <c r="A231" s="3">
        <v>230</v>
      </c>
      <c r="B231" s="3">
        <v>46.1</v>
      </c>
      <c r="C231" s="3" t="s">
        <v>49</v>
      </c>
      <c r="D231" s="3" t="s">
        <v>56</v>
      </c>
      <c r="E231" s="10" t="str">
        <f t="shared" si="3"/>
        <v>High</v>
      </c>
    </row>
    <row r="232" spans="1:5" x14ac:dyDescent="0.15">
      <c r="A232" s="3">
        <v>231</v>
      </c>
      <c r="B232" s="3">
        <v>33.659999999999997</v>
      </c>
      <c r="C232" s="3" t="s">
        <v>46</v>
      </c>
      <c r="D232" s="3" t="s">
        <v>50</v>
      </c>
      <c r="E232" s="10" t="str">
        <f t="shared" si="3"/>
        <v>Low</v>
      </c>
    </row>
    <row r="233" spans="1:5" x14ac:dyDescent="0.15">
      <c r="A233" s="3">
        <v>232</v>
      </c>
      <c r="B233" s="3">
        <v>46.02</v>
      </c>
      <c r="C233" s="3" t="s">
        <v>49</v>
      </c>
      <c r="D233" s="3" t="s">
        <v>50</v>
      </c>
      <c r="E233" s="10" t="str">
        <f t="shared" si="3"/>
        <v>High</v>
      </c>
    </row>
    <row r="234" spans="1:5" x14ac:dyDescent="0.15">
      <c r="A234" s="3">
        <v>233</v>
      </c>
      <c r="B234" s="3">
        <v>48</v>
      </c>
      <c r="C234" s="3" t="s">
        <v>49</v>
      </c>
      <c r="D234" s="3" t="s">
        <v>54</v>
      </c>
      <c r="E234" s="10" t="str">
        <f t="shared" si="3"/>
        <v>High</v>
      </c>
    </row>
    <row r="235" spans="1:5" x14ac:dyDescent="0.15">
      <c r="A235" s="3">
        <v>234</v>
      </c>
      <c r="B235" s="3">
        <v>46.35</v>
      </c>
      <c r="C235" s="3" t="s">
        <v>46</v>
      </c>
      <c r="D235" s="3" t="s">
        <v>57</v>
      </c>
      <c r="E235" s="10" t="str">
        <f t="shared" si="3"/>
        <v>High</v>
      </c>
    </row>
    <row r="236" spans="1:5" x14ac:dyDescent="0.15">
      <c r="A236" s="3">
        <v>235</v>
      </c>
      <c r="B236" s="3">
        <v>48.97</v>
      </c>
      <c r="C236" s="3" t="s">
        <v>49</v>
      </c>
      <c r="D236" s="3" t="s">
        <v>56</v>
      </c>
      <c r="E236" s="10" t="str">
        <f t="shared" si="3"/>
        <v>High</v>
      </c>
    </row>
    <row r="237" spans="1:5" x14ac:dyDescent="0.15">
      <c r="A237" s="3">
        <v>236</v>
      </c>
      <c r="B237" s="3">
        <v>44.54</v>
      </c>
      <c r="C237" s="3" t="s">
        <v>49</v>
      </c>
      <c r="D237" s="3" t="s">
        <v>56</v>
      </c>
      <c r="E237" s="10" t="str">
        <f t="shared" si="3"/>
        <v>Medium</v>
      </c>
    </row>
    <row r="238" spans="1:5" x14ac:dyDescent="0.15">
      <c r="A238" s="3">
        <v>237</v>
      </c>
      <c r="B238" s="3">
        <v>41.77</v>
      </c>
      <c r="C238" s="3" t="s">
        <v>49</v>
      </c>
      <c r="D238" s="3" t="s">
        <v>50</v>
      </c>
      <c r="E238" s="10" t="str">
        <f t="shared" si="3"/>
        <v>Medium</v>
      </c>
    </row>
    <row r="239" spans="1:5" x14ac:dyDescent="0.15">
      <c r="A239" s="3">
        <v>238</v>
      </c>
      <c r="B239" s="3">
        <v>41.26</v>
      </c>
      <c r="C239" s="3" t="s">
        <v>60</v>
      </c>
      <c r="D239" s="3" t="s">
        <v>56</v>
      </c>
      <c r="E239" s="10" t="str">
        <f t="shared" si="3"/>
        <v>Medium</v>
      </c>
    </row>
    <row r="240" spans="1:5" x14ac:dyDescent="0.15">
      <c r="A240" s="3">
        <v>239</v>
      </c>
      <c r="B240" s="3">
        <v>27.18</v>
      </c>
      <c r="C240" s="3" t="s">
        <v>46</v>
      </c>
      <c r="D240" s="3" t="s">
        <v>50</v>
      </c>
      <c r="E240" s="10" t="str">
        <f t="shared" si="3"/>
        <v>Low</v>
      </c>
    </row>
    <row r="241" spans="1:5" x14ac:dyDescent="0.15">
      <c r="A241" s="3">
        <v>240</v>
      </c>
      <c r="B241" s="3">
        <v>29.3</v>
      </c>
      <c r="C241" s="3" t="s">
        <v>46</v>
      </c>
      <c r="D241" s="3" t="s">
        <v>58</v>
      </c>
      <c r="E241" s="10" t="str">
        <f t="shared" si="3"/>
        <v>Low</v>
      </c>
    </row>
    <row r="242" spans="1:5" x14ac:dyDescent="0.15">
      <c r="A242" s="3">
        <v>241</v>
      </c>
      <c r="B242" s="3">
        <v>47.02</v>
      </c>
      <c r="C242" s="3" t="s">
        <v>46</v>
      </c>
      <c r="D242" s="3" t="s">
        <v>58</v>
      </c>
      <c r="E242" s="10" t="str">
        <f t="shared" si="3"/>
        <v>High</v>
      </c>
    </row>
    <row r="243" spans="1:5" x14ac:dyDescent="0.15">
      <c r="A243" s="3">
        <v>242</v>
      </c>
      <c r="B243" s="3">
        <v>47.13</v>
      </c>
      <c r="C243" s="3" t="s">
        <v>60</v>
      </c>
      <c r="D243" s="3" t="s">
        <v>58</v>
      </c>
      <c r="E243" s="10" t="str">
        <f t="shared" si="3"/>
        <v>High</v>
      </c>
    </row>
    <row r="244" spans="1:5" x14ac:dyDescent="0.15">
      <c r="A244" s="3">
        <v>243</v>
      </c>
      <c r="B244" s="3">
        <v>31</v>
      </c>
      <c r="C244" s="3" t="s">
        <v>46</v>
      </c>
      <c r="D244" s="3" t="s">
        <v>56</v>
      </c>
      <c r="E244" s="10" t="str">
        <f t="shared" si="3"/>
        <v>Low</v>
      </c>
    </row>
    <row r="245" spans="1:5" x14ac:dyDescent="0.15">
      <c r="A245" s="3">
        <v>244</v>
      </c>
      <c r="B245" s="3">
        <v>33.659999999999997</v>
      </c>
      <c r="C245" s="3" t="s">
        <v>46</v>
      </c>
      <c r="D245" s="3" t="s">
        <v>50</v>
      </c>
      <c r="E245" s="10" t="str">
        <f t="shared" si="3"/>
        <v>Low</v>
      </c>
    </row>
    <row r="246" spans="1:5" x14ac:dyDescent="0.15">
      <c r="A246" s="3">
        <v>245</v>
      </c>
      <c r="B246" s="3">
        <v>47.96</v>
      </c>
      <c r="C246" s="3" t="s">
        <v>49</v>
      </c>
      <c r="D246" s="3" t="s">
        <v>50</v>
      </c>
      <c r="E246" s="10" t="str">
        <f t="shared" si="3"/>
        <v>High</v>
      </c>
    </row>
    <row r="247" spans="1:5" x14ac:dyDescent="0.15">
      <c r="A247" s="3">
        <v>246</v>
      </c>
      <c r="B247" s="3">
        <v>36.11</v>
      </c>
      <c r="C247" s="3" t="s">
        <v>46</v>
      </c>
      <c r="D247" s="3" t="s">
        <v>58</v>
      </c>
      <c r="E247" s="10" t="str">
        <f t="shared" si="3"/>
        <v>Low</v>
      </c>
    </row>
    <row r="248" spans="1:5" x14ac:dyDescent="0.15">
      <c r="A248" s="3">
        <v>247</v>
      </c>
      <c r="B248" s="3">
        <v>43.26</v>
      </c>
      <c r="C248" s="3" t="s">
        <v>46</v>
      </c>
      <c r="D248" s="3" t="s">
        <v>56</v>
      </c>
      <c r="E248" s="10" t="str">
        <f t="shared" si="3"/>
        <v>Medium</v>
      </c>
    </row>
    <row r="249" spans="1:5" x14ac:dyDescent="0.15">
      <c r="A249" s="3">
        <v>248</v>
      </c>
      <c r="B249" s="3">
        <v>47.18</v>
      </c>
      <c r="C249" s="3" t="s">
        <v>46</v>
      </c>
      <c r="D249" s="3" t="s">
        <v>52</v>
      </c>
      <c r="E249" s="10" t="str">
        <f t="shared" si="3"/>
        <v>High</v>
      </c>
    </row>
    <row r="250" spans="1:5" x14ac:dyDescent="0.15">
      <c r="A250" s="3">
        <v>249</v>
      </c>
      <c r="B250" s="3">
        <v>41</v>
      </c>
      <c r="C250" s="3" t="s">
        <v>49</v>
      </c>
      <c r="D250" s="3" t="s">
        <v>50</v>
      </c>
      <c r="E250" s="10" t="str">
        <f t="shared" si="3"/>
        <v>Medium</v>
      </c>
    </row>
    <row r="251" spans="1:5" x14ac:dyDescent="0.15">
      <c r="A251" s="3">
        <v>250</v>
      </c>
      <c r="B251" s="3">
        <v>33</v>
      </c>
      <c r="C251" s="3" t="s">
        <v>60</v>
      </c>
      <c r="D251" s="3" t="s">
        <v>52</v>
      </c>
      <c r="E251" s="10" t="str">
        <f t="shared" si="3"/>
        <v>Low</v>
      </c>
    </row>
    <row r="252" spans="1:5" x14ac:dyDescent="0.15">
      <c r="A252" s="3">
        <v>251</v>
      </c>
      <c r="B252" s="3">
        <v>26.09</v>
      </c>
      <c r="C252" s="3" t="s">
        <v>60</v>
      </c>
      <c r="D252" s="3" t="s">
        <v>57</v>
      </c>
      <c r="E252" s="10" t="str">
        <f t="shared" si="3"/>
        <v>Low</v>
      </c>
    </row>
    <row r="253" spans="1:5" x14ac:dyDescent="0.15">
      <c r="A253" s="3">
        <v>252</v>
      </c>
      <c r="B253" s="3">
        <v>36.75</v>
      </c>
      <c r="C253" s="3" t="s">
        <v>46</v>
      </c>
      <c r="D253" s="3" t="s">
        <v>54</v>
      </c>
      <c r="E253" s="10" t="str">
        <f t="shared" si="3"/>
        <v>Low</v>
      </c>
    </row>
    <row r="254" spans="1:5" x14ac:dyDescent="0.15">
      <c r="A254" s="3">
        <v>253</v>
      </c>
      <c r="B254" s="3">
        <v>44.9</v>
      </c>
      <c r="C254" s="3" t="s">
        <v>46</v>
      </c>
      <c r="D254" s="3"/>
      <c r="E254" s="10" t="str">
        <f t="shared" si="3"/>
        <v>High</v>
      </c>
    </row>
    <row r="255" spans="1:5" x14ac:dyDescent="0.15">
      <c r="A255" s="3">
        <v>254</v>
      </c>
      <c r="B255" s="3">
        <v>44.9</v>
      </c>
      <c r="C255" s="3" t="s">
        <v>46</v>
      </c>
      <c r="D255" s="3" t="s">
        <v>54</v>
      </c>
      <c r="E255" s="10" t="str">
        <f t="shared" si="3"/>
        <v>High</v>
      </c>
    </row>
    <row r="256" spans="1:5" x14ac:dyDescent="0.15">
      <c r="A256" s="3">
        <v>255</v>
      </c>
      <c r="B256" s="3">
        <v>43.26</v>
      </c>
      <c r="C256" s="3" t="s">
        <v>46</v>
      </c>
      <c r="D256" s="3" t="s">
        <v>56</v>
      </c>
      <c r="E256" s="10" t="str">
        <f t="shared" si="3"/>
        <v>Medium</v>
      </c>
    </row>
    <row r="257" spans="1:5" x14ac:dyDescent="0.15">
      <c r="A257" s="3">
        <v>256</v>
      </c>
      <c r="B257" s="3">
        <v>43.26</v>
      </c>
      <c r="C257" s="3" t="s">
        <v>46</v>
      </c>
      <c r="D257" s="3" t="s">
        <v>56</v>
      </c>
      <c r="E257" s="10" t="str">
        <f t="shared" si="3"/>
        <v>Medium</v>
      </c>
    </row>
    <row r="258" spans="1:5" x14ac:dyDescent="0.15">
      <c r="A258" s="3">
        <v>257</v>
      </c>
      <c r="B258" s="3">
        <v>32.17</v>
      </c>
      <c r="C258" s="3" t="s">
        <v>46</v>
      </c>
      <c r="D258" s="3" t="s">
        <v>58</v>
      </c>
      <c r="E258" s="10" t="str">
        <f t="shared" si="3"/>
        <v>Low</v>
      </c>
    </row>
    <row r="259" spans="1:5" x14ac:dyDescent="0.15">
      <c r="A259" s="3">
        <v>258</v>
      </c>
      <c r="B259" s="3">
        <v>44.74</v>
      </c>
      <c r="C259" s="3" t="s">
        <v>49</v>
      </c>
      <c r="D259" s="3" t="s">
        <v>50</v>
      </c>
      <c r="E259" s="10" t="str">
        <f t="shared" ref="E259:E322" si="4">IF(B259&lt;=$L$2,"Low",IF(B259&lt;=$L$3,"Medium",IF(B259&lt;=$L$4,"High")))</f>
        <v>High</v>
      </c>
    </row>
    <row r="260" spans="1:5" x14ac:dyDescent="0.15">
      <c r="A260" s="3">
        <v>259</v>
      </c>
      <c r="B260" s="3">
        <v>48.71</v>
      </c>
      <c r="C260" s="3" t="s">
        <v>49</v>
      </c>
      <c r="D260" s="3" t="s">
        <v>50</v>
      </c>
      <c r="E260" s="10" t="str">
        <f t="shared" si="4"/>
        <v>High</v>
      </c>
    </row>
    <row r="261" spans="1:5" x14ac:dyDescent="0.15">
      <c r="A261" s="3">
        <v>260</v>
      </c>
      <c r="B261" s="3">
        <v>41.99</v>
      </c>
      <c r="C261" s="3" t="s">
        <v>49</v>
      </c>
      <c r="D261" s="3" t="s">
        <v>50</v>
      </c>
      <c r="E261" s="10" t="str">
        <f t="shared" si="4"/>
        <v>Medium</v>
      </c>
    </row>
    <row r="262" spans="1:5" x14ac:dyDescent="0.15">
      <c r="A262" s="3">
        <v>261</v>
      </c>
      <c r="B262" s="3">
        <v>46.08</v>
      </c>
      <c r="C262" s="3" t="s">
        <v>46</v>
      </c>
      <c r="D262" s="3" t="s">
        <v>54</v>
      </c>
      <c r="E262" s="10" t="str">
        <f t="shared" si="4"/>
        <v>High</v>
      </c>
    </row>
    <row r="263" spans="1:5" x14ac:dyDescent="0.15">
      <c r="A263" s="3">
        <v>262</v>
      </c>
      <c r="B263" s="3">
        <v>37.53</v>
      </c>
      <c r="C263" s="3" t="s">
        <v>46</v>
      </c>
      <c r="D263" s="3" t="s">
        <v>52</v>
      </c>
      <c r="E263" s="10" t="str">
        <f t="shared" si="4"/>
        <v>Medium</v>
      </c>
    </row>
    <row r="264" spans="1:5" x14ac:dyDescent="0.15">
      <c r="A264" s="3">
        <v>263</v>
      </c>
      <c r="B264" s="3">
        <v>37.53</v>
      </c>
      <c r="C264" s="3" t="s">
        <v>46</v>
      </c>
      <c r="D264" s="3" t="s">
        <v>52</v>
      </c>
      <c r="E264" s="10" t="str">
        <f t="shared" si="4"/>
        <v>Medium</v>
      </c>
    </row>
    <row r="265" spans="1:5" x14ac:dyDescent="0.15">
      <c r="A265" s="3">
        <v>264</v>
      </c>
      <c r="B265" s="3">
        <v>35.43</v>
      </c>
      <c r="C265" s="3" t="s">
        <v>49</v>
      </c>
      <c r="D265" s="3" t="s">
        <v>58</v>
      </c>
      <c r="E265" s="10" t="str">
        <f t="shared" si="4"/>
        <v>Low</v>
      </c>
    </row>
    <row r="266" spans="1:5" x14ac:dyDescent="0.15">
      <c r="A266" s="3">
        <v>265</v>
      </c>
      <c r="B266" s="3">
        <v>41.2</v>
      </c>
      <c r="C266" s="3" t="s">
        <v>46</v>
      </c>
      <c r="D266" s="3" t="s">
        <v>57</v>
      </c>
      <c r="E266" s="10" t="str">
        <f t="shared" si="4"/>
        <v>Medium</v>
      </c>
    </row>
    <row r="267" spans="1:5" x14ac:dyDescent="0.15">
      <c r="A267" s="3">
        <v>266</v>
      </c>
      <c r="B267" s="3">
        <v>45.71</v>
      </c>
      <c r="C267" s="3" t="s">
        <v>46</v>
      </c>
      <c r="D267" s="3" t="s">
        <v>50</v>
      </c>
      <c r="E267" s="10" t="str">
        <f t="shared" si="4"/>
        <v>High</v>
      </c>
    </row>
    <row r="268" spans="1:5" x14ac:dyDescent="0.15">
      <c r="A268" s="3">
        <v>267</v>
      </c>
      <c r="B268" s="3">
        <v>45.28</v>
      </c>
      <c r="C268" s="3" t="s">
        <v>49</v>
      </c>
      <c r="D268" s="3" t="s">
        <v>50</v>
      </c>
      <c r="E268" s="10" t="str">
        <f t="shared" si="4"/>
        <v>High</v>
      </c>
    </row>
    <row r="269" spans="1:5" x14ac:dyDescent="0.15">
      <c r="A269" s="3">
        <v>268</v>
      </c>
      <c r="B269" s="3">
        <v>34.229999999999997</v>
      </c>
      <c r="C269" s="3" t="s">
        <v>46</v>
      </c>
      <c r="D269" s="3" t="s">
        <v>54</v>
      </c>
      <c r="E269" s="10" t="str">
        <f t="shared" si="4"/>
        <v>Low</v>
      </c>
    </row>
    <row r="270" spans="1:5" x14ac:dyDescent="0.15">
      <c r="A270" s="3">
        <v>269</v>
      </c>
      <c r="B270" s="3">
        <v>45.17</v>
      </c>
      <c r="C270" s="3" t="s">
        <v>49</v>
      </c>
      <c r="D270" s="3" t="s">
        <v>50</v>
      </c>
      <c r="E270" s="10" t="str">
        <f t="shared" si="4"/>
        <v>High</v>
      </c>
    </row>
    <row r="271" spans="1:5" x14ac:dyDescent="0.15">
      <c r="A271" s="3">
        <v>270</v>
      </c>
      <c r="B271" s="3">
        <v>41.65</v>
      </c>
      <c r="C271" s="3" t="s">
        <v>46</v>
      </c>
      <c r="D271" s="3" t="s">
        <v>56</v>
      </c>
      <c r="E271" s="10" t="str">
        <f t="shared" si="4"/>
        <v>Medium</v>
      </c>
    </row>
    <row r="272" spans="1:5" x14ac:dyDescent="0.15">
      <c r="A272" s="3">
        <v>271</v>
      </c>
      <c r="B272" s="3">
        <v>43.73</v>
      </c>
      <c r="C272" s="3" t="s">
        <v>46</v>
      </c>
      <c r="D272" s="3" t="s">
        <v>50</v>
      </c>
      <c r="E272" s="10" t="str">
        <f t="shared" si="4"/>
        <v>Medium</v>
      </c>
    </row>
    <row r="273" spans="1:5" x14ac:dyDescent="0.15">
      <c r="A273" s="3">
        <v>272</v>
      </c>
      <c r="B273" s="3">
        <v>47.18</v>
      </c>
      <c r="C273" s="3" t="s">
        <v>46</v>
      </c>
      <c r="D273" s="3" t="s">
        <v>52</v>
      </c>
      <c r="E273" s="10" t="str">
        <f t="shared" si="4"/>
        <v>High</v>
      </c>
    </row>
    <row r="274" spans="1:5" x14ac:dyDescent="0.15">
      <c r="A274" s="3">
        <v>273</v>
      </c>
      <c r="B274" s="3">
        <v>32.380000000000003</v>
      </c>
      <c r="C274" s="3" t="s">
        <v>46</v>
      </c>
      <c r="D274" s="3" t="s">
        <v>50</v>
      </c>
      <c r="E274" s="10" t="str">
        <f t="shared" si="4"/>
        <v>Low</v>
      </c>
    </row>
    <row r="275" spans="1:5" x14ac:dyDescent="0.15">
      <c r="A275" s="3">
        <v>274</v>
      </c>
      <c r="B275" s="3">
        <v>43.97</v>
      </c>
      <c r="C275" s="3" t="s">
        <v>49</v>
      </c>
      <c r="D275" s="3" t="s">
        <v>50</v>
      </c>
      <c r="E275" s="10" t="str">
        <f t="shared" si="4"/>
        <v>Medium</v>
      </c>
    </row>
    <row r="276" spans="1:5" x14ac:dyDescent="0.15">
      <c r="A276" s="3">
        <v>275</v>
      </c>
      <c r="B276" s="3">
        <v>44.39</v>
      </c>
      <c r="C276" s="3" t="s">
        <v>46</v>
      </c>
      <c r="D276" s="3" t="s">
        <v>52</v>
      </c>
      <c r="E276" s="10" t="str">
        <f t="shared" si="4"/>
        <v>Medium</v>
      </c>
    </row>
    <row r="277" spans="1:5" x14ac:dyDescent="0.15">
      <c r="A277" s="3">
        <v>276</v>
      </c>
      <c r="B277" s="3">
        <v>36.130000000000003</v>
      </c>
      <c r="C277" s="3" t="s">
        <v>46</v>
      </c>
      <c r="D277" s="3" t="s">
        <v>57</v>
      </c>
      <c r="E277" s="10" t="str">
        <f t="shared" si="4"/>
        <v>Low</v>
      </c>
    </row>
    <row r="278" spans="1:5" x14ac:dyDescent="0.15">
      <c r="A278" s="3">
        <v>277</v>
      </c>
      <c r="B278" s="3">
        <v>37.65</v>
      </c>
      <c r="C278" s="3" t="s">
        <v>46</v>
      </c>
      <c r="D278" s="3" t="s">
        <v>58</v>
      </c>
      <c r="E278" s="10" t="str">
        <f t="shared" si="4"/>
        <v>Medium</v>
      </c>
    </row>
    <row r="279" spans="1:5" x14ac:dyDescent="0.15">
      <c r="A279" s="3">
        <v>278</v>
      </c>
      <c r="B279" s="3">
        <v>37.840000000000003</v>
      </c>
      <c r="C279" s="3" t="s">
        <v>46</v>
      </c>
      <c r="D279" s="3" t="s">
        <v>58</v>
      </c>
      <c r="E279" s="10" t="str">
        <f t="shared" si="4"/>
        <v>Medium</v>
      </c>
    </row>
    <row r="280" spans="1:5" x14ac:dyDescent="0.15">
      <c r="A280" s="3">
        <v>279</v>
      </c>
      <c r="B280" s="3">
        <v>33.450000000000003</v>
      </c>
      <c r="C280" s="3" t="s">
        <v>46</v>
      </c>
      <c r="D280" s="3" t="s">
        <v>54</v>
      </c>
      <c r="E280" s="10" t="str">
        <f t="shared" si="4"/>
        <v>Low</v>
      </c>
    </row>
    <row r="281" spans="1:5" x14ac:dyDescent="0.15">
      <c r="A281" s="3">
        <v>280</v>
      </c>
      <c r="B281" s="3">
        <v>46.13</v>
      </c>
      <c r="C281" s="3" t="s">
        <v>49</v>
      </c>
      <c r="D281" s="3" t="s">
        <v>50</v>
      </c>
      <c r="E281" s="10" t="str">
        <f t="shared" si="4"/>
        <v>High</v>
      </c>
    </row>
    <row r="282" spans="1:5" x14ac:dyDescent="0.15">
      <c r="A282" s="3">
        <v>281</v>
      </c>
      <c r="B282" s="3">
        <v>45.47</v>
      </c>
      <c r="C282" s="3" t="s">
        <v>49</v>
      </c>
      <c r="D282" s="3" t="s">
        <v>50</v>
      </c>
      <c r="E282" s="10" t="str">
        <f t="shared" si="4"/>
        <v>High</v>
      </c>
    </row>
    <row r="283" spans="1:5" x14ac:dyDescent="0.15">
      <c r="A283" s="3">
        <v>282</v>
      </c>
      <c r="B283" s="3">
        <v>49</v>
      </c>
      <c r="C283" s="3" t="s">
        <v>49</v>
      </c>
      <c r="D283" s="3" t="s">
        <v>50</v>
      </c>
      <c r="E283" s="10" t="str">
        <f t="shared" si="4"/>
        <v>High</v>
      </c>
    </row>
    <row r="284" spans="1:5" x14ac:dyDescent="0.15">
      <c r="A284" s="3">
        <v>283</v>
      </c>
      <c r="B284" s="3">
        <v>41.26</v>
      </c>
      <c r="C284" s="3" t="s">
        <v>46</v>
      </c>
      <c r="D284" s="3" t="s">
        <v>58</v>
      </c>
      <c r="E284" s="10" t="str">
        <f t="shared" si="4"/>
        <v>Medium</v>
      </c>
    </row>
    <row r="285" spans="1:5" x14ac:dyDescent="0.15">
      <c r="A285" s="3">
        <v>284</v>
      </c>
      <c r="B285" s="3">
        <v>43.69</v>
      </c>
      <c r="C285" s="3" t="s">
        <v>46</v>
      </c>
      <c r="D285" s="3" t="s">
        <v>52</v>
      </c>
      <c r="E285" s="10" t="str">
        <f t="shared" si="4"/>
        <v>Medium</v>
      </c>
    </row>
    <row r="286" spans="1:5" x14ac:dyDescent="0.15">
      <c r="A286" s="3">
        <v>285</v>
      </c>
      <c r="B286" s="3">
        <v>42.18</v>
      </c>
      <c r="C286" s="3" t="s">
        <v>46</v>
      </c>
      <c r="D286" s="3" t="s">
        <v>50</v>
      </c>
      <c r="E286" s="10" t="str">
        <f t="shared" si="4"/>
        <v>Medium</v>
      </c>
    </row>
    <row r="287" spans="1:5" x14ac:dyDescent="0.15">
      <c r="A287" s="3">
        <v>286</v>
      </c>
      <c r="B287" s="3">
        <v>42</v>
      </c>
      <c r="C287" s="3" t="s">
        <v>49</v>
      </c>
      <c r="D287" s="3" t="s">
        <v>52</v>
      </c>
      <c r="E287" s="10" t="str">
        <f t="shared" si="4"/>
        <v>Medium</v>
      </c>
    </row>
    <row r="288" spans="1:5" x14ac:dyDescent="0.15">
      <c r="A288" s="3">
        <v>287</v>
      </c>
      <c r="B288" s="3">
        <v>40.479999999999997</v>
      </c>
      <c r="C288" s="3" t="s">
        <v>46</v>
      </c>
      <c r="D288" s="3" t="s">
        <v>56</v>
      </c>
      <c r="E288" s="10" t="str">
        <f t="shared" si="4"/>
        <v>Medium</v>
      </c>
    </row>
    <row r="289" spans="1:5" x14ac:dyDescent="0.15">
      <c r="A289" s="3">
        <v>288</v>
      </c>
      <c r="B289" s="3">
        <v>46.98</v>
      </c>
      <c r="C289" s="3" t="s">
        <v>46</v>
      </c>
      <c r="D289" s="3" t="s">
        <v>50</v>
      </c>
      <c r="E289" s="10" t="str">
        <f t="shared" si="4"/>
        <v>High</v>
      </c>
    </row>
    <row r="290" spans="1:5" x14ac:dyDescent="0.15">
      <c r="A290" s="3">
        <v>289</v>
      </c>
      <c r="B290" s="3">
        <v>25.24</v>
      </c>
      <c r="C290" s="3" t="s">
        <v>46</v>
      </c>
      <c r="D290" s="3" t="s">
        <v>58</v>
      </c>
      <c r="E290" s="10" t="str">
        <f t="shared" si="4"/>
        <v>Low</v>
      </c>
    </row>
    <row r="291" spans="1:5" x14ac:dyDescent="0.15">
      <c r="A291" s="3">
        <v>290</v>
      </c>
      <c r="B291" s="3">
        <v>29.56</v>
      </c>
      <c r="C291" s="3" t="s">
        <v>46</v>
      </c>
      <c r="D291" s="3" t="s">
        <v>58</v>
      </c>
      <c r="E291" s="10" t="str">
        <f t="shared" si="4"/>
        <v>Low</v>
      </c>
    </row>
    <row r="292" spans="1:5" x14ac:dyDescent="0.15">
      <c r="A292" s="3">
        <v>291</v>
      </c>
      <c r="B292" s="3">
        <v>26.09</v>
      </c>
      <c r="C292" s="3" t="s">
        <v>46</v>
      </c>
      <c r="D292" s="3"/>
      <c r="E292" s="10" t="str">
        <f t="shared" si="4"/>
        <v>Low</v>
      </c>
    </row>
    <row r="293" spans="1:5" x14ac:dyDescent="0.15">
      <c r="A293" s="3">
        <v>292</v>
      </c>
      <c r="B293" s="3">
        <v>48.87</v>
      </c>
      <c r="C293" s="3" t="s">
        <v>60</v>
      </c>
      <c r="D293" s="3" t="s">
        <v>56</v>
      </c>
      <c r="E293" s="10" t="str">
        <f t="shared" si="4"/>
        <v>High</v>
      </c>
    </row>
    <row r="294" spans="1:5" x14ac:dyDescent="0.15">
      <c r="A294" s="3">
        <v>293</v>
      </c>
      <c r="B294" s="3">
        <v>44</v>
      </c>
      <c r="C294" s="3" t="s">
        <v>49</v>
      </c>
      <c r="D294" s="3" t="s">
        <v>50</v>
      </c>
      <c r="E294" s="10" t="str">
        <f t="shared" si="4"/>
        <v>Medium</v>
      </c>
    </row>
    <row r="295" spans="1:5" x14ac:dyDescent="0.15">
      <c r="A295" s="3">
        <v>294</v>
      </c>
      <c r="B295" s="3">
        <v>35.43</v>
      </c>
      <c r="C295" s="3" t="s">
        <v>46</v>
      </c>
      <c r="D295" s="3" t="s">
        <v>58</v>
      </c>
      <c r="E295" s="10" t="str">
        <f t="shared" si="4"/>
        <v>Low</v>
      </c>
    </row>
    <row r="296" spans="1:5" x14ac:dyDescent="0.15">
      <c r="A296" s="3">
        <v>295</v>
      </c>
      <c r="B296" s="3">
        <v>29.55</v>
      </c>
      <c r="C296" s="3" t="s">
        <v>60</v>
      </c>
      <c r="D296" s="3" t="s">
        <v>50</v>
      </c>
      <c r="E296" s="10" t="str">
        <f t="shared" si="4"/>
        <v>Low</v>
      </c>
    </row>
    <row r="297" spans="1:5" x14ac:dyDescent="0.15">
      <c r="A297" s="3">
        <v>296</v>
      </c>
      <c r="B297" s="3">
        <v>41.5</v>
      </c>
      <c r="C297" s="3" t="s">
        <v>49</v>
      </c>
      <c r="D297" s="3" t="s">
        <v>50</v>
      </c>
      <c r="E297" s="10" t="str">
        <f t="shared" si="4"/>
        <v>Medium</v>
      </c>
    </row>
    <row r="298" spans="1:5" x14ac:dyDescent="0.15">
      <c r="A298" s="3">
        <v>297</v>
      </c>
      <c r="B298" s="3">
        <v>40.28</v>
      </c>
      <c r="C298" s="3" t="s">
        <v>49</v>
      </c>
      <c r="D298" s="3" t="s">
        <v>54</v>
      </c>
      <c r="E298" s="10" t="str">
        <f t="shared" si="4"/>
        <v>Medium</v>
      </c>
    </row>
    <row r="299" spans="1:5" x14ac:dyDescent="0.15">
      <c r="A299" s="3">
        <v>298</v>
      </c>
      <c r="B299" s="3">
        <v>34.07</v>
      </c>
      <c r="C299" s="3" t="s">
        <v>46</v>
      </c>
      <c r="D299" s="3" t="s">
        <v>58</v>
      </c>
      <c r="E299" s="10" t="str">
        <f t="shared" si="4"/>
        <v>Low</v>
      </c>
    </row>
    <row r="300" spans="1:5" x14ac:dyDescent="0.15">
      <c r="A300" s="3">
        <v>299</v>
      </c>
      <c r="B300" s="3">
        <v>31.87</v>
      </c>
      <c r="C300" s="3" t="s">
        <v>49</v>
      </c>
      <c r="D300" s="3" t="s">
        <v>57</v>
      </c>
      <c r="E300" s="10" t="str">
        <f t="shared" si="4"/>
        <v>Low</v>
      </c>
    </row>
    <row r="301" spans="1:5" x14ac:dyDescent="0.15">
      <c r="A301" s="3">
        <v>300</v>
      </c>
      <c r="B301" s="3">
        <v>45.77</v>
      </c>
      <c r="C301" s="3" t="s">
        <v>46</v>
      </c>
      <c r="D301" s="3" t="s">
        <v>50</v>
      </c>
      <c r="E301" s="10" t="str">
        <f t="shared" si="4"/>
        <v>High</v>
      </c>
    </row>
    <row r="302" spans="1:5" x14ac:dyDescent="0.15">
      <c r="A302" s="3">
        <v>301</v>
      </c>
      <c r="B302" s="3">
        <v>28.17</v>
      </c>
      <c r="C302" s="3" t="s">
        <v>46</v>
      </c>
      <c r="D302" s="3" t="s">
        <v>58</v>
      </c>
      <c r="E302" s="10" t="str">
        <f t="shared" si="4"/>
        <v>Low</v>
      </c>
    </row>
    <row r="303" spans="1:5" x14ac:dyDescent="0.15">
      <c r="A303" s="3">
        <v>302</v>
      </c>
      <c r="B303" s="3">
        <v>40.479999999999997</v>
      </c>
      <c r="C303" s="3" t="s">
        <v>60</v>
      </c>
      <c r="D303" s="3" t="s">
        <v>58</v>
      </c>
      <c r="E303" s="10" t="str">
        <f t="shared" si="4"/>
        <v>Medium</v>
      </c>
    </row>
    <row r="304" spans="1:5" x14ac:dyDescent="0.15">
      <c r="A304" s="3">
        <v>303</v>
      </c>
      <c r="B304" s="3">
        <v>40.51</v>
      </c>
      <c r="C304" s="3" t="s">
        <v>49</v>
      </c>
      <c r="D304" s="3" t="s">
        <v>50</v>
      </c>
      <c r="E304" s="10" t="str">
        <f t="shared" si="4"/>
        <v>Medium</v>
      </c>
    </row>
    <row r="305" spans="1:5" x14ac:dyDescent="0.15">
      <c r="A305" s="3">
        <v>304</v>
      </c>
      <c r="B305" s="3">
        <v>37.53</v>
      </c>
      <c r="C305" s="3" t="s">
        <v>46</v>
      </c>
      <c r="D305" s="3" t="s">
        <v>52</v>
      </c>
      <c r="E305" s="10" t="str">
        <f t="shared" si="4"/>
        <v>Medium</v>
      </c>
    </row>
    <row r="306" spans="1:5" x14ac:dyDescent="0.15">
      <c r="A306" s="3">
        <v>305</v>
      </c>
      <c r="B306" s="3">
        <v>48.76</v>
      </c>
      <c r="C306" s="3" t="s">
        <v>49</v>
      </c>
      <c r="D306" s="3" t="s">
        <v>50</v>
      </c>
      <c r="E306" s="10" t="str">
        <f t="shared" si="4"/>
        <v>High</v>
      </c>
    </row>
    <row r="307" spans="1:5" x14ac:dyDescent="0.15">
      <c r="A307" s="3">
        <v>306</v>
      </c>
      <c r="B307" s="3">
        <v>42.4</v>
      </c>
      <c r="C307" s="3" t="s">
        <v>49</v>
      </c>
      <c r="D307" s="3" t="s">
        <v>50</v>
      </c>
      <c r="E307" s="10" t="str">
        <f t="shared" si="4"/>
        <v>Medium</v>
      </c>
    </row>
    <row r="308" spans="1:5" x14ac:dyDescent="0.15">
      <c r="A308" s="3">
        <v>307</v>
      </c>
      <c r="B308" s="3">
        <v>49.6</v>
      </c>
      <c r="C308" s="3" t="s">
        <v>46</v>
      </c>
      <c r="D308" s="3" t="s">
        <v>54</v>
      </c>
      <c r="E308" s="10" t="str">
        <f t="shared" si="4"/>
        <v>High</v>
      </c>
    </row>
    <row r="309" spans="1:5" x14ac:dyDescent="0.15">
      <c r="A309" s="3">
        <v>308</v>
      </c>
      <c r="B309" s="3">
        <v>35.43</v>
      </c>
      <c r="C309" s="3" t="s">
        <v>46</v>
      </c>
      <c r="D309" s="3" t="s">
        <v>58</v>
      </c>
      <c r="E309" s="10" t="str">
        <f t="shared" si="4"/>
        <v>Low</v>
      </c>
    </row>
    <row r="310" spans="1:5" x14ac:dyDescent="0.15">
      <c r="A310" s="3">
        <v>309</v>
      </c>
      <c r="B310" s="3">
        <v>41</v>
      </c>
      <c r="C310" s="3" t="s">
        <v>49</v>
      </c>
      <c r="D310" s="3" t="s">
        <v>50</v>
      </c>
      <c r="E310" s="10" t="str">
        <f t="shared" si="4"/>
        <v>Medium</v>
      </c>
    </row>
    <row r="311" spans="1:5" x14ac:dyDescent="0.15">
      <c r="A311" s="3">
        <v>310</v>
      </c>
      <c r="B311" s="3">
        <v>40.479999999999997</v>
      </c>
      <c r="C311" s="3" t="s">
        <v>49</v>
      </c>
      <c r="D311" s="3" t="s">
        <v>50</v>
      </c>
      <c r="E311" s="10" t="str">
        <f t="shared" si="4"/>
        <v>Medium</v>
      </c>
    </row>
    <row r="312" spans="1:5" x14ac:dyDescent="0.15">
      <c r="A312" s="3">
        <v>311</v>
      </c>
      <c r="B312" s="3">
        <v>45.25</v>
      </c>
      <c r="C312" s="3" t="s">
        <v>49</v>
      </c>
      <c r="D312" s="3" t="s">
        <v>50</v>
      </c>
      <c r="E312" s="10" t="str">
        <f t="shared" si="4"/>
        <v>High</v>
      </c>
    </row>
    <row r="313" spans="1:5" x14ac:dyDescent="0.15">
      <c r="A313" s="3">
        <v>312</v>
      </c>
      <c r="B313" s="3">
        <v>34.96</v>
      </c>
      <c r="C313" s="3" t="s">
        <v>46</v>
      </c>
      <c r="D313" s="3" t="s">
        <v>54</v>
      </c>
      <c r="E313" s="10" t="str">
        <f t="shared" si="4"/>
        <v>Low</v>
      </c>
    </row>
    <row r="314" spans="1:5" x14ac:dyDescent="0.15">
      <c r="A314" s="3">
        <v>313</v>
      </c>
      <c r="B314" s="3">
        <v>48.5</v>
      </c>
      <c r="C314" s="3" t="s">
        <v>46</v>
      </c>
      <c r="D314" s="3" t="s">
        <v>58</v>
      </c>
      <c r="E314" s="10" t="str">
        <f t="shared" si="4"/>
        <v>High</v>
      </c>
    </row>
    <row r="315" spans="1:5" x14ac:dyDescent="0.15">
      <c r="A315" s="3">
        <v>314</v>
      </c>
      <c r="B315" s="3">
        <v>41.37</v>
      </c>
      <c r="C315" s="3" t="s">
        <v>49</v>
      </c>
      <c r="D315" s="3" t="s">
        <v>56</v>
      </c>
      <c r="E315" s="10" t="str">
        <f t="shared" si="4"/>
        <v>Medium</v>
      </c>
    </row>
    <row r="316" spans="1:5" x14ac:dyDescent="0.15">
      <c r="A316" s="3">
        <v>315</v>
      </c>
      <c r="B316" s="3">
        <v>46.37</v>
      </c>
      <c r="C316" s="3" t="s">
        <v>46</v>
      </c>
      <c r="D316" s="3" t="s">
        <v>50</v>
      </c>
      <c r="E316" s="10" t="str">
        <f t="shared" si="4"/>
        <v>High</v>
      </c>
    </row>
    <row r="317" spans="1:5" x14ac:dyDescent="0.15">
      <c r="A317" s="3">
        <v>316</v>
      </c>
      <c r="B317" s="3">
        <v>44.51</v>
      </c>
      <c r="C317" s="3" t="s">
        <v>46</v>
      </c>
      <c r="D317" s="3" t="s">
        <v>57</v>
      </c>
      <c r="E317" s="10" t="str">
        <f t="shared" si="4"/>
        <v>Medium</v>
      </c>
    </row>
    <row r="318" spans="1:5" x14ac:dyDescent="0.15">
      <c r="A318" s="3">
        <v>317</v>
      </c>
      <c r="B318" s="3">
        <v>44.74</v>
      </c>
      <c r="C318" s="3" t="s">
        <v>49</v>
      </c>
      <c r="D318" s="3" t="s">
        <v>50</v>
      </c>
      <c r="E318" s="10" t="str">
        <f t="shared" si="4"/>
        <v>High</v>
      </c>
    </row>
    <row r="319" spans="1:5" x14ac:dyDescent="0.15">
      <c r="A319" s="3">
        <v>318</v>
      </c>
      <c r="B319" s="3">
        <v>27.18</v>
      </c>
      <c r="C319" s="3" t="s">
        <v>46</v>
      </c>
      <c r="D319" s="3" t="s">
        <v>56</v>
      </c>
      <c r="E319" s="10" t="str">
        <f t="shared" si="4"/>
        <v>Low</v>
      </c>
    </row>
    <row r="320" spans="1:5" x14ac:dyDescent="0.15">
      <c r="A320" s="3">
        <v>319</v>
      </c>
      <c r="B320" s="3">
        <v>41.2</v>
      </c>
      <c r="C320" s="3" t="s">
        <v>46</v>
      </c>
      <c r="D320" s="3" t="s">
        <v>57</v>
      </c>
      <c r="E320" s="10" t="str">
        <f t="shared" si="4"/>
        <v>Medium</v>
      </c>
    </row>
    <row r="321" spans="1:5" x14ac:dyDescent="0.15">
      <c r="A321" s="3">
        <v>320</v>
      </c>
      <c r="B321" s="3">
        <v>34.96</v>
      </c>
      <c r="C321" s="3" t="s">
        <v>46</v>
      </c>
      <c r="D321" s="3" t="s">
        <v>54</v>
      </c>
      <c r="E321" s="10" t="str">
        <f t="shared" si="4"/>
        <v>Low</v>
      </c>
    </row>
    <row r="322" spans="1:5" x14ac:dyDescent="0.15">
      <c r="A322" s="3">
        <v>321</v>
      </c>
      <c r="B322" s="3">
        <v>44.04</v>
      </c>
      <c r="C322" s="3" t="s">
        <v>49</v>
      </c>
      <c r="D322" s="3" t="s">
        <v>50</v>
      </c>
      <c r="E322" s="10" t="str">
        <f t="shared" si="4"/>
        <v>Medium</v>
      </c>
    </row>
    <row r="323" spans="1:5" x14ac:dyDescent="0.15">
      <c r="A323" s="3">
        <v>322</v>
      </c>
      <c r="B323" s="3">
        <v>48</v>
      </c>
      <c r="C323" s="3" t="s">
        <v>49</v>
      </c>
      <c r="D323" s="3" t="s">
        <v>56</v>
      </c>
      <c r="E323" s="10" t="str">
        <f t="shared" ref="E323:E386" si="5">IF(B323&lt;=$L$2,"Low",IF(B323&lt;=$L$3,"Medium",IF(B323&lt;=$L$4,"High")))</f>
        <v>High</v>
      </c>
    </row>
    <row r="324" spans="1:5" x14ac:dyDescent="0.15">
      <c r="A324" s="3">
        <v>323</v>
      </c>
      <c r="B324" s="3">
        <v>47.18</v>
      </c>
      <c r="C324" s="3" t="s">
        <v>46</v>
      </c>
      <c r="D324" s="3" t="s">
        <v>52</v>
      </c>
      <c r="E324" s="10" t="str">
        <f t="shared" si="5"/>
        <v>High</v>
      </c>
    </row>
    <row r="325" spans="1:5" x14ac:dyDescent="0.15">
      <c r="A325" s="3">
        <v>324</v>
      </c>
      <c r="B325" s="3">
        <v>48.19</v>
      </c>
      <c r="C325" s="3" t="s">
        <v>49</v>
      </c>
      <c r="D325" s="3" t="s">
        <v>50</v>
      </c>
      <c r="E325" s="10" t="str">
        <f t="shared" si="5"/>
        <v>High</v>
      </c>
    </row>
    <row r="326" spans="1:5" x14ac:dyDescent="0.15">
      <c r="A326" s="3">
        <v>325</v>
      </c>
      <c r="B326" s="3">
        <v>41.26</v>
      </c>
      <c r="C326" s="3" t="s">
        <v>49</v>
      </c>
      <c r="D326" s="3" t="s">
        <v>56</v>
      </c>
      <c r="E326" s="10" t="str">
        <f t="shared" si="5"/>
        <v>Medium</v>
      </c>
    </row>
    <row r="327" spans="1:5" x14ac:dyDescent="0.15">
      <c r="A327" s="3">
        <v>326</v>
      </c>
      <c r="B327" s="3">
        <v>45.19</v>
      </c>
      <c r="C327" s="3" t="s">
        <v>49</v>
      </c>
      <c r="D327" s="3" t="s">
        <v>50</v>
      </c>
      <c r="E327" s="10" t="str">
        <f t="shared" si="5"/>
        <v>High</v>
      </c>
    </row>
    <row r="328" spans="1:5" x14ac:dyDescent="0.15">
      <c r="A328" s="3">
        <v>327</v>
      </c>
      <c r="B328" s="3">
        <v>48.53</v>
      </c>
      <c r="C328" s="3" t="s">
        <v>46</v>
      </c>
      <c r="D328" s="3" t="s">
        <v>52</v>
      </c>
      <c r="E328" s="10" t="str">
        <f t="shared" si="5"/>
        <v>High</v>
      </c>
    </row>
    <row r="329" spans="1:5" x14ac:dyDescent="0.15">
      <c r="A329" s="3">
        <v>328</v>
      </c>
      <c r="B329" s="3">
        <v>25.54</v>
      </c>
      <c r="C329" s="3" t="s">
        <v>46</v>
      </c>
      <c r="D329" s="3" t="s">
        <v>57</v>
      </c>
      <c r="E329" s="10" t="str">
        <f t="shared" si="5"/>
        <v>Low</v>
      </c>
    </row>
    <row r="330" spans="1:5" x14ac:dyDescent="0.15">
      <c r="A330" s="3">
        <v>329</v>
      </c>
      <c r="B330" s="3">
        <v>40.18</v>
      </c>
      <c r="C330" s="3" t="s">
        <v>46</v>
      </c>
      <c r="D330" s="3" t="s">
        <v>57</v>
      </c>
      <c r="E330" s="10" t="str">
        <f t="shared" si="5"/>
        <v>Medium</v>
      </c>
    </row>
    <row r="331" spans="1:5" x14ac:dyDescent="0.15">
      <c r="A331" s="3">
        <v>330</v>
      </c>
      <c r="B331" s="3">
        <v>41.18</v>
      </c>
      <c r="C331" s="3" t="s">
        <v>46</v>
      </c>
      <c r="D331" s="3" t="s">
        <v>54</v>
      </c>
      <c r="E331" s="10" t="str">
        <f t="shared" si="5"/>
        <v>Medium</v>
      </c>
    </row>
    <row r="332" spans="1:5" x14ac:dyDescent="0.15">
      <c r="A332" s="3">
        <v>331</v>
      </c>
      <c r="B332" s="3">
        <v>49.7</v>
      </c>
      <c r="C332" s="3" t="s">
        <v>46</v>
      </c>
      <c r="D332" s="3" t="s">
        <v>50</v>
      </c>
      <c r="E332" s="10" t="str">
        <f t="shared" si="5"/>
        <v>High</v>
      </c>
    </row>
    <row r="333" spans="1:5" x14ac:dyDescent="0.15">
      <c r="A333" s="3">
        <v>332</v>
      </c>
      <c r="B333" s="3">
        <v>49.47</v>
      </c>
      <c r="C333" s="3" t="s">
        <v>60</v>
      </c>
      <c r="D333" s="3" t="s">
        <v>57</v>
      </c>
      <c r="E333" s="10" t="str">
        <f t="shared" si="5"/>
        <v>High</v>
      </c>
    </row>
    <row r="334" spans="1:5" x14ac:dyDescent="0.15">
      <c r="A334" s="3">
        <v>333</v>
      </c>
      <c r="B334" s="3">
        <v>42.92</v>
      </c>
      <c r="C334" s="3" t="s">
        <v>46</v>
      </c>
      <c r="D334" s="3" t="s">
        <v>56</v>
      </c>
      <c r="E334" s="10" t="str">
        <f t="shared" si="5"/>
        <v>Medium</v>
      </c>
    </row>
    <row r="335" spans="1:5" x14ac:dyDescent="0.15">
      <c r="A335" s="3">
        <v>334</v>
      </c>
      <c r="B335" s="3">
        <v>34.28</v>
      </c>
      <c r="C335" s="3" t="s">
        <v>46</v>
      </c>
      <c r="D335" s="3" t="s">
        <v>52</v>
      </c>
      <c r="E335" s="10" t="str">
        <f t="shared" si="5"/>
        <v>Low</v>
      </c>
    </row>
    <row r="336" spans="1:5" x14ac:dyDescent="0.15">
      <c r="A336" s="3">
        <v>335</v>
      </c>
      <c r="B336" s="3">
        <v>39.729999999999997</v>
      </c>
      <c r="C336" s="3" t="s">
        <v>46</v>
      </c>
      <c r="D336" s="3" t="s">
        <v>57</v>
      </c>
      <c r="E336" s="10" t="str">
        <f t="shared" si="5"/>
        <v>Medium</v>
      </c>
    </row>
    <row r="337" spans="1:5" x14ac:dyDescent="0.15">
      <c r="A337" s="3">
        <v>336</v>
      </c>
      <c r="B337" s="3">
        <v>26.85</v>
      </c>
      <c r="C337" s="3" t="s">
        <v>46</v>
      </c>
      <c r="D337" s="3" t="s">
        <v>57</v>
      </c>
      <c r="E337" s="10" t="str">
        <f t="shared" si="5"/>
        <v>Low</v>
      </c>
    </row>
    <row r="338" spans="1:5" x14ac:dyDescent="0.15">
      <c r="A338" s="3">
        <v>337</v>
      </c>
      <c r="B338" s="3">
        <v>24.89</v>
      </c>
      <c r="C338" s="3" t="s">
        <v>46</v>
      </c>
      <c r="D338" s="3" t="s">
        <v>52</v>
      </c>
      <c r="E338" s="10" t="str">
        <f t="shared" si="5"/>
        <v>Low</v>
      </c>
    </row>
    <row r="339" spans="1:5" x14ac:dyDescent="0.15">
      <c r="A339" s="3">
        <v>338</v>
      </c>
      <c r="B339" s="3">
        <v>46.42</v>
      </c>
      <c r="C339" s="3" t="s">
        <v>49</v>
      </c>
      <c r="D339" s="3" t="s">
        <v>50</v>
      </c>
      <c r="E339" s="10" t="str">
        <f t="shared" si="5"/>
        <v>High</v>
      </c>
    </row>
    <row r="340" spans="1:5" x14ac:dyDescent="0.15">
      <c r="A340" s="3">
        <v>339</v>
      </c>
      <c r="B340" s="3">
        <v>37.590000000000003</v>
      </c>
      <c r="C340" s="3" t="s">
        <v>46</v>
      </c>
      <c r="D340" s="3" t="s">
        <v>52</v>
      </c>
      <c r="E340" s="10" t="str">
        <f t="shared" si="5"/>
        <v>Medium</v>
      </c>
    </row>
    <row r="341" spans="1:5" x14ac:dyDescent="0.15">
      <c r="A341" s="3">
        <v>340</v>
      </c>
      <c r="B341" s="3">
        <v>42.59</v>
      </c>
      <c r="C341" s="3" t="s">
        <v>46</v>
      </c>
      <c r="D341" s="3" t="s">
        <v>56</v>
      </c>
      <c r="E341" s="10" t="str">
        <f t="shared" si="5"/>
        <v>Medium</v>
      </c>
    </row>
    <row r="342" spans="1:5" x14ac:dyDescent="0.15">
      <c r="A342" s="3">
        <v>341</v>
      </c>
      <c r="B342" s="3">
        <v>48.09</v>
      </c>
      <c r="C342" s="3" t="s">
        <v>46</v>
      </c>
      <c r="D342" s="3" t="s">
        <v>54</v>
      </c>
      <c r="E342" s="10" t="str">
        <f t="shared" si="5"/>
        <v>High</v>
      </c>
    </row>
    <row r="343" spans="1:5" x14ac:dyDescent="0.15">
      <c r="A343" s="3">
        <v>342</v>
      </c>
      <c r="B343" s="3">
        <v>42.71</v>
      </c>
      <c r="C343" s="3" t="s">
        <v>46</v>
      </c>
      <c r="D343" s="3" t="s">
        <v>56</v>
      </c>
      <c r="E343" s="10" t="str">
        <f t="shared" si="5"/>
        <v>Medium</v>
      </c>
    </row>
    <row r="344" spans="1:5" x14ac:dyDescent="0.15">
      <c r="A344" s="3">
        <v>343</v>
      </c>
      <c r="B344" s="3">
        <v>42.2</v>
      </c>
      <c r="C344" s="3" t="s">
        <v>60</v>
      </c>
      <c r="D344" s="3" t="s">
        <v>54</v>
      </c>
      <c r="E344" s="10" t="str">
        <f t="shared" si="5"/>
        <v>Medium</v>
      </c>
    </row>
    <row r="345" spans="1:5" x14ac:dyDescent="0.15">
      <c r="A345" s="3">
        <v>344</v>
      </c>
      <c r="B345" s="3">
        <v>27.18</v>
      </c>
      <c r="C345" s="3" t="s">
        <v>46</v>
      </c>
      <c r="D345" s="3" t="s">
        <v>56</v>
      </c>
      <c r="E345" s="10" t="str">
        <f t="shared" si="5"/>
        <v>Low</v>
      </c>
    </row>
    <row r="346" spans="1:5" x14ac:dyDescent="0.15">
      <c r="A346" s="3">
        <v>345</v>
      </c>
      <c r="B346" s="3">
        <v>27.18</v>
      </c>
      <c r="C346" s="3" t="s">
        <v>46</v>
      </c>
      <c r="D346" s="3" t="s">
        <v>58</v>
      </c>
      <c r="E346" s="10" t="str">
        <f t="shared" si="5"/>
        <v>Low</v>
      </c>
    </row>
    <row r="347" spans="1:5" x14ac:dyDescent="0.15">
      <c r="A347" s="3">
        <v>346</v>
      </c>
      <c r="B347" s="3">
        <v>26.09</v>
      </c>
      <c r="C347" s="3" t="s">
        <v>46</v>
      </c>
      <c r="D347" s="3" t="s">
        <v>54</v>
      </c>
      <c r="E347" s="10" t="str">
        <f t="shared" si="5"/>
        <v>Low</v>
      </c>
    </row>
    <row r="348" spans="1:5" x14ac:dyDescent="0.15">
      <c r="A348" s="3">
        <v>347</v>
      </c>
      <c r="B348" s="3">
        <v>26.09</v>
      </c>
      <c r="C348" s="3" t="s">
        <v>46</v>
      </c>
      <c r="D348" s="3"/>
      <c r="E348" s="10" t="str">
        <f t="shared" si="5"/>
        <v>Low</v>
      </c>
    </row>
    <row r="349" spans="1:5" x14ac:dyDescent="0.15">
      <c r="A349" s="3">
        <v>348</v>
      </c>
      <c r="B349" s="3">
        <v>49.91</v>
      </c>
      <c r="C349" s="3" t="s">
        <v>46</v>
      </c>
      <c r="D349" s="3" t="s">
        <v>56</v>
      </c>
      <c r="E349" s="10" t="str">
        <f t="shared" si="5"/>
        <v>High</v>
      </c>
    </row>
    <row r="350" spans="1:5" x14ac:dyDescent="0.15">
      <c r="A350" s="3">
        <v>349</v>
      </c>
      <c r="B350" s="3">
        <v>47.18</v>
      </c>
      <c r="C350" s="3" t="s">
        <v>46</v>
      </c>
      <c r="D350" s="3" t="s">
        <v>52</v>
      </c>
      <c r="E350" s="10" t="str">
        <f t="shared" si="5"/>
        <v>High</v>
      </c>
    </row>
    <row r="351" spans="1:5" x14ac:dyDescent="0.15">
      <c r="A351" s="3">
        <v>350</v>
      </c>
      <c r="B351" s="3">
        <v>40.96</v>
      </c>
      <c r="C351" s="3" t="s">
        <v>46</v>
      </c>
      <c r="D351" s="3" t="s">
        <v>57</v>
      </c>
      <c r="E351" s="10" t="str">
        <f t="shared" si="5"/>
        <v>Medium</v>
      </c>
    </row>
    <row r="352" spans="1:5" x14ac:dyDescent="0.15">
      <c r="A352" s="3">
        <v>351</v>
      </c>
      <c r="B352" s="3">
        <v>30.47</v>
      </c>
      <c r="C352" s="3" t="s">
        <v>46</v>
      </c>
      <c r="D352" s="3" t="s">
        <v>58</v>
      </c>
      <c r="E352" s="10" t="str">
        <f t="shared" si="5"/>
        <v>Low</v>
      </c>
    </row>
    <row r="353" spans="1:5" x14ac:dyDescent="0.15">
      <c r="A353" s="3">
        <v>352</v>
      </c>
      <c r="B353" s="3">
        <v>48.97</v>
      </c>
      <c r="C353" s="3" t="s">
        <v>49</v>
      </c>
      <c r="D353" s="3" t="s">
        <v>57</v>
      </c>
      <c r="E353" s="10" t="str">
        <f t="shared" si="5"/>
        <v>High</v>
      </c>
    </row>
    <row r="354" spans="1:5" x14ac:dyDescent="0.15">
      <c r="A354" s="3">
        <v>353</v>
      </c>
      <c r="B354" s="3">
        <v>43.73</v>
      </c>
      <c r="C354" s="3" t="s">
        <v>60</v>
      </c>
      <c r="D354" s="3" t="s">
        <v>58</v>
      </c>
      <c r="E354" s="10" t="str">
        <f t="shared" si="5"/>
        <v>Medium</v>
      </c>
    </row>
    <row r="355" spans="1:5" x14ac:dyDescent="0.15">
      <c r="A355" s="3">
        <v>354</v>
      </c>
      <c r="B355" s="3">
        <v>46</v>
      </c>
      <c r="C355" s="3" t="s">
        <v>49</v>
      </c>
      <c r="D355" s="3" t="s">
        <v>50</v>
      </c>
      <c r="E355" s="10" t="str">
        <f t="shared" si="5"/>
        <v>High</v>
      </c>
    </row>
    <row r="356" spans="1:5" x14ac:dyDescent="0.15">
      <c r="A356" s="3">
        <v>355</v>
      </c>
      <c r="B356" s="3">
        <v>45</v>
      </c>
      <c r="C356" s="3" t="s">
        <v>49</v>
      </c>
      <c r="D356" s="3"/>
      <c r="E356" s="10" t="str">
        <f t="shared" si="5"/>
        <v>High</v>
      </c>
    </row>
    <row r="357" spans="1:5" x14ac:dyDescent="0.15">
      <c r="A357" s="3">
        <v>356</v>
      </c>
      <c r="B357" s="3">
        <v>48.53</v>
      </c>
      <c r="C357" s="3" t="s">
        <v>46</v>
      </c>
      <c r="D357" s="3" t="s">
        <v>50</v>
      </c>
      <c r="E357" s="10" t="str">
        <f t="shared" si="5"/>
        <v>High</v>
      </c>
    </row>
    <row r="358" spans="1:5" x14ac:dyDescent="0.15">
      <c r="A358" s="3">
        <v>357</v>
      </c>
      <c r="B358" s="3">
        <v>25.24</v>
      </c>
      <c r="C358" s="3" t="s">
        <v>46</v>
      </c>
      <c r="D358" s="3" t="s">
        <v>58</v>
      </c>
      <c r="E358" s="10" t="str">
        <f t="shared" si="5"/>
        <v>Low</v>
      </c>
    </row>
    <row r="359" spans="1:5" x14ac:dyDescent="0.15">
      <c r="A359" s="3">
        <v>358</v>
      </c>
      <c r="B359" s="3">
        <v>47.09</v>
      </c>
      <c r="C359" s="3" t="s">
        <v>49</v>
      </c>
      <c r="D359" s="3" t="s">
        <v>50</v>
      </c>
      <c r="E359" s="10" t="str">
        <f t="shared" si="5"/>
        <v>High</v>
      </c>
    </row>
    <row r="360" spans="1:5" x14ac:dyDescent="0.15">
      <c r="A360" s="3">
        <v>359</v>
      </c>
      <c r="B360" s="3">
        <v>27.8</v>
      </c>
      <c r="C360" s="3" t="s">
        <v>49</v>
      </c>
      <c r="D360" s="3" t="s">
        <v>50</v>
      </c>
      <c r="E360" s="10" t="str">
        <f t="shared" si="5"/>
        <v>Low</v>
      </c>
    </row>
    <row r="361" spans="1:5" x14ac:dyDescent="0.15">
      <c r="A361" s="3">
        <v>360</v>
      </c>
      <c r="B361" s="3">
        <v>44.07</v>
      </c>
      <c r="C361" s="3" t="s">
        <v>60</v>
      </c>
      <c r="D361" s="3" t="s">
        <v>54</v>
      </c>
      <c r="E361" s="10" t="str">
        <f t="shared" si="5"/>
        <v>Medium</v>
      </c>
    </row>
    <row r="362" spans="1:5" x14ac:dyDescent="0.15">
      <c r="A362" s="3">
        <v>361</v>
      </c>
      <c r="B362" s="3">
        <v>31.33</v>
      </c>
      <c r="C362" s="3"/>
      <c r="D362" s="3" t="s">
        <v>54</v>
      </c>
      <c r="E362" s="10" t="str">
        <f t="shared" si="5"/>
        <v>Low</v>
      </c>
    </row>
    <row r="363" spans="1:5" x14ac:dyDescent="0.15">
      <c r="A363" s="3">
        <v>362</v>
      </c>
      <c r="B363" s="3">
        <v>37.53</v>
      </c>
      <c r="C363" s="3" t="s">
        <v>46</v>
      </c>
      <c r="D363" s="3" t="s">
        <v>52</v>
      </c>
      <c r="E363" s="10" t="str">
        <f t="shared" si="5"/>
        <v>Medium</v>
      </c>
    </row>
    <row r="364" spans="1:5" x14ac:dyDescent="0.15">
      <c r="A364" s="3">
        <v>363</v>
      </c>
      <c r="B364" s="3">
        <v>48.53</v>
      </c>
      <c r="C364" s="3" t="s">
        <v>46</v>
      </c>
      <c r="D364" s="3" t="s">
        <v>50</v>
      </c>
      <c r="E364" s="10" t="str">
        <f t="shared" si="5"/>
        <v>High</v>
      </c>
    </row>
    <row r="365" spans="1:5" x14ac:dyDescent="0.15">
      <c r="A365" s="3">
        <v>364</v>
      </c>
      <c r="B365" s="3">
        <v>40.92</v>
      </c>
      <c r="C365" s="3" t="s">
        <v>49</v>
      </c>
      <c r="D365" s="3" t="s">
        <v>58</v>
      </c>
      <c r="E365" s="10" t="str">
        <f t="shared" si="5"/>
        <v>Medium</v>
      </c>
    </row>
    <row r="366" spans="1:5" x14ac:dyDescent="0.15">
      <c r="A366" s="3">
        <v>365</v>
      </c>
      <c r="B366" s="3">
        <v>25.17</v>
      </c>
      <c r="C366" s="3" t="s">
        <v>46</v>
      </c>
      <c r="D366" s="3" t="s">
        <v>52</v>
      </c>
      <c r="E366" s="10" t="str">
        <f t="shared" si="5"/>
        <v>Low</v>
      </c>
    </row>
    <row r="367" spans="1:5" x14ac:dyDescent="0.15">
      <c r="A367" s="3">
        <v>366</v>
      </c>
      <c r="B367" s="3">
        <v>34.479999999999997</v>
      </c>
      <c r="C367" s="3" t="s">
        <v>46</v>
      </c>
      <c r="D367" s="3" t="s">
        <v>52</v>
      </c>
      <c r="E367" s="10" t="str">
        <f t="shared" si="5"/>
        <v>Low</v>
      </c>
    </row>
    <row r="368" spans="1:5" x14ac:dyDescent="0.15">
      <c r="A368" s="3">
        <v>367</v>
      </c>
      <c r="B368" s="3">
        <v>47</v>
      </c>
      <c r="C368" s="3" t="s">
        <v>49</v>
      </c>
      <c r="D368" s="3" t="s">
        <v>50</v>
      </c>
      <c r="E368" s="10" t="str">
        <f t="shared" si="5"/>
        <v>High</v>
      </c>
    </row>
    <row r="369" spans="1:5" x14ac:dyDescent="0.15">
      <c r="A369" s="3">
        <v>368</v>
      </c>
      <c r="B369" s="3">
        <v>47.72</v>
      </c>
      <c r="C369" s="3" t="s">
        <v>46</v>
      </c>
      <c r="D369" s="3" t="s">
        <v>54</v>
      </c>
      <c r="E369" s="10" t="str">
        <f t="shared" si="5"/>
        <v>High</v>
      </c>
    </row>
    <row r="370" spans="1:5" x14ac:dyDescent="0.15">
      <c r="A370" s="3">
        <v>369</v>
      </c>
      <c r="B370" s="3">
        <v>48.53</v>
      </c>
      <c r="C370" s="3" t="s">
        <v>46</v>
      </c>
      <c r="D370" s="3" t="s">
        <v>50</v>
      </c>
      <c r="E370" s="10" t="str">
        <f t="shared" si="5"/>
        <v>High</v>
      </c>
    </row>
    <row r="371" spans="1:5" x14ac:dyDescent="0.15">
      <c r="A371" s="3">
        <v>370</v>
      </c>
      <c r="B371" s="3">
        <v>44.51</v>
      </c>
      <c r="C371" s="3" t="s">
        <v>46</v>
      </c>
      <c r="D371" s="3" t="s">
        <v>57</v>
      </c>
      <c r="E371" s="10" t="str">
        <f t="shared" si="5"/>
        <v>Medium</v>
      </c>
    </row>
    <row r="372" spans="1:5" x14ac:dyDescent="0.15">
      <c r="A372" s="3">
        <v>371</v>
      </c>
      <c r="B372" s="3">
        <v>29.56</v>
      </c>
      <c r="C372" s="3" t="s">
        <v>46</v>
      </c>
      <c r="D372" s="3" t="s">
        <v>54</v>
      </c>
      <c r="E372" s="10" t="str">
        <f t="shared" si="5"/>
        <v>Low</v>
      </c>
    </row>
    <row r="373" spans="1:5" x14ac:dyDescent="0.15">
      <c r="A373" s="3">
        <v>372</v>
      </c>
      <c r="B373" s="3">
        <v>27.18</v>
      </c>
      <c r="C373" s="3" t="s">
        <v>46</v>
      </c>
      <c r="D373" s="3" t="s">
        <v>56</v>
      </c>
      <c r="E373" s="10" t="str">
        <f t="shared" si="5"/>
        <v>Low</v>
      </c>
    </row>
    <row r="374" spans="1:5" x14ac:dyDescent="0.15">
      <c r="A374" s="3">
        <v>373</v>
      </c>
      <c r="B374" s="3">
        <v>49.91</v>
      </c>
      <c r="C374" s="3" t="s">
        <v>46</v>
      </c>
      <c r="D374" s="3" t="s">
        <v>56</v>
      </c>
      <c r="E374" s="10" t="str">
        <f t="shared" si="5"/>
        <v>High</v>
      </c>
    </row>
    <row r="375" spans="1:5" x14ac:dyDescent="0.15">
      <c r="A375" s="3">
        <v>374</v>
      </c>
      <c r="B375" s="3">
        <v>48.56</v>
      </c>
      <c r="C375" s="3" t="s">
        <v>49</v>
      </c>
      <c r="D375" s="3" t="s">
        <v>50</v>
      </c>
      <c r="E375" s="10" t="str">
        <f t="shared" si="5"/>
        <v>High</v>
      </c>
    </row>
    <row r="376" spans="1:5" x14ac:dyDescent="0.15">
      <c r="A376" s="3">
        <v>375</v>
      </c>
      <c r="B376" s="3">
        <v>47</v>
      </c>
      <c r="C376" s="3" t="s">
        <v>49</v>
      </c>
      <c r="D376" s="3" t="s">
        <v>56</v>
      </c>
      <c r="E376" s="10" t="str">
        <f t="shared" si="5"/>
        <v>High</v>
      </c>
    </row>
    <row r="377" spans="1:5" x14ac:dyDescent="0.15">
      <c r="A377" s="3">
        <v>376</v>
      </c>
      <c r="B377" s="3">
        <v>47.54</v>
      </c>
      <c r="C377" s="3" t="s">
        <v>46</v>
      </c>
      <c r="D377" s="3" t="s">
        <v>54</v>
      </c>
      <c r="E377" s="10" t="str">
        <f t="shared" si="5"/>
        <v>High</v>
      </c>
    </row>
    <row r="378" spans="1:5" x14ac:dyDescent="0.15">
      <c r="A378" s="3">
        <v>377</v>
      </c>
      <c r="B378" s="3">
        <v>42.14</v>
      </c>
      <c r="C378" s="3" t="s">
        <v>49</v>
      </c>
      <c r="D378" s="3" t="s">
        <v>50</v>
      </c>
      <c r="E378" s="10" t="str">
        <f t="shared" si="5"/>
        <v>Medium</v>
      </c>
    </row>
    <row r="379" spans="1:5" x14ac:dyDescent="0.15">
      <c r="A379" s="3">
        <v>378</v>
      </c>
      <c r="B379" s="3">
        <v>48.09</v>
      </c>
      <c r="C379" s="3"/>
      <c r="D379" s="3" t="s">
        <v>54</v>
      </c>
      <c r="E379" s="10" t="str">
        <f t="shared" si="5"/>
        <v>High</v>
      </c>
    </row>
    <row r="380" spans="1:5" x14ac:dyDescent="0.15">
      <c r="A380" s="3">
        <v>379</v>
      </c>
      <c r="B380" s="3">
        <v>44.59</v>
      </c>
      <c r="C380" s="3" t="s">
        <v>49</v>
      </c>
      <c r="D380" s="3" t="s">
        <v>50</v>
      </c>
      <c r="E380" s="10" t="str">
        <f t="shared" si="5"/>
        <v>High</v>
      </c>
    </row>
    <row r="381" spans="1:5" x14ac:dyDescent="0.15">
      <c r="A381" s="3">
        <v>380</v>
      </c>
      <c r="B381" s="3">
        <v>33.01</v>
      </c>
      <c r="C381" s="3" t="s">
        <v>46</v>
      </c>
      <c r="D381" s="3" t="s">
        <v>57</v>
      </c>
      <c r="E381" s="10" t="str">
        <f t="shared" si="5"/>
        <v>Low</v>
      </c>
    </row>
    <row r="382" spans="1:5" x14ac:dyDescent="0.15">
      <c r="A382" s="3">
        <v>381</v>
      </c>
      <c r="B382" s="3">
        <v>43.03</v>
      </c>
      <c r="C382" s="3" t="s">
        <v>46</v>
      </c>
      <c r="D382" s="3" t="s">
        <v>52</v>
      </c>
      <c r="E382" s="10" t="str">
        <f t="shared" si="5"/>
        <v>Medium</v>
      </c>
    </row>
    <row r="383" spans="1:5" x14ac:dyDescent="0.15">
      <c r="A383" s="3">
        <v>382</v>
      </c>
      <c r="B383" s="3">
        <v>42.17</v>
      </c>
      <c r="C383" s="3" t="s">
        <v>49</v>
      </c>
      <c r="D383" s="3" t="s">
        <v>50</v>
      </c>
      <c r="E383" s="10" t="str">
        <f t="shared" si="5"/>
        <v>Medium</v>
      </c>
    </row>
    <row r="384" spans="1:5" x14ac:dyDescent="0.15">
      <c r="A384" s="3">
        <v>383</v>
      </c>
      <c r="B384" s="3">
        <v>43.48</v>
      </c>
      <c r="C384" s="3" t="s">
        <v>49</v>
      </c>
      <c r="D384" s="3" t="s">
        <v>50</v>
      </c>
      <c r="E384" s="10" t="str">
        <f t="shared" si="5"/>
        <v>Medium</v>
      </c>
    </row>
    <row r="385" spans="1:5" x14ac:dyDescent="0.15">
      <c r="A385" s="3">
        <v>384</v>
      </c>
      <c r="B385" s="3">
        <v>29.55</v>
      </c>
      <c r="C385" s="3" t="s">
        <v>46</v>
      </c>
      <c r="D385" s="3" t="s">
        <v>54</v>
      </c>
      <c r="E385" s="10" t="str">
        <f t="shared" si="5"/>
        <v>Low</v>
      </c>
    </row>
    <row r="386" spans="1:5" x14ac:dyDescent="0.15">
      <c r="A386" s="3">
        <v>385</v>
      </c>
      <c r="B386" s="3">
        <v>48.09</v>
      </c>
      <c r="C386" s="3" t="s">
        <v>46</v>
      </c>
      <c r="D386" s="3" t="s">
        <v>54</v>
      </c>
      <c r="E386" s="10" t="str">
        <f t="shared" si="5"/>
        <v>High</v>
      </c>
    </row>
    <row r="387" spans="1:5" x14ac:dyDescent="0.15">
      <c r="A387" s="3">
        <v>386</v>
      </c>
      <c r="B387" s="3">
        <v>38.76</v>
      </c>
      <c r="C387" s="3" t="s">
        <v>46</v>
      </c>
      <c r="D387" s="3" t="s">
        <v>58</v>
      </c>
      <c r="E387" s="10" t="str">
        <f t="shared" ref="E387:E450" si="6">IF(B387&lt;=$L$2,"Low",IF(B387&lt;=$L$3,"Medium",IF(B387&lt;=$L$4,"High")))</f>
        <v>Medium</v>
      </c>
    </row>
    <row r="388" spans="1:5" x14ac:dyDescent="0.15">
      <c r="A388" s="3">
        <v>387</v>
      </c>
      <c r="B388" s="3">
        <v>28.44</v>
      </c>
      <c r="C388" s="3" t="s">
        <v>46</v>
      </c>
      <c r="D388" s="3"/>
      <c r="E388" s="10" t="str">
        <f t="shared" si="6"/>
        <v>Low</v>
      </c>
    </row>
    <row r="389" spans="1:5" x14ac:dyDescent="0.15">
      <c r="A389" s="3">
        <v>388</v>
      </c>
      <c r="B389" s="3">
        <v>32.96</v>
      </c>
      <c r="C389" s="3" t="s">
        <v>46</v>
      </c>
      <c r="D389" s="3"/>
      <c r="E389" s="10" t="str">
        <f t="shared" si="6"/>
        <v>Low</v>
      </c>
    </row>
    <row r="390" spans="1:5" x14ac:dyDescent="0.15">
      <c r="A390" s="3">
        <v>389</v>
      </c>
      <c r="B390" s="3">
        <v>35.159999999999997</v>
      </c>
      <c r="C390" s="3" t="s">
        <v>46</v>
      </c>
      <c r="D390" s="3" t="s">
        <v>52</v>
      </c>
      <c r="E390" s="10" t="str">
        <f t="shared" si="6"/>
        <v>Low</v>
      </c>
    </row>
    <row r="391" spans="1:5" x14ac:dyDescent="0.15">
      <c r="A391" s="3">
        <v>390</v>
      </c>
      <c r="B391" s="3">
        <v>42.92</v>
      </c>
      <c r="C391" s="3" t="s">
        <v>46</v>
      </c>
      <c r="D391" s="3" t="s">
        <v>58</v>
      </c>
      <c r="E391" s="10" t="str">
        <f t="shared" si="6"/>
        <v>Medium</v>
      </c>
    </row>
    <row r="392" spans="1:5" x14ac:dyDescent="0.15">
      <c r="A392" s="3">
        <v>391</v>
      </c>
      <c r="B392" s="3">
        <v>43.69</v>
      </c>
      <c r="C392" s="3" t="s">
        <v>46</v>
      </c>
      <c r="D392" s="3" t="s">
        <v>58</v>
      </c>
      <c r="E392" s="10" t="str">
        <f t="shared" si="6"/>
        <v>Medium</v>
      </c>
    </row>
    <row r="393" spans="1:5" x14ac:dyDescent="0.15">
      <c r="A393" s="3">
        <v>392</v>
      </c>
      <c r="B393" s="3">
        <v>46.51</v>
      </c>
      <c r="C393" s="3" t="s">
        <v>46</v>
      </c>
      <c r="D393" s="3" t="s">
        <v>54</v>
      </c>
      <c r="E393" s="10" t="str">
        <f t="shared" si="6"/>
        <v>High</v>
      </c>
    </row>
    <row r="394" spans="1:5" x14ac:dyDescent="0.15">
      <c r="A394" s="3">
        <v>393</v>
      </c>
      <c r="B394" s="3">
        <v>48</v>
      </c>
      <c r="C394" s="3" t="s">
        <v>49</v>
      </c>
      <c r="D394" s="3" t="s">
        <v>56</v>
      </c>
      <c r="E394" s="10" t="str">
        <f t="shared" si="6"/>
        <v>High</v>
      </c>
    </row>
    <row r="395" spans="1:5" x14ac:dyDescent="0.15">
      <c r="A395" s="3">
        <v>394</v>
      </c>
      <c r="B395" s="3">
        <v>30.16</v>
      </c>
      <c r="C395" s="3" t="s">
        <v>46</v>
      </c>
      <c r="D395" s="3" t="s">
        <v>54</v>
      </c>
      <c r="E395" s="10" t="str">
        <f t="shared" si="6"/>
        <v>Low</v>
      </c>
    </row>
    <row r="396" spans="1:5" x14ac:dyDescent="0.15">
      <c r="A396" s="3">
        <v>395</v>
      </c>
      <c r="B396" s="3">
        <v>35.159999999999997</v>
      </c>
      <c r="C396" s="3" t="s">
        <v>46</v>
      </c>
      <c r="D396" s="3" t="s">
        <v>52</v>
      </c>
      <c r="E396" s="10" t="str">
        <f t="shared" si="6"/>
        <v>Low</v>
      </c>
    </row>
    <row r="397" spans="1:5" x14ac:dyDescent="0.15">
      <c r="A397" s="3">
        <v>396</v>
      </c>
      <c r="B397" s="3">
        <v>33</v>
      </c>
      <c r="C397" s="3" t="s">
        <v>46</v>
      </c>
      <c r="D397" s="3" t="s">
        <v>50</v>
      </c>
      <c r="E397" s="10" t="str">
        <f t="shared" si="6"/>
        <v>Low</v>
      </c>
    </row>
    <row r="398" spans="1:5" x14ac:dyDescent="0.15">
      <c r="A398" s="3">
        <v>397</v>
      </c>
      <c r="B398" s="3">
        <v>41.06</v>
      </c>
      <c r="C398" s="3" t="s">
        <v>49</v>
      </c>
      <c r="D398" s="3" t="s">
        <v>52</v>
      </c>
      <c r="E398" s="10" t="str">
        <f t="shared" si="6"/>
        <v>Medium</v>
      </c>
    </row>
    <row r="399" spans="1:5" x14ac:dyDescent="0.15">
      <c r="A399" s="3">
        <v>398</v>
      </c>
      <c r="B399" s="3">
        <v>37.53</v>
      </c>
      <c r="C399" s="3" t="s">
        <v>46</v>
      </c>
      <c r="D399" s="3" t="s">
        <v>52</v>
      </c>
      <c r="E399" s="10" t="str">
        <f t="shared" si="6"/>
        <v>Medium</v>
      </c>
    </row>
    <row r="400" spans="1:5" x14ac:dyDescent="0.15">
      <c r="A400" s="3">
        <v>399</v>
      </c>
      <c r="B400" s="3">
        <v>47.46</v>
      </c>
      <c r="C400" s="3" t="s">
        <v>49</v>
      </c>
      <c r="D400" s="3" t="s">
        <v>50</v>
      </c>
      <c r="E400" s="10" t="str">
        <f t="shared" si="6"/>
        <v>High</v>
      </c>
    </row>
    <row r="401" spans="1:5" x14ac:dyDescent="0.15">
      <c r="A401" s="3">
        <v>400</v>
      </c>
      <c r="B401" s="3">
        <v>47.13</v>
      </c>
      <c r="C401" s="3" t="s">
        <v>46</v>
      </c>
      <c r="D401" s="3" t="s">
        <v>50</v>
      </c>
      <c r="E401" s="10" t="str">
        <f t="shared" si="6"/>
        <v>High</v>
      </c>
    </row>
    <row r="402" spans="1:5" x14ac:dyDescent="0.15">
      <c r="A402" s="3">
        <v>401</v>
      </c>
      <c r="B402" s="3">
        <v>46.13</v>
      </c>
      <c r="C402" s="3" t="s">
        <v>46</v>
      </c>
      <c r="D402" s="3" t="s">
        <v>56</v>
      </c>
      <c r="E402" s="10" t="str">
        <f t="shared" si="6"/>
        <v>High</v>
      </c>
    </row>
    <row r="403" spans="1:5" x14ac:dyDescent="0.15">
      <c r="A403" s="3">
        <v>402</v>
      </c>
      <c r="B403" s="3">
        <v>35.619999999999997</v>
      </c>
      <c r="C403" s="3" t="s">
        <v>46</v>
      </c>
      <c r="D403" s="3" t="s">
        <v>54</v>
      </c>
      <c r="E403" s="10" t="str">
        <f t="shared" si="6"/>
        <v>Low</v>
      </c>
    </row>
    <row r="404" spans="1:5" x14ac:dyDescent="0.15">
      <c r="A404" s="3">
        <v>403</v>
      </c>
      <c r="B404" s="3">
        <v>29.56</v>
      </c>
      <c r="C404" s="3" t="s">
        <v>46</v>
      </c>
      <c r="D404" s="3" t="s">
        <v>54</v>
      </c>
      <c r="E404" s="10" t="str">
        <f t="shared" si="6"/>
        <v>Low</v>
      </c>
    </row>
    <row r="405" spans="1:5" x14ac:dyDescent="0.15">
      <c r="A405" s="3">
        <v>404</v>
      </c>
      <c r="B405" s="3">
        <v>32.35</v>
      </c>
      <c r="C405" s="3" t="s">
        <v>46</v>
      </c>
      <c r="D405" s="3" t="s">
        <v>54</v>
      </c>
      <c r="E405" s="10" t="str">
        <f t="shared" si="6"/>
        <v>Low</v>
      </c>
    </row>
    <row r="406" spans="1:5" x14ac:dyDescent="0.15">
      <c r="A406" s="3">
        <v>405</v>
      </c>
      <c r="B406" s="3">
        <v>42.85</v>
      </c>
      <c r="C406" s="3" t="s">
        <v>46</v>
      </c>
      <c r="D406" s="3" t="s">
        <v>57</v>
      </c>
      <c r="E406" s="10" t="str">
        <f t="shared" si="6"/>
        <v>Medium</v>
      </c>
    </row>
    <row r="407" spans="1:5" x14ac:dyDescent="0.15">
      <c r="A407" s="3">
        <v>406</v>
      </c>
      <c r="B407" s="3">
        <v>33.78</v>
      </c>
      <c r="C407" s="3" t="s">
        <v>46</v>
      </c>
      <c r="D407" s="3" t="s">
        <v>54</v>
      </c>
      <c r="E407" s="10" t="str">
        <f t="shared" si="6"/>
        <v>Low</v>
      </c>
    </row>
    <row r="408" spans="1:5" x14ac:dyDescent="0.15">
      <c r="A408" s="3">
        <v>407</v>
      </c>
      <c r="B408" s="3">
        <v>45.71</v>
      </c>
      <c r="C408" s="3" t="s">
        <v>46</v>
      </c>
      <c r="D408" s="3" t="s">
        <v>50</v>
      </c>
      <c r="E408" s="10" t="str">
        <f t="shared" si="6"/>
        <v>High</v>
      </c>
    </row>
    <row r="409" spans="1:5" x14ac:dyDescent="0.15">
      <c r="A409" s="3">
        <v>408</v>
      </c>
      <c r="B409" s="3">
        <v>44.6</v>
      </c>
      <c r="C409" s="3" t="s">
        <v>46</v>
      </c>
      <c r="D409" s="3" t="s">
        <v>54</v>
      </c>
      <c r="E409" s="10" t="str">
        <f t="shared" si="6"/>
        <v>High</v>
      </c>
    </row>
    <row r="410" spans="1:5" x14ac:dyDescent="0.15">
      <c r="A410" s="3">
        <v>409</v>
      </c>
      <c r="B410" s="3">
        <v>33.880000000000003</v>
      </c>
      <c r="C410" s="3" t="s">
        <v>46</v>
      </c>
      <c r="D410" s="3" t="s">
        <v>52</v>
      </c>
      <c r="E410" s="10" t="str">
        <f t="shared" si="6"/>
        <v>Low</v>
      </c>
    </row>
    <row r="411" spans="1:5" x14ac:dyDescent="0.15">
      <c r="A411" s="3">
        <v>410</v>
      </c>
      <c r="B411" s="3">
        <v>43.21</v>
      </c>
      <c r="C411" s="3" t="s">
        <v>49</v>
      </c>
      <c r="D411" s="3" t="s">
        <v>50</v>
      </c>
      <c r="E411" s="10" t="str">
        <f t="shared" si="6"/>
        <v>Medium</v>
      </c>
    </row>
    <row r="412" spans="1:5" x14ac:dyDescent="0.15">
      <c r="A412" s="3">
        <v>411</v>
      </c>
      <c r="B412" s="3">
        <v>40.18</v>
      </c>
      <c r="C412" s="3" t="s">
        <v>49</v>
      </c>
      <c r="D412" s="3" t="s">
        <v>57</v>
      </c>
      <c r="E412" s="10" t="str">
        <f t="shared" si="6"/>
        <v>Medium</v>
      </c>
    </row>
    <row r="413" spans="1:5" x14ac:dyDescent="0.15">
      <c r="A413" s="3">
        <v>412</v>
      </c>
      <c r="B413" s="3">
        <v>48</v>
      </c>
      <c r="C413" s="3" t="s">
        <v>49</v>
      </c>
      <c r="D413" s="3" t="s">
        <v>54</v>
      </c>
      <c r="E413" s="10" t="str">
        <f t="shared" si="6"/>
        <v>High</v>
      </c>
    </row>
    <row r="414" spans="1:5" x14ac:dyDescent="0.15">
      <c r="A414" s="3">
        <v>413</v>
      </c>
      <c r="B414" s="3">
        <v>47.73</v>
      </c>
      <c r="C414" s="3" t="s">
        <v>49</v>
      </c>
      <c r="D414" s="3" t="s">
        <v>50</v>
      </c>
      <c r="E414" s="10" t="str">
        <f t="shared" si="6"/>
        <v>High</v>
      </c>
    </row>
    <row r="415" spans="1:5" x14ac:dyDescent="0.15">
      <c r="A415" s="3">
        <v>414</v>
      </c>
      <c r="B415" s="3">
        <v>40.96</v>
      </c>
      <c r="C415" s="3" t="s">
        <v>46</v>
      </c>
      <c r="D415" s="3" t="s">
        <v>57</v>
      </c>
      <c r="E415" s="10" t="str">
        <f t="shared" si="6"/>
        <v>Medium</v>
      </c>
    </row>
    <row r="416" spans="1:5" x14ac:dyDescent="0.15">
      <c r="A416" s="3">
        <v>415</v>
      </c>
      <c r="B416" s="3">
        <v>30.01</v>
      </c>
      <c r="C416" s="3" t="s">
        <v>46</v>
      </c>
      <c r="D416" s="3" t="s">
        <v>56</v>
      </c>
      <c r="E416" s="10" t="str">
        <f t="shared" si="6"/>
        <v>Low</v>
      </c>
    </row>
    <row r="417" spans="1:5" x14ac:dyDescent="0.15">
      <c r="A417" s="3">
        <v>416</v>
      </c>
      <c r="B417" s="3">
        <v>48.53</v>
      </c>
      <c r="C417" s="3" t="s">
        <v>46</v>
      </c>
      <c r="D417" s="3" t="s">
        <v>50</v>
      </c>
      <c r="E417" s="10" t="str">
        <f t="shared" si="6"/>
        <v>High</v>
      </c>
    </row>
    <row r="418" spans="1:5" x14ac:dyDescent="0.15">
      <c r="A418" s="3">
        <v>417</v>
      </c>
      <c r="B418" s="3">
        <v>48.53</v>
      </c>
      <c r="C418" s="3" t="s">
        <v>46</v>
      </c>
      <c r="D418" s="3" t="s">
        <v>50</v>
      </c>
      <c r="E418" s="10" t="str">
        <f t="shared" si="6"/>
        <v>High</v>
      </c>
    </row>
    <row r="419" spans="1:5" x14ac:dyDescent="0.15">
      <c r="A419" s="3">
        <v>418</v>
      </c>
      <c r="B419" s="3">
        <v>49.66</v>
      </c>
      <c r="C419" s="3" t="s">
        <v>46</v>
      </c>
      <c r="D419" s="3" t="s">
        <v>58</v>
      </c>
      <c r="E419" s="10" t="str">
        <f t="shared" si="6"/>
        <v>High</v>
      </c>
    </row>
    <row r="420" spans="1:5" x14ac:dyDescent="0.15">
      <c r="A420" s="3">
        <v>419</v>
      </c>
      <c r="B420" s="3">
        <v>48.93</v>
      </c>
      <c r="C420" s="3" t="s">
        <v>46</v>
      </c>
      <c r="D420" s="3" t="s">
        <v>50</v>
      </c>
      <c r="E420" s="10" t="str">
        <f t="shared" si="6"/>
        <v>High</v>
      </c>
    </row>
    <row r="421" spans="1:5" x14ac:dyDescent="0.15">
      <c r="A421" s="3">
        <v>420</v>
      </c>
      <c r="B421" s="3">
        <v>44.57</v>
      </c>
      <c r="C421" s="3" t="s">
        <v>46</v>
      </c>
      <c r="D421" s="3" t="s">
        <v>58</v>
      </c>
      <c r="E421" s="10" t="str">
        <f t="shared" si="6"/>
        <v>Medium</v>
      </c>
    </row>
    <row r="422" spans="1:5" x14ac:dyDescent="0.15">
      <c r="A422" s="3">
        <v>421</v>
      </c>
      <c r="B422" s="3">
        <v>35.619999999999997</v>
      </c>
      <c r="C422" s="3" t="s">
        <v>46</v>
      </c>
      <c r="D422" s="3" t="s">
        <v>54</v>
      </c>
      <c r="E422" s="10" t="str">
        <f t="shared" si="6"/>
        <v>Low</v>
      </c>
    </row>
    <row r="423" spans="1:5" x14ac:dyDescent="0.15">
      <c r="A423" s="3">
        <v>422</v>
      </c>
      <c r="B423" s="3">
        <v>35.159999999999997</v>
      </c>
      <c r="C423" s="3" t="s">
        <v>46</v>
      </c>
      <c r="D423" s="3" t="s">
        <v>52</v>
      </c>
      <c r="E423" s="10" t="str">
        <f t="shared" si="6"/>
        <v>Low</v>
      </c>
    </row>
    <row r="424" spans="1:5" x14ac:dyDescent="0.15">
      <c r="A424" s="3">
        <v>423</v>
      </c>
      <c r="B424" s="3">
        <v>27.18</v>
      </c>
      <c r="C424" s="3" t="s">
        <v>46</v>
      </c>
      <c r="D424" s="3" t="s">
        <v>50</v>
      </c>
      <c r="E424" s="10" t="str">
        <f t="shared" si="6"/>
        <v>Low</v>
      </c>
    </row>
    <row r="425" spans="1:5" x14ac:dyDescent="0.15">
      <c r="A425" s="3">
        <v>424</v>
      </c>
      <c r="B425" s="3">
        <v>37.590000000000003</v>
      </c>
      <c r="C425" s="3" t="s">
        <v>46</v>
      </c>
      <c r="D425" s="3" t="s">
        <v>50</v>
      </c>
      <c r="E425" s="10" t="str">
        <f t="shared" si="6"/>
        <v>Medium</v>
      </c>
    </row>
    <row r="426" spans="1:5" x14ac:dyDescent="0.15">
      <c r="A426" s="3">
        <v>425</v>
      </c>
      <c r="B426" s="3">
        <v>31.33</v>
      </c>
      <c r="C426" s="3" t="s">
        <v>46</v>
      </c>
      <c r="D426" s="3" t="s">
        <v>54</v>
      </c>
      <c r="E426" s="10" t="str">
        <f t="shared" si="6"/>
        <v>Low</v>
      </c>
    </row>
    <row r="427" spans="1:5" x14ac:dyDescent="0.15">
      <c r="A427" s="3">
        <v>426</v>
      </c>
      <c r="B427" s="3">
        <v>43.68</v>
      </c>
      <c r="C427" s="3" t="s">
        <v>46</v>
      </c>
      <c r="D427" s="3" t="s">
        <v>52</v>
      </c>
      <c r="E427" s="10" t="str">
        <f t="shared" si="6"/>
        <v>Medium</v>
      </c>
    </row>
    <row r="428" spans="1:5" x14ac:dyDescent="0.15">
      <c r="A428" s="3">
        <v>427</v>
      </c>
      <c r="B428" s="3">
        <v>33.979999999999997</v>
      </c>
      <c r="C428" s="3" t="s">
        <v>46</v>
      </c>
      <c r="D428" s="3" t="s">
        <v>57</v>
      </c>
      <c r="E428" s="10" t="str">
        <f t="shared" si="6"/>
        <v>Low</v>
      </c>
    </row>
    <row r="429" spans="1:5" x14ac:dyDescent="0.15">
      <c r="A429" s="3">
        <v>428</v>
      </c>
      <c r="B429" s="3">
        <v>32</v>
      </c>
      <c r="C429" s="3" t="s">
        <v>49</v>
      </c>
      <c r="D429" s="3" t="s">
        <v>50</v>
      </c>
      <c r="E429" s="10" t="str">
        <f t="shared" si="6"/>
        <v>Low</v>
      </c>
    </row>
    <row r="430" spans="1:5" x14ac:dyDescent="0.15">
      <c r="A430" s="3">
        <v>429</v>
      </c>
      <c r="B430" s="3">
        <v>40.479999999999997</v>
      </c>
      <c r="C430" s="3" t="s">
        <v>46</v>
      </c>
      <c r="D430" s="3" t="s">
        <v>58</v>
      </c>
      <c r="E430" s="10" t="str">
        <f t="shared" si="6"/>
        <v>Medium</v>
      </c>
    </row>
    <row r="431" spans="1:5" x14ac:dyDescent="0.15">
      <c r="A431" s="3">
        <v>430</v>
      </c>
      <c r="B431" s="3">
        <v>42.92</v>
      </c>
      <c r="C431" s="3" t="s">
        <v>49</v>
      </c>
      <c r="D431" s="3" t="s">
        <v>56</v>
      </c>
      <c r="E431" s="10" t="str">
        <f t="shared" si="6"/>
        <v>Medium</v>
      </c>
    </row>
    <row r="432" spans="1:5" x14ac:dyDescent="0.15">
      <c r="A432" s="3">
        <v>431</v>
      </c>
      <c r="B432" s="3">
        <v>36.130000000000003</v>
      </c>
      <c r="C432" s="3" t="s">
        <v>49</v>
      </c>
      <c r="D432" s="3" t="s">
        <v>50</v>
      </c>
      <c r="E432" s="10" t="str">
        <f t="shared" si="6"/>
        <v>Low</v>
      </c>
    </row>
    <row r="433" spans="1:5" x14ac:dyDescent="0.15">
      <c r="A433" s="3">
        <v>432</v>
      </c>
      <c r="B433" s="3">
        <v>47.08</v>
      </c>
      <c r="C433" s="3" t="s">
        <v>46</v>
      </c>
      <c r="D433" s="3" t="s">
        <v>54</v>
      </c>
      <c r="E433" s="10" t="str">
        <f t="shared" si="6"/>
        <v>High</v>
      </c>
    </row>
    <row r="434" spans="1:5" x14ac:dyDescent="0.15">
      <c r="A434" s="3">
        <v>433</v>
      </c>
      <c r="B434" s="3">
        <v>43.15</v>
      </c>
      <c r="C434" s="3" t="s">
        <v>46</v>
      </c>
      <c r="D434" s="3" t="s">
        <v>57</v>
      </c>
      <c r="E434" s="10" t="str">
        <f t="shared" si="6"/>
        <v>Medium</v>
      </c>
    </row>
    <row r="435" spans="1:5" x14ac:dyDescent="0.15">
      <c r="A435" s="3">
        <v>434</v>
      </c>
      <c r="B435" s="3">
        <v>32.380000000000003</v>
      </c>
      <c r="C435" s="3" t="s">
        <v>46</v>
      </c>
      <c r="D435" s="3" t="s">
        <v>50</v>
      </c>
      <c r="E435" s="10" t="str">
        <f t="shared" si="6"/>
        <v>Low</v>
      </c>
    </row>
    <row r="436" spans="1:5" x14ac:dyDescent="0.15">
      <c r="A436" s="3">
        <v>435</v>
      </c>
      <c r="B436" s="3">
        <v>45.07</v>
      </c>
      <c r="C436" s="3" t="s">
        <v>49</v>
      </c>
      <c r="D436" s="3" t="s">
        <v>50</v>
      </c>
      <c r="E436" s="10" t="str">
        <f t="shared" si="6"/>
        <v>High</v>
      </c>
    </row>
    <row r="437" spans="1:5" x14ac:dyDescent="0.15">
      <c r="A437" s="3">
        <v>436</v>
      </c>
      <c r="B437" s="3">
        <v>27.18</v>
      </c>
      <c r="C437" s="3" t="s">
        <v>46</v>
      </c>
      <c r="D437" s="3" t="s">
        <v>58</v>
      </c>
      <c r="E437" s="10" t="str">
        <f t="shared" si="6"/>
        <v>Low</v>
      </c>
    </row>
    <row r="438" spans="1:5" x14ac:dyDescent="0.15">
      <c r="A438" s="3">
        <v>437</v>
      </c>
      <c r="B438" s="3">
        <v>48.09</v>
      </c>
      <c r="C438" s="3" t="s">
        <v>46</v>
      </c>
      <c r="D438" s="3" t="s">
        <v>56</v>
      </c>
      <c r="E438" s="10" t="str">
        <f t="shared" si="6"/>
        <v>High</v>
      </c>
    </row>
    <row r="439" spans="1:5" x14ac:dyDescent="0.15">
      <c r="A439" s="3">
        <v>438</v>
      </c>
      <c r="B439" s="3">
        <v>42.6</v>
      </c>
      <c r="C439" s="3" t="s">
        <v>49</v>
      </c>
      <c r="D439" s="3" t="s">
        <v>50</v>
      </c>
      <c r="E439" s="10" t="str">
        <f t="shared" si="6"/>
        <v>Medium</v>
      </c>
    </row>
    <row r="440" spans="1:5" x14ac:dyDescent="0.15">
      <c r="A440" s="3">
        <v>439</v>
      </c>
      <c r="B440" s="3">
        <v>40.479999999999997</v>
      </c>
      <c r="C440" s="3" t="s">
        <v>49</v>
      </c>
      <c r="D440" s="3" t="s">
        <v>50</v>
      </c>
      <c r="E440" s="10" t="str">
        <f t="shared" si="6"/>
        <v>Medium</v>
      </c>
    </row>
    <row r="441" spans="1:5" x14ac:dyDescent="0.15">
      <c r="A441" s="3">
        <v>440</v>
      </c>
      <c r="B441" s="3">
        <v>42.18</v>
      </c>
      <c r="C441" s="3" t="s">
        <v>46</v>
      </c>
      <c r="D441" s="3" t="s">
        <v>50</v>
      </c>
      <c r="E441" s="10" t="str">
        <f t="shared" si="6"/>
        <v>Medium</v>
      </c>
    </row>
    <row r="442" spans="1:5" x14ac:dyDescent="0.15">
      <c r="A442" s="3">
        <v>441</v>
      </c>
      <c r="B442" s="3">
        <v>32.35</v>
      </c>
      <c r="C442" s="3"/>
      <c r="D442" s="3" t="s">
        <v>56</v>
      </c>
      <c r="E442" s="10" t="str">
        <f t="shared" si="6"/>
        <v>Low</v>
      </c>
    </row>
    <row r="443" spans="1:5" x14ac:dyDescent="0.15">
      <c r="A443" s="3">
        <v>442</v>
      </c>
      <c r="B443" s="3">
        <v>40.479999999999997</v>
      </c>
      <c r="C443" s="3" t="s">
        <v>46</v>
      </c>
      <c r="D443" s="3" t="s">
        <v>52</v>
      </c>
      <c r="E443" s="10" t="str">
        <f t="shared" si="6"/>
        <v>Medium</v>
      </c>
    </row>
    <row r="444" spans="1:5" x14ac:dyDescent="0.15">
      <c r="A444" s="3">
        <v>443</v>
      </c>
      <c r="B444" s="3">
        <v>35.159999999999997</v>
      </c>
      <c r="C444" s="3" t="s">
        <v>46</v>
      </c>
      <c r="D444" s="3" t="s">
        <v>52</v>
      </c>
      <c r="E444" s="10" t="str">
        <f t="shared" si="6"/>
        <v>Low</v>
      </c>
    </row>
    <row r="445" spans="1:5" x14ac:dyDescent="0.15">
      <c r="A445" s="3">
        <v>444</v>
      </c>
      <c r="B445" s="3">
        <v>36.17</v>
      </c>
      <c r="C445" s="3" t="s">
        <v>49</v>
      </c>
      <c r="D445" s="3" t="s">
        <v>50</v>
      </c>
      <c r="E445" s="10" t="str">
        <f t="shared" si="6"/>
        <v>Low</v>
      </c>
    </row>
    <row r="446" spans="1:5" x14ac:dyDescent="0.15">
      <c r="A446" s="3">
        <v>445</v>
      </c>
      <c r="B446" s="3">
        <v>48.5</v>
      </c>
      <c r="C446" s="3" t="s">
        <v>49</v>
      </c>
      <c r="D446" s="3" t="s">
        <v>50</v>
      </c>
      <c r="E446" s="10" t="str">
        <f t="shared" si="6"/>
        <v>High</v>
      </c>
    </row>
    <row r="447" spans="1:5" x14ac:dyDescent="0.15">
      <c r="A447" s="3">
        <v>446</v>
      </c>
      <c r="B447" s="3">
        <v>30.76</v>
      </c>
      <c r="C447" s="3"/>
      <c r="D447" s="3" t="s">
        <v>56</v>
      </c>
      <c r="E447" s="10" t="str">
        <f t="shared" si="6"/>
        <v>Low</v>
      </c>
    </row>
    <row r="448" spans="1:5" x14ac:dyDescent="0.15">
      <c r="A448" s="3">
        <v>447</v>
      </c>
      <c r="B448" s="3">
        <v>44.9</v>
      </c>
      <c r="C448" s="3" t="s">
        <v>46</v>
      </c>
      <c r="D448" s="3" t="s">
        <v>54</v>
      </c>
      <c r="E448" s="10" t="str">
        <f t="shared" si="6"/>
        <v>High</v>
      </c>
    </row>
    <row r="449" spans="1:5" x14ac:dyDescent="0.15">
      <c r="A449" s="3">
        <v>448</v>
      </c>
      <c r="B449" s="3">
        <v>36.700000000000003</v>
      </c>
      <c r="C449" s="3" t="s">
        <v>46</v>
      </c>
      <c r="D449" s="3" t="s">
        <v>52</v>
      </c>
      <c r="E449" s="10" t="str">
        <f t="shared" si="6"/>
        <v>Low</v>
      </c>
    </row>
    <row r="450" spans="1:5" x14ac:dyDescent="0.15">
      <c r="A450" s="3">
        <v>449</v>
      </c>
      <c r="B450" s="3">
        <v>31.33</v>
      </c>
      <c r="C450" s="3" t="s">
        <v>46</v>
      </c>
      <c r="D450" s="3" t="s">
        <v>54</v>
      </c>
      <c r="E450" s="10" t="str">
        <f t="shared" si="6"/>
        <v>Low</v>
      </c>
    </row>
    <row r="451" spans="1:5" x14ac:dyDescent="0.15">
      <c r="A451" s="3">
        <v>450</v>
      </c>
      <c r="B451" s="3">
        <v>43.3</v>
      </c>
      <c r="C451" s="3" t="s">
        <v>49</v>
      </c>
      <c r="D451" s="3" t="s">
        <v>50</v>
      </c>
      <c r="E451" s="10" t="str">
        <f t="shared" ref="E451:E514" si="7">IF(B451&lt;=$L$2,"Low",IF(B451&lt;=$L$3,"Medium",IF(B451&lt;=$L$4,"High")))</f>
        <v>Medium</v>
      </c>
    </row>
    <row r="452" spans="1:5" x14ac:dyDescent="0.15">
      <c r="A452" s="3">
        <v>451</v>
      </c>
      <c r="B452" s="3">
        <v>32.35</v>
      </c>
      <c r="C452" s="3" t="s">
        <v>46</v>
      </c>
      <c r="D452" s="3" t="s">
        <v>56</v>
      </c>
      <c r="E452" s="10" t="str">
        <f t="shared" si="7"/>
        <v>Low</v>
      </c>
    </row>
    <row r="453" spans="1:5" x14ac:dyDescent="0.15">
      <c r="A453" s="3">
        <v>452</v>
      </c>
      <c r="B453" s="3">
        <v>43.97</v>
      </c>
      <c r="C453" s="3" t="s">
        <v>49</v>
      </c>
      <c r="D453" s="3" t="s">
        <v>50</v>
      </c>
      <c r="E453" s="10" t="str">
        <f t="shared" si="7"/>
        <v>Medium</v>
      </c>
    </row>
    <row r="454" spans="1:5" x14ac:dyDescent="0.15">
      <c r="A454" s="3">
        <v>453</v>
      </c>
      <c r="B454" s="3">
        <v>49.59</v>
      </c>
      <c r="C454" s="3" t="s">
        <v>46</v>
      </c>
      <c r="D454" s="3" t="s">
        <v>52</v>
      </c>
      <c r="E454" s="10" t="str">
        <f t="shared" si="7"/>
        <v>High</v>
      </c>
    </row>
    <row r="455" spans="1:5" x14ac:dyDescent="0.15">
      <c r="A455" s="3">
        <v>454</v>
      </c>
      <c r="B455" s="3">
        <v>33.450000000000003</v>
      </c>
      <c r="C455" s="3" t="s">
        <v>46</v>
      </c>
      <c r="D455" s="3" t="s">
        <v>52</v>
      </c>
      <c r="E455" s="10" t="str">
        <f t="shared" si="7"/>
        <v>Low</v>
      </c>
    </row>
    <row r="456" spans="1:5" x14ac:dyDescent="0.15">
      <c r="A456" s="3">
        <v>455</v>
      </c>
      <c r="B456" s="3">
        <v>48</v>
      </c>
      <c r="C456" s="3" t="s">
        <v>46</v>
      </c>
      <c r="D456" s="3" t="s">
        <v>54</v>
      </c>
      <c r="E456" s="10" t="str">
        <f t="shared" si="7"/>
        <v>High</v>
      </c>
    </row>
    <row r="457" spans="1:5" x14ac:dyDescent="0.15">
      <c r="A457" s="3">
        <v>456</v>
      </c>
      <c r="B457" s="3">
        <v>42.92</v>
      </c>
      <c r="C457" s="3" t="s">
        <v>46</v>
      </c>
      <c r="D457" s="3" t="s">
        <v>54</v>
      </c>
      <c r="E457" s="10" t="str">
        <f t="shared" si="7"/>
        <v>Medium</v>
      </c>
    </row>
    <row r="458" spans="1:5" x14ac:dyDescent="0.15">
      <c r="A458" s="3">
        <v>457</v>
      </c>
      <c r="B458" s="3">
        <v>44.64</v>
      </c>
      <c r="C458" s="3" t="s">
        <v>49</v>
      </c>
      <c r="D458" s="3" t="s">
        <v>50</v>
      </c>
      <c r="E458" s="10" t="str">
        <f t="shared" si="7"/>
        <v>High</v>
      </c>
    </row>
    <row r="459" spans="1:5" x14ac:dyDescent="0.15">
      <c r="A459" s="3">
        <v>458</v>
      </c>
      <c r="B459" s="3">
        <v>48.32</v>
      </c>
      <c r="C459" s="3" t="s">
        <v>49</v>
      </c>
      <c r="D459" s="3" t="s">
        <v>50</v>
      </c>
      <c r="E459" s="10" t="str">
        <f t="shared" si="7"/>
        <v>High</v>
      </c>
    </row>
    <row r="460" spans="1:5" x14ac:dyDescent="0.15">
      <c r="A460" s="3">
        <v>459</v>
      </c>
      <c r="B460" s="3">
        <v>35.43</v>
      </c>
      <c r="C460" s="3" t="s">
        <v>46</v>
      </c>
      <c r="D460" s="3" t="s">
        <v>50</v>
      </c>
      <c r="E460" s="10" t="str">
        <f t="shared" si="7"/>
        <v>Low</v>
      </c>
    </row>
    <row r="461" spans="1:5" x14ac:dyDescent="0.15">
      <c r="A461" s="3">
        <v>460</v>
      </c>
      <c r="B461" s="3">
        <v>30.74</v>
      </c>
      <c r="C461" s="3" t="s">
        <v>46</v>
      </c>
      <c r="D461" s="3" t="s">
        <v>57</v>
      </c>
      <c r="E461" s="10" t="str">
        <f t="shared" si="7"/>
        <v>Low</v>
      </c>
    </row>
    <row r="462" spans="1:5" x14ac:dyDescent="0.15">
      <c r="A462" s="3">
        <v>461</v>
      </c>
      <c r="B462" s="3">
        <v>40.479999999999997</v>
      </c>
      <c r="C462" s="3" t="s">
        <v>46</v>
      </c>
      <c r="D462" s="3" t="s">
        <v>52</v>
      </c>
      <c r="E462" s="10" t="str">
        <f t="shared" si="7"/>
        <v>Medium</v>
      </c>
    </row>
    <row r="463" spans="1:5" x14ac:dyDescent="0.15">
      <c r="A463" s="3">
        <v>462</v>
      </c>
      <c r="B463" s="3">
        <v>45.76</v>
      </c>
      <c r="C463" s="3" t="s">
        <v>46</v>
      </c>
      <c r="D463" s="3" t="s">
        <v>52</v>
      </c>
      <c r="E463" s="10" t="str">
        <f t="shared" si="7"/>
        <v>High</v>
      </c>
    </row>
    <row r="464" spans="1:5" x14ac:dyDescent="0.15">
      <c r="A464" s="3">
        <v>463</v>
      </c>
      <c r="B464" s="3">
        <v>30.47</v>
      </c>
      <c r="C464" s="3" t="s">
        <v>46</v>
      </c>
      <c r="D464" s="3" t="s">
        <v>58</v>
      </c>
      <c r="E464" s="10" t="str">
        <f t="shared" si="7"/>
        <v>Low</v>
      </c>
    </row>
    <row r="465" spans="1:5" x14ac:dyDescent="0.15">
      <c r="A465" s="3">
        <v>464</v>
      </c>
      <c r="B465" s="3">
        <v>41.95</v>
      </c>
      <c r="C465" s="3" t="s">
        <v>46</v>
      </c>
      <c r="D465" s="3" t="s">
        <v>54</v>
      </c>
      <c r="E465" s="10" t="str">
        <f t="shared" si="7"/>
        <v>Medium</v>
      </c>
    </row>
    <row r="466" spans="1:5" x14ac:dyDescent="0.15">
      <c r="A466" s="3">
        <v>465</v>
      </c>
      <c r="B466" s="3">
        <v>48</v>
      </c>
      <c r="C466" s="3" t="s">
        <v>49</v>
      </c>
      <c r="D466" s="3" t="s">
        <v>54</v>
      </c>
      <c r="E466" s="10" t="str">
        <f t="shared" si="7"/>
        <v>High</v>
      </c>
    </row>
    <row r="467" spans="1:5" x14ac:dyDescent="0.15">
      <c r="A467" s="3">
        <v>466</v>
      </c>
      <c r="B467" s="3">
        <v>46.54</v>
      </c>
      <c r="C467" s="3" t="s">
        <v>46</v>
      </c>
      <c r="D467" s="3" t="s">
        <v>57</v>
      </c>
      <c r="E467" s="10" t="str">
        <f t="shared" si="7"/>
        <v>High</v>
      </c>
    </row>
    <row r="468" spans="1:5" x14ac:dyDescent="0.15">
      <c r="A468" s="3">
        <v>467</v>
      </c>
      <c r="B468" s="3">
        <v>24.28</v>
      </c>
      <c r="C468" s="3" t="s">
        <v>46</v>
      </c>
      <c r="D468" s="3" t="s">
        <v>50</v>
      </c>
      <c r="E468" s="10" t="str">
        <f t="shared" si="7"/>
        <v>Low</v>
      </c>
    </row>
    <row r="469" spans="1:5" x14ac:dyDescent="0.15">
      <c r="A469" s="3">
        <v>468</v>
      </c>
      <c r="B469" s="3">
        <v>47.95</v>
      </c>
      <c r="C469" s="3" t="s">
        <v>49</v>
      </c>
      <c r="D469" s="3" t="s">
        <v>50</v>
      </c>
      <c r="E469" s="10" t="str">
        <f t="shared" si="7"/>
        <v>High</v>
      </c>
    </row>
    <row r="470" spans="1:5" x14ac:dyDescent="0.15">
      <c r="A470" s="3">
        <v>469</v>
      </c>
      <c r="B470" s="3">
        <v>48.65</v>
      </c>
      <c r="C470" s="3" t="s">
        <v>49</v>
      </c>
      <c r="D470" s="3" t="s">
        <v>50</v>
      </c>
      <c r="E470" s="10" t="str">
        <f t="shared" si="7"/>
        <v>High</v>
      </c>
    </row>
    <row r="471" spans="1:5" x14ac:dyDescent="0.15">
      <c r="A471" s="3">
        <v>470</v>
      </c>
      <c r="B471" s="3">
        <v>24.89</v>
      </c>
      <c r="C471" s="3" t="s">
        <v>46</v>
      </c>
      <c r="D471" s="3" t="s">
        <v>52</v>
      </c>
      <c r="E471" s="10" t="str">
        <f t="shared" si="7"/>
        <v>Low</v>
      </c>
    </row>
    <row r="472" spans="1:5" x14ac:dyDescent="0.15">
      <c r="A472" s="3">
        <v>471</v>
      </c>
      <c r="B472" s="3">
        <v>49.32</v>
      </c>
      <c r="C472" s="3" t="s">
        <v>49</v>
      </c>
      <c r="D472" s="3" t="s">
        <v>52</v>
      </c>
      <c r="E472" s="10" t="str">
        <f t="shared" si="7"/>
        <v>High</v>
      </c>
    </row>
    <row r="473" spans="1:5" x14ac:dyDescent="0.15">
      <c r="A473" s="3">
        <v>472</v>
      </c>
      <c r="B473" s="3">
        <v>33.979999999999997</v>
      </c>
      <c r="C473" s="3" t="s">
        <v>46</v>
      </c>
      <c r="D473" s="3" t="s">
        <v>57</v>
      </c>
      <c r="E473" s="10" t="str">
        <f t="shared" si="7"/>
        <v>Low</v>
      </c>
    </row>
    <row r="474" spans="1:5" x14ac:dyDescent="0.15">
      <c r="A474" s="3">
        <v>473</v>
      </c>
      <c r="B474" s="3">
        <v>44.86</v>
      </c>
      <c r="C474" s="3" t="s">
        <v>49</v>
      </c>
      <c r="D474" s="3" t="s">
        <v>50</v>
      </c>
      <c r="E474" s="10" t="str">
        <f t="shared" si="7"/>
        <v>High</v>
      </c>
    </row>
    <row r="475" spans="1:5" x14ac:dyDescent="0.15">
      <c r="A475" s="3">
        <v>474</v>
      </c>
      <c r="B475" s="3">
        <v>45.47</v>
      </c>
      <c r="C475" s="3" t="s">
        <v>49</v>
      </c>
      <c r="D475" s="3" t="s">
        <v>50</v>
      </c>
      <c r="E475" s="10" t="str">
        <f t="shared" si="7"/>
        <v>High</v>
      </c>
    </row>
    <row r="476" spans="1:5" x14ac:dyDescent="0.15">
      <c r="A476" s="3">
        <v>475</v>
      </c>
      <c r="B476" s="3">
        <v>45.21</v>
      </c>
      <c r="C476" s="3" t="s">
        <v>49</v>
      </c>
      <c r="D476" s="3" t="s">
        <v>58</v>
      </c>
      <c r="E476" s="10" t="str">
        <f t="shared" si="7"/>
        <v>High</v>
      </c>
    </row>
    <row r="477" spans="1:5" x14ac:dyDescent="0.15">
      <c r="A477" s="3">
        <v>476</v>
      </c>
      <c r="B477" s="3">
        <v>39.67</v>
      </c>
      <c r="C477" s="3" t="s">
        <v>49</v>
      </c>
      <c r="D477" s="3" t="s">
        <v>56</v>
      </c>
      <c r="E477" s="10" t="str">
        <f t="shared" si="7"/>
        <v>Medium</v>
      </c>
    </row>
    <row r="478" spans="1:5" x14ac:dyDescent="0.15">
      <c r="A478" s="3">
        <v>477</v>
      </c>
      <c r="B478" s="3">
        <v>49.32</v>
      </c>
      <c r="C478" s="3" t="s">
        <v>49</v>
      </c>
      <c r="D478" s="3" t="s">
        <v>56</v>
      </c>
      <c r="E478" s="10" t="str">
        <f t="shared" si="7"/>
        <v>High</v>
      </c>
    </row>
    <row r="479" spans="1:5" x14ac:dyDescent="0.15">
      <c r="A479" s="3">
        <v>478</v>
      </c>
      <c r="B479" s="3">
        <v>44.57</v>
      </c>
      <c r="C479" s="3" t="s">
        <v>46</v>
      </c>
      <c r="D479" s="3" t="s">
        <v>56</v>
      </c>
      <c r="E479" s="10" t="str">
        <f t="shared" si="7"/>
        <v>Medium</v>
      </c>
    </row>
    <row r="480" spans="1:5" x14ac:dyDescent="0.15">
      <c r="A480" s="3">
        <v>479</v>
      </c>
      <c r="B480" s="3">
        <v>42.85</v>
      </c>
      <c r="C480" s="3"/>
      <c r="D480" s="3" t="s">
        <v>58</v>
      </c>
      <c r="E480" s="10" t="str">
        <f t="shared" si="7"/>
        <v>Medium</v>
      </c>
    </row>
    <row r="481" spans="1:5" x14ac:dyDescent="0.15">
      <c r="A481" s="3">
        <v>480</v>
      </c>
      <c r="B481" s="3">
        <v>40.92</v>
      </c>
      <c r="C481" s="3" t="s">
        <v>49</v>
      </c>
      <c r="D481" s="3" t="s">
        <v>50</v>
      </c>
      <c r="E481" s="10" t="str">
        <f t="shared" si="7"/>
        <v>Medium</v>
      </c>
    </row>
    <row r="482" spans="1:5" x14ac:dyDescent="0.15">
      <c r="A482" s="3">
        <v>481</v>
      </c>
      <c r="B482" s="3">
        <v>46.45</v>
      </c>
      <c r="C482" s="3" t="s">
        <v>49</v>
      </c>
      <c r="D482" s="3" t="s">
        <v>50</v>
      </c>
      <c r="E482" s="10" t="str">
        <f t="shared" si="7"/>
        <v>High</v>
      </c>
    </row>
    <row r="483" spans="1:5" x14ac:dyDescent="0.15">
      <c r="A483" s="3">
        <v>482</v>
      </c>
      <c r="B483" s="3">
        <v>47</v>
      </c>
      <c r="C483" s="3" t="s">
        <v>49</v>
      </c>
      <c r="D483" s="3" t="s">
        <v>50</v>
      </c>
      <c r="E483" s="10" t="str">
        <f t="shared" si="7"/>
        <v>High</v>
      </c>
    </row>
    <row r="484" spans="1:5" x14ac:dyDescent="0.15">
      <c r="A484" s="3">
        <v>483</v>
      </c>
      <c r="B484" s="3">
        <v>47.18</v>
      </c>
      <c r="C484" s="3" t="s">
        <v>46</v>
      </c>
      <c r="D484" s="3" t="s">
        <v>52</v>
      </c>
      <c r="E484" s="10" t="str">
        <f t="shared" si="7"/>
        <v>High</v>
      </c>
    </row>
    <row r="485" spans="1:5" x14ac:dyDescent="0.15">
      <c r="A485" s="3">
        <v>484</v>
      </c>
      <c r="B485" s="3">
        <v>41.26</v>
      </c>
      <c r="C485" s="3" t="s">
        <v>46</v>
      </c>
      <c r="D485" s="3" t="s">
        <v>56</v>
      </c>
      <c r="E485" s="10" t="str">
        <f t="shared" si="7"/>
        <v>Medium</v>
      </c>
    </row>
    <row r="486" spans="1:5" x14ac:dyDescent="0.15">
      <c r="A486" s="3">
        <v>485</v>
      </c>
      <c r="B486" s="3">
        <v>32.35</v>
      </c>
      <c r="C486" s="3" t="s">
        <v>46</v>
      </c>
      <c r="D486" s="3" t="s">
        <v>54</v>
      </c>
      <c r="E486" s="10" t="str">
        <f t="shared" si="7"/>
        <v>Low</v>
      </c>
    </row>
    <row r="487" spans="1:5" x14ac:dyDescent="0.15">
      <c r="A487" s="3">
        <v>486</v>
      </c>
      <c r="B487" s="3">
        <v>40.18</v>
      </c>
      <c r="C487" s="3" t="s">
        <v>46</v>
      </c>
      <c r="D487" s="3" t="s">
        <v>57</v>
      </c>
      <c r="E487" s="10" t="str">
        <f t="shared" si="7"/>
        <v>Medium</v>
      </c>
    </row>
    <row r="488" spans="1:5" x14ac:dyDescent="0.15">
      <c r="A488" s="3">
        <v>487</v>
      </c>
      <c r="B488" s="3">
        <v>27.18</v>
      </c>
      <c r="C488" s="3" t="s">
        <v>46</v>
      </c>
      <c r="D488" s="3" t="s">
        <v>58</v>
      </c>
      <c r="E488" s="10" t="str">
        <f t="shared" si="7"/>
        <v>Low</v>
      </c>
    </row>
    <row r="489" spans="1:5" x14ac:dyDescent="0.15">
      <c r="A489" s="3">
        <v>488</v>
      </c>
      <c r="B489" s="3">
        <v>40.619999999999997</v>
      </c>
      <c r="C489" s="3" t="s">
        <v>46</v>
      </c>
      <c r="D489" s="3" t="s">
        <v>56</v>
      </c>
      <c r="E489" s="10" t="str">
        <f t="shared" si="7"/>
        <v>Medium</v>
      </c>
    </row>
    <row r="490" spans="1:5" x14ac:dyDescent="0.15">
      <c r="A490" s="3">
        <v>489</v>
      </c>
      <c r="B490" s="3">
        <v>42.18</v>
      </c>
      <c r="C490" s="3" t="s">
        <v>49</v>
      </c>
      <c r="D490" s="3" t="s">
        <v>50</v>
      </c>
      <c r="E490" s="10" t="str">
        <f t="shared" si="7"/>
        <v>Medium</v>
      </c>
    </row>
    <row r="491" spans="1:5" x14ac:dyDescent="0.15">
      <c r="A491" s="3">
        <v>490</v>
      </c>
      <c r="B491" s="3">
        <v>48.26</v>
      </c>
      <c r="C491" s="3" t="s">
        <v>46</v>
      </c>
      <c r="D491" s="3" t="s">
        <v>52</v>
      </c>
      <c r="E491" s="10" t="str">
        <f t="shared" si="7"/>
        <v>High</v>
      </c>
    </row>
    <row r="492" spans="1:5" x14ac:dyDescent="0.15">
      <c r="A492" s="3">
        <v>491</v>
      </c>
      <c r="B492" s="3">
        <v>47.72</v>
      </c>
      <c r="C492" s="3" t="s">
        <v>60</v>
      </c>
      <c r="D492" s="3" t="s">
        <v>50</v>
      </c>
      <c r="E492" s="10" t="str">
        <f t="shared" si="7"/>
        <v>High</v>
      </c>
    </row>
    <row r="493" spans="1:5" x14ac:dyDescent="0.15">
      <c r="A493" s="3">
        <v>492</v>
      </c>
      <c r="B493" s="3">
        <v>45.82</v>
      </c>
      <c r="C493" s="3" t="s">
        <v>49</v>
      </c>
      <c r="D493" s="3" t="s">
        <v>50</v>
      </c>
      <c r="E493" s="10" t="str">
        <f t="shared" si="7"/>
        <v>High</v>
      </c>
    </row>
    <row r="494" spans="1:5" x14ac:dyDescent="0.15">
      <c r="A494" s="3">
        <v>493</v>
      </c>
      <c r="B494" s="3">
        <v>43.14</v>
      </c>
      <c r="C494" s="3" t="s">
        <v>46</v>
      </c>
      <c r="D494" s="3" t="s">
        <v>50</v>
      </c>
      <c r="E494" s="10" t="str">
        <f t="shared" si="7"/>
        <v>Medium</v>
      </c>
    </row>
    <row r="495" spans="1:5" x14ac:dyDescent="0.15">
      <c r="A495" s="3">
        <v>494</v>
      </c>
      <c r="B495" s="3">
        <v>35.159999999999997</v>
      </c>
      <c r="C495" s="3" t="s">
        <v>46</v>
      </c>
      <c r="D495" s="3" t="s">
        <v>52</v>
      </c>
      <c r="E495" s="10" t="str">
        <f t="shared" si="7"/>
        <v>Low</v>
      </c>
    </row>
    <row r="496" spans="1:5" x14ac:dyDescent="0.15">
      <c r="A496" s="3">
        <v>495</v>
      </c>
      <c r="B496" s="3">
        <v>44.42</v>
      </c>
      <c r="C496" s="3" t="s">
        <v>46</v>
      </c>
      <c r="D496" s="3" t="s">
        <v>58</v>
      </c>
      <c r="E496" s="10" t="str">
        <f t="shared" si="7"/>
        <v>Medium</v>
      </c>
    </row>
    <row r="497" spans="1:5" x14ac:dyDescent="0.15">
      <c r="A497" s="3">
        <v>496</v>
      </c>
      <c r="B497" s="3">
        <v>45.76</v>
      </c>
      <c r="C497" s="3" t="s">
        <v>49</v>
      </c>
      <c r="D497" s="3" t="s">
        <v>50</v>
      </c>
      <c r="E497" s="10" t="str">
        <f t="shared" si="7"/>
        <v>High</v>
      </c>
    </row>
    <row r="498" spans="1:5" x14ac:dyDescent="0.15">
      <c r="A498" s="3">
        <v>497</v>
      </c>
      <c r="B498" s="3">
        <v>41.89</v>
      </c>
      <c r="C498" s="3" t="s">
        <v>49</v>
      </c>
      <c r="D498" s="3" t="s">
        <v>58</v>
      </c>
      <c r="E498" s="10" t="str">
        <f t="shared" si="7"/>
        <v>Medium</v>
      </c>
    </row>
    <row r="499" spans="1:5" x14ac:dyDescent="0.15">
      <c r="A499" s="3">
        <v>498</v>
      </c>
      <c r="B499" s="3">
        <v>30.47</v>
      </c>
      <c r="C499" s="3" t="s">
        <v>46</v>
      </c>
      <c r="D499" s="3" t="s">
        <v>58</v>
      </c>
      <c r="E499" s="10" t="str">
        <f t="shared" si="7"/>
        <v>Low</v>
      </c>
    </row>
    <row r="500" spans="1:5" x14ac:dyDescent="0.15">
      <c r="A500" s="3">
        <v>499</v>
      </c>
      <c r="B500" s="3">
        <v>24.89</v>
      </c>
      <c r="C500" s="3" t="s">
        <v>46</v>
      </c>
      <c r="D500" s="3" t="s">
        <v>52</v>
      </c>
      <c r="E500" s="10" t="str">
        <f t="shared" si="7"/>
        <v>Low</v>
      </c>
    </row>
    <row r="501" spans="1:5" x14ac:dyDescent="0.15">
      <c r="A501" s="3">
        <v>500</v>
      </c>
      <c r="B501" s="3">
        <v>43.13</v>
      </c>
      <c r="C501" s="3"/>
      <c r="D501" s="3" t="s">
        <v>52</v>
      </c>
      <c r="E501" s="10" t="str">
        <f t="shared" si="7"/>
        <v>Medium</v>
      </c>
    </row>
    <row r="502" spans="1:5" x14ac:dyDescent="0.15">
      <c r="A502" s="3">
        <v>501</v>
      </c>
      <c r="B502" s="3">
        <v>39.06</v>
      </c>
      <c r="C502" s="3" t="s">
        <v>46</v>
      </c>
      <c r="D502" s="3" t="s">
        <v>57</v>
      </c>
      <c r="E502" s="10" t="str">
        <f t="shared" si="7"/>
        <v>Medium</v>
      </c>
    </row>
    <row r="503" spans="1:5" x14ac:dyDescent="0.15">
      <c r="A503" s="3">
        <v>502</v>
      </c>
      <c r="B503" s="3">
        <v>42.92</v>
      </c>
      <c r="C503" s="3" t="s">
        <v>46</v>
      </c>
      <c r="D503" s="3" t="s">
        <v>56</v>
      </c>
      <c r="E503" s="10" t="str">
        <f t="shared" si="7"/>
        <v>Medium</v>
      </c>
    </row>
    <row r="504" spans="1:5" x14ac:dyDescent="0.15">
      <c r="A504" s="3">
        <v>503</v>
      </c>
      <c r="B504" s="3">
        <v>42.21</v>
      </c>
      <c r="C504" s="3" t="s">
        <v>60</v>
      </c>
      <c r="D504" s="3" t="s">
        <v>56</v>
      </c>
      <c r="E504" s="10" t="str">
        <f t="shared" si="7"/>
        <v>Medium</v>
      </c>
    </row>
    <row r="505" spans="1:5" x14ac:dyDescent="0.15">
      <c r="A505" s="3">
        <v>504</v>
      </c>
      <c r="B505" s="3">
        <v>32.35</v>
      </c>
      <c r="C505" s="3" t="s">
        <v>46</v>
      </c>
      <c r="D505" s="3" t="s">
        <v>56</v>
      </c>
      <c r="E505" s="10" t="str">
        <f t="shared" si="7"/>
        <v>Low</v>
      </c>
    </row>
    <row r="506" spans="1:5" x14ac:dyDescent="0.15">
      <c r="A506" s="3">
        <v>505</v>
      </c>
      <c r="B506" s="3">
        <v>35.43</v>
      </c>
      <c r="C506" s="3" t="s">
        <v>49</v>
      </c>
      <c r="D506" s="3" t="s">
        <v>57</v>
      </c>
      <c r="E506" s="10" t="str">
        <f t="shared" si="7"/>
        <v>Low</v>
      </c>
    </row>
    <row r="507" spans="1:5" x14ac:dyDescent="0.15">
      <c r="A507" s="3">
        <v>506</v>
      </c>
      <c r="B507" s="3">
        <v>32.39</v>
      </c>
      <c r="C507" s="3" t="s">
        <v>46</v>
      </c>
      <c r="D507" s="3" t="s">
        <v>58</v>
      </c>
      <c r="E507" s="10" t="str">
        <f t="shared" si="7"/>
        <v>Low</v>
      </c>
    </row>
    <row r="508" spans="1:5" x14ac:dyDescent="0.15">
      <c r="A508" s="3">
        <v>507</v>
      </c>
      <c r="B508" s="3">
        <v>29.55</v>
      </c>
      <c r="C508" s="3" t="s">
        <v>46</v>
      </c>
      <c r="D508" s="3" t="s">
        <v>58</v>
      </c>
      <c r="E508" s="10" t="str">
        <f t="shared" si="7"/>
        <v>Low</v>
      </c>
    </row>
    <row r="509" spans="1:5" x14ac:dyDescent="0.15">
      <c r="A509" s="3">
        <v>508</v>
      </c>
      <c r="B509" s="3">
        <v>44</v>
      </c>
      <c r="C509" s="3" t="s">
        <v>49</v>
      </c>
      <c r="D509" s="3" t="s">
        <v>50</v>
      </c>
      <c r="E509" s="10" t="str">
        <f t="shared" si="7"/>
        <v>Medium</v>
      </c>
    </row>
    <row r="510" spans="1:5" x14ac:dyDescent="0.15">
      <c r="A510" s="3">
        <v>509</v>
      </c>
      <c r="B510" s="3">
        <v>40.18</v>
      </c>
      <c r="C510" s="3" t="s">
        <v>46</v>
      </c>
      <c r="D510" s="3" t="s">
        <v>57</v>
      </c>
      <c r="E510" s="10" t="str">
        <f t="shared" si="7"/>
        <v>Medium</v>
      </c>
    </row>
    <row r="511" spans="1:5" x14ac:dyDescent="0.15">
      <c r="A511" s="3">
        <v>510</v>
      </c>
      <c r="B511" s="3">
        <v>32.380000000000003</v>
      </c>
      <c r="C511" s="3" t="s">
        <v>46</v>
      </c>
      <c r="D511" s="3" t="s">
        <v>50</v>
      </c>
      <c r="E511" s="10" t="str">
        <f t="shared" si="7"/>
        <v>Low</v>
      </c>
    </row>
    <row r="512" spans="1:5" x14ac:dyDescent="0.15">
      <c r="A512" s="3">
        <v>511</v>
      </c>
      <c r="B512" s="3">
        <v>48.09</v>
      </c>
      <c r="C512" s="3" t="s">
        <v>46</v>
      </c>
      <c r="D512" s="3" t="s">
        <v>54</v>
      </c>
      <c r="E512" s="10" t="str">
        <f t="shared" si="7"/>
        <v>High</v>
      </c>
    </row>
    <row r="513" spans="1:5" x14ac:dyDescent="0.15">
      <c r="A513" s="3">
        <v>512</v>
      </c>
      <c r="B513" s="3">
        <v>41.11</v>
      </c>
      <c r="C513" s="3" t="s">
        <v>60</v>
      </c>
      <c r="D513" s="3" t="s">
        <v>56</v>
      </c>
      <c r="E513" s="10" t="str">
        <f t="shared" si="7"/>
        <v>Medium</v>
      </c>
    </row>
    <row r="514" spans="1:5" x14ac:dyDescent="0.15">
      <c r="A514" s="3">
        <v>513</v>
      </c>
      <c r="B514" s="3">
        <v>35.71</v>
      </c>
      <c r="C514" s="3" t="s">
        <v>46</v>
      </c>
      <c r="D514" s="3" t="s">
        <v>57</v>
      </c>
      <c r="E514" s="10" t="str">
        <f t="shared" si="7"/>
        <v>Low</v>
      </c>
    </row>
    <row r="515" spans="1:5" x14ac:dyDescent="0.15">
      <c r="A515" s="3">
        <v>514</v>
      </c>
      <c r="B515" s="3">
        <v>48.09</v>
      </c>
      <c r="C515" s="3" t="s">
        <v>46</v>
      </c>
      <c r="D515" s="3" t="s">
        <v>56</v>
      </c>
      <c r="E515" s="10" t="str">
        <f t="shared" ref="E515:E578" si="8">IF(B515&lt;=$L$2,"Low",IF(B515&lt;=$L$3,"Medium",IF(B515&lt;=$L$4,"High")))</f>
        <v>High</v>
      </c>
    </row>
    <row r="516" spans="1:5" x14ac:dyDescent="0.15">
      <c r="A516" s="3">
        <v>515</v>
      </c>
      <c r="B516" s="3">
        <v>30.74</v>
      </c>
      <c r="C516" s="3" t="s">
        <v>46</v>
      </c>
      <c r="D516" s="3" t="s">
        <v>57</v>
      </c>
      <c r="E516" s="10" t="str">
        <f t="shared" si="8"/>
        <v>Low</v>
      </c>
    </row>
    <row r="517" spans="1:5" x14ac:dyDescent="0.15">
      <c r="A517" s="3">
        <v>516</v>
      </c>
      <c r="B517" s="3">
        <v>42.71</v>
      </c>
      <c r="C517" s="3" t="s">
        <v>46</v>
      </c>
      <c r="D517" s="3" t="s">
        <v>57</v>
      </c>
      <c r="E517" s="10" t="str">
        <f t="shared" si="8"/>
        <v>Medium</v>
      </c>
    </row>
    <row r="518" spans="1:5" x14ac:dyDescent="0.15">
      <c r="A518" s="3">
        <v>517</v>
      </c>
      <c r="B518" s="3">
        <v>44.86</v>
      </c>
      <c r="C518" s="3" t="s">
        <v>49</v>
      </c>
      <c r="D518" s="3" t="s">
        <v>50</v>
      </c>
      <c r="E518" s="10" t="str">
        <f t="shared" si="8"/>
        <v>High</v>
      </c>
    </row>
    <row r="519" spans="1:5" x14ac:dyDescent="0.15">
      <c r="A519" s="3">
        <v>518</v>
      </c>
      <c r="B519" s="3">
        <v>48.09</v>
      </c>
      <c r="C519" s="3" t="s">
        <v>46</v>
      </c>
      <c r="D519" s="3" t="s">
        <v>54</v>
      </c>
      <c r="E519" s="10" t="str">
        <f t="shared" si="8"/>
        <v>High</v>
      </c>
    </row>
    <row r="520" spans="1:5" x14ac:dyDescent="0.15">
      <c r="A520" s="3">
        <v>519</v>
      </c>
      <c r="B520" s="3">
        <v>48.09</v>
      </c>
      <c r="C520" s="3" t="s">
        <v>46</v>
      </c>
      <c r="D520" s="3" t="s">
        <v>56</v>
      </c>
      <c r="E520" s="10" t="str">
        <f t="shared" si="8"/>
        <v>High</v>
      </c>
    </row>
    <row r="521" spans="1:5" x14ac:dyDescent="0.15">
      <c r="A521" s="3">
        <v>520</v>
      </c>
      <c r="B521" s="3">
        <v>43.51</v>
      </c>
      <c r="C521" s="3" t="s">
        <v>46</v>
      </c>
      <c r="D521" s="3" t="s">
        <v>57</v>
      </c>
      <c r="E521" s="10" t="str">
        <f t="shared" si="8"/>
        <v>Medium</v>
      </c>
    </row>
    <row r="522" spans="1:5" x14ac:dyDescent="0.15">
      <c r="A522" s="3">
        <v>521</v>
      </c>
      <c r="B522" s="3">
        <v>49.09</v>
      </c>
      <c r="C522" s="3" t="s">
        <v>49</v>
      </c>
      <c r="D522" s="3" t="s">
        <v>50</v>
      </c>
      <c r="E522" s="10" t="str">
        <f t="shared" si="8"/>
        <v>High</v>
      </c>
    </row>
    <row r="523" spans="1:5" x14ac:dyDescent="0.15">
      <c r="A523" s="3">
        <v>522</v>
      </c>
      <c r="B523" s="3">
        <v>38.770000000000003</v>
      </c>
      <c r="C523" s="3" t="s">
        <v>46</v>
      </c>
      <c r="D523" s="3" t="s">
        <v>54</v>
      </c>
      <c r="E523" s="10" t="str">
        <f t="shared" si="8"/>
        <v>Medium</v>
      </c>
    </row>
    <row r="524" spans="1:5" x14ac:dyDescent="0.15">
      <c r="A524" s="3">
        <v>523</v>
      </c>
      <c r="B524" s="3">
        <v>45</v>
      </c>
      <c r="C524" s="3" t="s">
        <v>49</v>
      </c>
      <c r="D524" s="3" t="s">
        <v>54</v>
      </c>
      <c r="E524" s="10" t="str">
        <f t="shared" si="8"/>
        <v>High</v>
      </c>
    </row>
    <row r="525" spans="1:5" x14ac:dyDescent="0.15">
      <c r="A525" s="3">
        <v>524</v>
      </c>
      <c r="B525" s="3">
        <v>46.18</v>
      </c>
      <c r="C525" s="3" t="s">
        <v>49</v>
      </c>
      <c r="D525" s="3" t="s">
        <v>50</v>
      </c>
      <c r="E525" s="10" t="str">
        <f t="shared" si="8"/>
        <v>High</v>
      </c>
    </row>
    <row r="526" spans="1:5" x14ac:dyDescent="0.15">
      <c r="A526" s="3">
        <v>525</v>
      </c>
      <c r="B526" s="3">
        <v>27.18</v>
      </c>
      <c r="C526" s="3" t="s">
        <v>46</v>
      </c>
      <c r="D526" s="3" t="s">
        <v>50</v>
      </c>
      <c r="E526" s="10" t="str">
        <f t="shared" si="8"/>
        <v>Low</v>
      </c>
    </row>
    <row r="527" spans="1:5" x14ac:dyDescent="0.15">
      <c r="A527" s="3">
        <v>526</v>
      </c>
      <c r="B527" s="3">
        <v>43.73</v>
      </c>
      <c r="C527" s="3" t="s">
        <v>46</v>
      </c>
      <c r="D527" s="3" t="s">
        <v>58</v>
      </c>
      <c r="E527" s="10" t="str">
        <f t="shared" si="8"/>
        <v>Medium</v>
      </c>
    </row>
    <row r="528" spans="1:5" x14ac:dyDescent="0.15">
      <c r="A528" s="3">
        <v>527</v>
      </c>
      <c r="B528" s="3">
        <v>40.18</v>
      </c>
      <c r="C528" s="3" t="s">
        <v>46</v>
      </c>
      <c r="D528" s="3" t="s">
        <v>57</v>
      </c>
      <c r="E528" s="10" t="str">
        <f t="shared" si="8"/>
        <v>Medium</v>
      </c>
    </row>
    <row r="529" spans="1:5" x14ac:dyDescent="0.15">
      <c r="A529" s="3">
        <v>528</v>
      </c>
      <c r="B529" s="3">
        <v>36.130000000000003</v>
      </c>
      <c r="C529" s="3" t="s">
        <v>60</v>
      </c>
      <c r="D529" s="3" t="s">
        <v>56</v>
      </c>
      <c r="E529" s="10" t="str">
        <f t="shared" si="8"/>
        <v>Low</v>
      </c>
    </row>
    <row r="530" spans="1:5" x14ac:dyDescent="0.15">
      <c r="A530" s="3">
        <v>529</v>
      </c>
      <c r="B530" s="3">
        <v>40.18</v>
      </c>
      <c r="C530" s="3" t="s">
        <v>46</v>
      </c>
      <c r="D530" s="3" t="s">
        <v>57</v>
      </c>
      <c r="E530" s="10" t="str">
        <f t="shared" si="8"/>
        <v>Medium</v>
      </c>
    </row>
    <row r="531" spans="1:5" x14ac:dyDescent="0.15">
      <c r="A531" s="3">
        <v>530</v>
      </c>
      <c r="B531" s="3">
        <v>47.91</v>
      </c>
      <c r="C531" s="3" t="s">
        <v>49</v>
      </c>
      <c r="D531" s="3" t="s">
        <v>54</v>
      </c>
      <c r="E531" s="10" t="str">
        <f t="shared" si="8"/>
        <v>High</v>
      </c>
    </row>
    <row r="532" spans="1:5" x14ac:dyDescent="0.15">
      <c r="A532" s="3">
        <v>531</v>
      </c>
      <c r="B532" s="3">
        <v>43.13</v>
      </c>
      <c r="C532" s="3"/>
      <c r="D532" s="3" t="s">
        <v>50</v>
      </c>
      <c r="E532" s="10" t="str">
        <f t="shared" si="8"/>
        <v>Medium</v>
      </c>
    </row>
    <row r="533" spans="1:5" x14ac:dyDescent="0.15">
      <c r="A533" s="3">
        <v>532</v>
      </c>
      <c r="B533" s="3">
        <v>46.6</v>
      </c>
      <c r="C533" s="3" t="s">
        <v>49</v>
      </c>
      <c r="D533" s="3" t="s">
        <v>50</v>
      </c>
      <c r="E533" s="10" t="str">
        <f t="shared" si="8"/>
        <v>High</v>
      </c>
    </row>
    <row r="534" spans="1:5" x14ac:dyDescent="0.15">
      <c r="A534" s="3">
        <v>533</v>
      </c>
      <c r="B534" s="3">
        <v>40.479999999999997</v>
      </c>
      <c r="C534" s="3" t="s">
        <v>46</v>
      </c>
      <c r="D534" s="3" t="s">
        <v>52</v>
      </c>
      <c r="E534" s="10" t="str">
        <f t="shared" si="8"/>
        <v>Medium</v>
      </c>
    </row>
    <row r="535" spans="1:5" x14ac:dyDescent="0.15">
      <c r="A535" s="3">
        <v>534</v>
      </c>
      <c r="B535" s="3">
        <v>48.89</v>
      </c>
      <c r="C535" s="3" t="s">
        <v>49</v>
      </c>
      <c r="D535" s="3" t="s">
        <v>50</v>
      </c>
      <c r="E535" s="10" t="str">
        <f t="shared" si="8"/>
        <v>High</v>
      </c>
    </row>
    <row r="536" spans="1:5" x14ac:dyDescent="0.15">
      <c r="A536" s="3">
        <v>535</v>
      </c>
      <c r="B536" s="3">
        <v>33.659999999999997</v>
      </c>
      <c r="C536" s="3" t="s">
        <v>49</v>
      </c>
      <c r="D536" s="3" t="s">
        <v>57</v>
      </c>
      <c r="E536" s="10" t="str">
        <f t="shared" si="8"/>
        <v>Low</v>
      </c>
    </row>
    <row r="537" spans="1:5" x14ac:dyDescent="0.15">
      <c r="A537" s="3">
        <v>536</v>
      </c>
      <c r="B537" s="3">
        <v>41.06</v>
      </c>
      <c r="C537" s="3" t="s">
        <v>49</v>
      </c>
      <c r="D537" s="3" t="s">
        <v>56</v>
      </c>
      <c r="E537" s="10" t="str">
        <f t="shared" si="8"/>
        <v>Medium</v>
      </c>
    </row>
    <row r="538" spans="1:5" x14ac:dyDescent="0.15">
      <c r="A538" s="3">
        <v>537</v>
      </c>
      <c r="B538" s="3">
        <v>43.52</v>
      </c>
      <c r="C538" s="3" t="s">
        <v>49</v>
      </c>
      <c r="D538" s="3" t="s">
        <v>50</v>
      </c>
      <c r="E538" s="10" t="str">
        <f t="shared" si="8"/>
        <v>Medium</v>
      </c>
    </row>
    <row r="539" spans="1:5" x14ac:dyDescent="0.15">
      <c r="A539" s="3">
        <v>538</v>
      </c>
      <c r="B539" s="3">
        <v>34.96</v>
      </c>
      <c r="C539" s="3" t="s">
        <v>46</v>
      </c>
      <c r="D539" s="3" t="s">
        <v>54</v>
      </c>
      <c r="E539" s="10" t="str">
        <f t="shared" si="8"/>
        <v>Low</v>
      </c>
    </row>
    <row r="540" spans="1:5" x14ac:dyDescent="0.15">
      <c r="A540" s="3">
        <v>539</v>
      </c>
      <c r="B540" s="3">
        <v>48.53</v>
      </c>
      <c r="C540" s="3" t="s">
        <v>46</v>
      </c>
      <c r="D540" s="3" t="s">
        <v>50</v>
      </c>
      <c r="E540" s="10" t="str">
        <f t="shared" si="8"/>
        <v>High</v>
      </c>
    </row>
    <row r="541" spans="1:5" x14ac:dyDescent="0.15">
      <c r="A541" s="3">
        <v>540</v>
      </c>
      <c r="B541" s="3">
        <v>47.13</v>
      </c>
      <c r="C541" s="3" t="s">
        <v>60</v>
      </c>
      <c r="D541" s="3" t="s">
        <v>56</v>
      </c>
      <c r="E541" s="10" t="str">
        <f t="shared" si="8"/>
        <v>High</v>
      </c>
    </row>
    <row r="542" spans="1:5" x14ac:dyDescent="0.15">
      <c r="A542" s="3">
        <v>541</v>
      </c>
      <c r="B542" s="3">
        <v>44.16</v>
      </c>
      <c r="C542" s="3" t="s">
        <v>46</v>
      </c>
      <c r="D542" s="3" t="s">
        <v>50</v>
      </c>
      <c r="E542" s="10" t="str">
        <f t="shared" si="8"/>
        <v>Medium</v>
      </c>
    </row>
    <row r="543" spans="1:5" x14ac:dyDescent="0.15">
      <c r="A543" s="3">
        <v>542</v>
      </c>
      <c r="B543" s="3">
        <v>41.18</v>
      </c>
      <c r="C543" s="3" t="s">
        <v>46</v>
      </c>
      <c r="D543" s="3" t="s">
        <v>54</v>
      </c>
      <c r="E543" s="10" t="str">
        <f t="shared" si="8"/>
        <v>Medium</v>
      </c>
    </row>
    <row r="544" spans="1:5" x14ac:dyDescent="0.15">
      <c r="A544" s="3">
        <v>543</v>
      </c>
      <c r="B544" s="3">
        <v>42.85</v>
      </c>
      <c r="C544" s="3" t="s">
        <v>49</v>
      </c>
      <c r="D544" s="3" t="s">
        <v>57</v>
      </c>
      <c r="E544" s="10" t="str">
        <f t="shared" si="8"/>
        <v>Medium</v>
      </c>
    </row>
    <row r="545" spans="1:5" x14ac:dyDescent="0.15">
      <c r="A545" s="3">
        <v>544</v>
      </c>
      <c r="B545" s="3">
        <v>49.7</v>
      </c>
      <c r="C545" s="3" t="s">
        <v>49</v>
      </c>
      <c r="D545" s="3" t="s">
        <v>50</v>
      </c>
      <c r="E545" s="10" t="str">
        <f t="shared" si="8"/>
        <v>High</v>
      </c>
    </row>
    <row r="546" spans="1:5" x14ac:dyDescent="0.15">
      <c r="A546" s="3">
        <v>545</v>
      </c>
      <c r="B546" s="3">
        <v>45.67</v>
      </c>
      <c r="C546" s="3" t="s">
        <v>49</v>
      </c>
      <c r="D546" s="3" t="s">
        <v>50</v>
      </c>
      <c r="E546" s="10" t="str">
        <f t="shared" si="8"/>
        <v>High</v>
      </c>
    </row>
    <row r="547" spans="1:5" x14ac:dyDescent="0.15">
      <c r="A547" s="3">
        <v>546</v>
      </c>
      <c r="B547" s="3">
        <v>44.27</v>
      </c>
      <c r="C547" s="3" t="s">
        <v>49</v>
      </c>
      <c r="D547" s="3" t="s">
        <v>50</v>
      </c>
      <c r="E547" s="10" t="str">
        <f t="shared" si="8"/>
        <v>Medium</v>
      </c>
    </row>
    <row r="548" spans="1:5" x14ac:dyDescent="0.15">
      <c r="A548" s="3">
        <v>547</v>
      </c>
      <c r="B548" s="3">
        <v>24.28</v>
      </c>
      <c r="C548" s="3" t="s">
        <v>46</v>
      </c>
      <c r="D548" s="3" t="s">
        <v>52</v>
      </c>
      <c r="E548" s="10" t="str">
        <f t="shared" si="8"/>
        <v>Low</v>
      </c>
    </row>
    <row r="549" spans="1:5" x14ac:dyDescent="0.15">
      <c r="A549" s="3">
        <v>548</v>
      </c>
      <c r="B549" s="3">
        <v>42.92</v>
      </c>
      <c r="C549" s="3" t="s">
        <v>49</v>
      </c>
      <c r="D549" s="3" t="s">
        <v>56</v>
      </c>
      <c r="E549" s="10" t="str">
        <f t="shared" si="8"/>
        <v>Medium</v>
      </c>
    </row>
    <row r="550" spans="1:5" x14ac:dyDescent="0.15">
      <c r="A550" s="3">
        <v>549</v>
      </c>
      <c r="B550" s="3">
        <v>43</v>
      </c>
      <c r="C550" s="3" t="s">
        <v>49</v>
      </c>
      <c r="D550" s="3" t="s">
        <v>52</v>
      </c>
      <c r="E550" s="10" t="str">
        <f t="shared" si="8"/>
        <v>Medium</v>
      </c>
    </row>
    <row r="551" spans="1:5" x14ac:dyDescent="0.15">
      <c r="A551" s="3">
        <v>550</v>
      </c>
      <c r="B551" s="3">
        <v>42.68</v>
      </c>
      <c r="C551" s="3" t="s">
        <v>49</v>
      </c>
      <c r="D551" s="3" t="s">
        <v>58</v>
      </c>
      <c r="E551" s="10" t="str">
        <f t="shared" si="8"/>
        <v>Medium</v>
      </c>
    </row>
    <row r="552" spans="1:5" x14ac:dyDescent="0.15">
      <c r="A552" s="3">
        <v>551</v>
      </c>
      <c r="B552" s="3">
        <v>40.479999999999997</v>
      </c>
      <c r="C552" s="3" t="s">
        <v>60</v>
      </c>
      <c r="D552" s="3" t="s">
        <v>56</v>
      </c>
      <c r="E552" s="10" t="str">
        <f t="shared" si="8"/>
        <v>Medium</v>
      </c>
    </row>
    <row r="553" spans="1:5" x14ac:dyDescent="0.15">
      <c r="A553" s="3">
        <v>552</v>
      </c>
      <c r="B553" s="3">
        <v>35.78</v>
      </c>
      <c r="C553" s="3" t="s">
        <v>46</v>
      </c>
      <c r="D553" s="3" t="s">
        <v>52</v>
      </c>
      <c r="E553" s="10" t="str">
        <f t="shared" si="8"/>
        <v>Low</v>
      </c>
    </row>
    <row r="554" spans="1:5" x14ac:dyDescent="0.15">
      <c r="A554" s="3">
        <v>553</v>
      </c>
      <c r="B554" s="3">
        <v>39.67</v>
      </c>
      <c r="C554" s="3" t="s">
        <v>49</v>
      </c>
      <c r="D554" s="3" t="s">
        <v>56</v>
      </c>
      <c r="E554" s="10" t="str">
        <f t="shared" si="8"/>
        <v>Medium</v>
      </c>
    </row>
    <row r="555" spans="1:5" x14ac:dyDescent="0.15">
      <c r="A555" s="3">
        <v>554</v>
      </c>
      <c r="B555" s="3">
        <v>33.9</v>
      </c>
      <c r="C555" s="3" t="s">
        <v>49</v>
      </c>
      <c r="D555" s="3" t="s">
        <v>50</v>
      </c>
      <c r="E555" s="10" t="str">
        <f t="shared" si="8"/>
        <v>Low</v>
      </c>
    </row>
    <row r="556" spans="1:5" x14ac:dyDescent="0.15">
      <c r="A556" s="3">
        <v>555</v>
      </c>
      <c r="B556" s="3">
        <v>44.9</v>
      </c>
      <c r="C556" s="3" t="s">
        <v>46</v>
      </c>
      <c r="D556" s="3"/>
      <c r="E556" s="10" t="str">
        <f t="shared" si="8"/>
        <v>High</v>
      </c>
    </row>
    <row r="557" spans="1:5" x14ac:dyDescent="0.15">
      <c r="A557" s="3">
        <v>556</v>
      </c>
      <c r="B557" s="3">
        <v>48.53</v>
      </c>
      <c r="C557" s="3" t="s">
        <v>46</v>
      </c>
      <c r="D557" s="3" t="s">
        <v>50</v>
      </c>
      <c r="E557" s="10" t="str">
        <f t="shared" si="8"/>
        <v>High</v>
      </c>
    </row>
    <row r="558" spans="1:5" x14ac:dyDescent="0.15">
      <c r="A558" s="3">
        <v>557</v>
      </c>
      <c r="B558" s="3">
        <v>35.71</v>
      </c>
      <c r="C558" s="3" t="s">
        <v>46</v>
      </c>
      <c r="D558" s="3" t="s">
        <v>57</v>
      </c>
      <c r="E558" s="10" t="str">
        <f t="shared" si="8"/>
        <v>Low</v>
      </c>
    </row>
    <row r="559" spans="1:5" x14ac:dyDescent="0.15">
      <c r="A559" s="3">
        <v>558</v>
      </c>
      <c r="B559" s="3">
        <v>49</v>
      </c>
      <c r="C559" s="3" t="s">
        <v>49</v>
      </c>
      <c r="D559" s="3" t="s">
        <v>50</v>
      </c>
      <c r="E559" s="10" t="str">
        <f t="shared" si="8"/>
        <v>High</v>
      </c>
    </row>
    <row r="560" spans="1:5" x14ac:dyDescent="0.15">
      <c r="A560" s="3">
        <v>559</v>
      </c>
      <c r="B560" s="3">
        <v>24.42</v>
      </c>
      <c r="C560" s="3" t="s">
        <v>46</v>
      </c>
      <c r="D560" s="3" t="s">
        <v>50</v>
      </c>
      <c r="E560" s="10" t="str">
        <f t="shared" si="8"/>
        <v>Low</v>
      </c>
    </row>
    <row r="561" spans="1:5" x14ac:dyDescent="0.15">
      <c r="A561" s="3">
        <v>560</v>
      </c>
      <c r="B561" s="3">
        <v>40.479999999999997</v>
      </c>
      <c r="C561" s="3" t="s">
        <v>60</v>
      </c>
      <c r="D561" s="3" t="s">
        <v>56</v>
      </c>
      <c r="E561" s="10" t="str">
        <f t="shared" si="8"/>
        <v>Medium</v>
      </c>
    </row>
    <row r="562" spans="1:5" x14ac:dyDescent="0.15">
      <c r="A562" s="3">
        <v>561</v>
      </c>
      <c r="B562" s="3">
        <v>34.28</v>
      </c>
      <c r="C562" s="3" t="s">
        <v>46</v>
      </c>
      <c r="D562" s="3" t="s">
        <v>52</v>
      </c>
      <c r="E562" s="10" t="str">
        <f t="shared" si="8"/>
        <v>Low</v>
      </c>
    </row>
    <row r="563" spans="1:5" x14ac:dyDescent="0.15">
      <c r="A563" s="3">
        <v>562</v>
      </c>
      <c r="B563" s="3">
        <v>28.44</v>
      </c>
      <c r="C563" s="3" t="s">
        <v>46</v>
      </c>
      <c r="D563" s="3" t="s">
        <v>54</v>
      </c>
      <c r="E563" s="10" t="str">
        <f t="shared" si="8"/>
        <v>Low</v>
      </c>
    </row>
    <row r="564" spans="1:5" x14ac:dyDescent="0.15">
      <c r="A564" s="3">
        <v>563</v>
      </c>
      <c r="B564" s="3">
        <v>30.74</v>
      </c>
      <c r="C564" s="3" t="s">
        <v>46</v>
      </c>
      <c r="D564" s="3" t="s">
        <v>57</v>
      </c>
      <c r="E564" s="10" t="str">
        <f t="shared" si="8"/>
        <v>Low</v>
      </c>
    </row>
    <row r="565" spans="1:5" x14ac:dyDescent="0.15">
      <c r="A565" s="3">
        <v>564</v>
      </c>
      <c r="B565" s="3">
        <v>48.4</v>
      </c>
      <c r="C565" s="3" t="s">
        <v>49</v>
      </c>
      <c r="D565" s="3" t="s">
        <v>50</v>
      </c>
      <c r="E565" s="10" t="str">
        <f t="shared" si="8"/>
        <v>High</v>
      </c>
    </row>
    <row r="566" spans="1:5" x14ac:dyDescent="0.15">
      <c r="A566" s="3">
        <v>565</v>
      </c>
      <c r="B566" s="3">
        <v>38.979999999999997</v>
      </c>
      <c r="C566" s="3"/>
      <c r="D566" s="3" t="s">
        <v>56</v>
      </c>
      <c r="E566" s="10" t="str">
        <f t="shared" si="8"/>
        <v>Medium</v>
      </c>
    </row>
    <row r="567" spans="1:5" x14ac:dyDescent="0.15">
      <c r="A567" s="3">
        <v>566</v>
      </c>
      <c r="B567" s="3">
        <v>26.9</v>
      </c>
      <c r="C567" s="3" t="s">
        <v>46</v>
      </c>
      <c r="D567" s="3" t="s">
        <v>52</v>
      </c>
      <c r="E567" s="10" t="str">
        <f t="shared" si="8"/>
        <v>Low</v>
      </c>
    </row>
    <row r="568" spans="1:5" x14ac:dyDescent="0.15">
      <c r="A568" s="3">
        <v>567</v>
      </c>
      <c r="B568" s="3">
        <v>28.74</v>
      </c>
      <c r="C568" s="3" t="s">
        <v>49</v>
      </c>
      <c r="D568" s="3" t="s">
        <v>56</v>
      </c>
      <c r="E568" s="10" t="str">
        <f t="shared" si="8"/>
        <v>Low</v>
      </c>
    </row>
    <row r="569" spans="1:5" x14ac:dyDescent="0.15">
      <c r="A569" s="3">
        <v>568</v>
      </c>
      <c r="B569" s="3">
        <v>41.26</v>
      </c>
      <c r="C569" s="3" t="s">
        <v>49</v>
      </c>
      <c r="D569" s="3" t="s">
        <v>50</v>
      </c>
      <c r="E569" s="10" t="str">
        <f t="shared" si="8"/>
        <v>Medium</v>
      </c>
    </row>
    <row r="570" spans="1:5" x14ac:dyDescent="0.15">
      <c r="A570" s="3">
        <v>569</v>
      </c>
      <c r="B570" s="3">
        <v>40.18</v>
      </c>
      <c r="C570" s="3" t="s">
        <v>46</v>
      </c>
      <c r="D570" s="3" t="s">
        <v>57</v>
      </c>
      <c r="E570" s="10" t="str">
        <f t="shared" si="8"/>
        <v>Medium</v>
      </c>
    </row>
    <row r="571" spans="1:5" x14ac:dyDescent="0.15">
      <c r="A571" s="3">
        <v>570</v>
      </c>
      <c r="B571" s="3">
        <v>44.42</v>
      </c>
      <c r="C571" s="3" t="s">
        <v>49</v>
      </c>
      <c r="D571" s="3" t="s">
        <v>58</v>
      </c>
      <c r="E571" s="10" t="str">
        <f t="shared" si="8"/>
        <v>Medium</v>
      </c>
    </row>
    <row r="572" spans="1:5" x14ac:dyDescent="0.15">
      <c r="A572" s="3">
        <v>571</v>
      </c>
      <c r="B572" s="3">
        <v>35.43</v>
      </c>
      <c r="C572" s="3" t="s">
        <v>60</v>
      </c>
      <c r="D572" s="3" t="s">
        <v>58</v>
      </c>
      <c r="E572" s="10" t="str">
        <f t="shared" si="8"/>
        <v>Low</v>
      </c>
    </row>
    <row r="573" spans="1:5" x14ac:dyDescent="0.15">
      <c r="A573" s="3">
        <v>572</v>
      </c>
      <c r="B573" s="3">
        <v>32.81</v>
      </c>
      <c r="C573" s="3" t="s">
        <v>46</v>
      </c>
      <c r="D573" s="3" t="s">
        <v>58</v>
      </c>
      <c r="E573" s="10" t="str">
        <f t="shared" si="8"/>
        <v>Low</v>
      </c>
    </row>
    <row r="574" spans="1:5" x14ac:dyDescent="0.15">
      <c r="A574" s="3">
        <v>573</v>
      </c>
      <c r="B574" s="3">
        <v>48.53</v>
      </c>
      <c r="C574" s="3" t="s">
        <v>46</v>
      </c>
      <c r="D574" s="3" t="s">
        <v>50</v>
      </c>
      <c r="E574" s="10" t="str">
        <f t="shared" si="8"/>
        <v>High</v>
      </c>
    </row>
    <row r="575" spans="1:5" x14ac:dyDescent="0.15">
      <c r="A575" s="3">
        <v>574</v>
      </c>
      <c r="B575" s="3">
        <v>32.1</v>
      </c>
      <c r="C575" s="3" t="s">
        <v>49</v>
      </c>
      <c r="D575" s="3" t="s">
        <v>56</v>
      </c>
      <c r="E575" s="10" t="str">
        <f t="shared" si="8"/>
        <v>Low</v>
      </c>
    </row>
    <row r="576" spans="1:5" x14ac:dyDescent="0.15">
      <c r="A576" s="3">
        <v>575</v>
      </c>
      <c r="B576" s="3">
        <v>45.45</v>
      </c>
      <c r="C576" s="3" t="s">
        <v>46</v>
      </c>
      <c r="D576" s="3" t="s">
        <v>52</v>
      </c>
      <c r="E576" s="10" t="str">
        <f t="shared" si="8"/>
        <v>High</v>
      </c>
    </row>
    <row r="577" spans="1:5" x14ac:dyDescent="0.15">
      <c r="A577" s="3">
        <v>576</v>
      </c>
      <c r="B577" s="3">
        <v>36.130000000000003</v>
      </c>
      <c r="C577" s="3" t="s">
        <v>46</v>
      </c>
      <c r="D577" s="3" t="s">
        <v>52</v>
      </c>
      <c r="E577" s="10" t="str">
        <f t="shared" si="8"/>
        <v>Low</v>
      </c>
    </row>
    <row r="578" spans="1:5" x14ac:dyDescent="0.15">
      <c r="A578" s="3">
        <v>577</v>
      </c>
      <c r="B578" s="3">
        <v>27.9</v>
      </c>
      <c r="C578" s="3" t="s">
        <v>49</v>
      </c>
      <c r="D578" s="3"/>
      <c r="E578" s="10" t="str">
        <f t="shared" si="8"/>
        <v>Low</v>
      </c>
    </row>
    <row r="579" spans="1:5" x14ac:dyDescent="0.15">
      <c r="A579" s="3">
        <v>578</v>
      </c>
      <c r="B579" s="3">
        <v>31.33</v>
      </c>
      <c r="C579" s="3" t="s">
        <v>46</v>
      </c>
      <c r="D579" s="3" t="s">
        <v>54</v>
      </c>
      <c r="E579" s="10" t="str">
        <f t="shared" ref="E579:E605" si="9">IF(B579&lt;=$L$2,"Low",IF(B579&lt;=$L$3,"Medium",IF(B579&lt;=$L$4,"High")))</f>
        <v>Low</v>
      </c>
    </row>
    <row r="580" spans="1:5" x14ac:dyDescent="0.15">
      <c r="A580" s="3">
        <v>579</v>
      </c>
      <c r="B580" s="3">
        <v>35.71</v>
      </c>
      <c r="C580" s="3" t="s">
        <v>46</v>
      </c>
      <c r="D580" s="3" t="s">
        <v>57</v>
      </c>
      <c r="E580" s="10" t="str">
        <f t="shared" si="9"/>
        <v>Low</v>
      </c>
    </row>
    <row r="581" spans="1:5" x14ac:dyDescent="0.15">
      <c r="A581" s="3">
        <v>580</v>
      </c>
      <c r="B581" s="3">
        <v>24.28</v>
      </c>
      <c r="C581" s="3" t="s">
        <v>46</v>
      </c>
      <c r="D581" s="3" t="s">
        <v>56</v>
      </c>
      <c r="E581" s="10" t="str">
        <f t="shared" si="9"/>
        <v>Low</v>
      </c>
    </row>
    <row r="582" spans="1:5" x14ac:dyDescent="0.15">
      <c r="A582" s="3">
        <v>581</v>
      </c>
      <c r="B582" s="3">
        <v>32.35</v>
      </c>
      <c r="C582" s="3" t="s">
        <v>46</v>
      </c>
      <c r="D582" s="3" t="s">
        <v>56</v>
      </c>
      <c r="E582" s="10" t="str">
        <f t="shared" si="9"/>
        <v>Low</v>
      </c>
    </row>
    <row r="583" spans="1:5" x14ac:dyDescent="0.15">
      <c r="A583" s="3">
        <v>582</v>
      </c>
      <c r="B583" s="3">
        <v>30.74</v>
      </c>
      <c r="C583" s="3" t="s">
        <v>46</v>
      </c>
      <c r="D583" s="3" t="s">
        <v>57</v>
      </c>
      <c r="E583" s="10" t="str">
        <f t="shared" si="9"/>
        <v>Low</v>
      </c>
    </row>
    <row r="584" spans="1:5" x14ac:dyDescent="0.15">
      <c r="A584" s="3">
        <v>583</v>
      </c>
      <c r="B584" s="3">
        <v>40.97</v>
      </c>
      <c r="C584" s="3" t="s">
        <v>46</v>
      </c>
      <c r="D584" s="3" t="s">
        <v>50</v>
      </c>
      <c r="E584" s="10" t="str">
        <f t="shared" si="9"/>
        <v>Medium</v>
      </c>
    </row>
    <row r="585" spans="1:5" x14ac:dyDescent="0.15">
      <c r="A585" s="3">
        <v>584</v>
      </c>
      <c r="B585" s="3">
        <v>25.17</v>
      </c>
      <c r="C585" s="3" t="s">
        <v>46</v>
      </c>
      <c r="D585" s="3" t="s">
        <v>50</v>
      </c>
      <c r="E585" s="10" t="str">
        <f t="shared" si="9"/>
        <v>Low</v>
      </c>
    </row>
    <row r="586" spans="1:5" x14ac:dyDescent="0.15">
      <c r="A586" s="3">
        <v>585</v>
      </c>
      <c r="B586" s="3">
        <v>41</v>
      </c>
      <c r="C586" s="3" t="s">
        <v>49</v>
      </c>
      <c r="D586" s="3" t="s">
        <v>50</v>
      </c>
      <c r="E586" s="10" t="str">
        <f t="shared" si="9"/>
        <v>Medium</v>
      </c>
    </row>
    <row r="587" spans="1:5" x14ac:dyDescent="0.15">
      <c r="A587" s="3">
        <v>586</v>
      </c>
      <c r="B587" s="3">
        <v>28.44</v>
      </c>
      <c r="C587" s="3" t="s">
        <v>46</v>
      </c>
      <c r="D587" s="3" t="s">
        <v>54</v>
      </c>
      <c r="E587" s="10" t="str">
        <f t="shared" si="9"/>
        <v>Low</v>
      </c>
    </row>
    <row r="588" spans="1:5" x14ac:dyDescent="0.15">
      <c r="A588" s="3">
        <v>587</v>
      </c>
      <c r="B588" s="3">
        <v>46.35</v>
      </c>
      <c r="C588" s="3" t="s">
        <v>46</v>
      </c>
      <c r="D588" s="3" t="s">
        <v>56</v>
      </c>
      <c r="E588" s="10" t="str">
        <f t="shared" si="9"/>
        <v>High</v>
      </c>
    </row>
    <row r="589" spans="1:5" x14ac:dyDescent="0.15">
      <c r="A589" s="3">
        <v>588</v>
      </c>
      <c r="B589" s="3">
        <v>35.43</v>
      </c>
      <c r="C589" s="3" t="s">
        <v>46</v>
      </c>
      <c r="D589" s="3" t="s">
        <v>54</v>
      </c>
      <c r="E589" s="10" t="str">
        <f t="shared" si="9"/>
        <v>Low</v>
      </c>
    </row>
    <row r="590" spans="1:5" x14ac:dyDescent="0.15">
      <c r="A590" s="3">
        <v>589</v>
      </c>
      <c r="B590" s="3">
        <v>32.35</v>
      </c>
      <c r="C590" s="3" t="s">
        <v>46</v>
      </c>
      <c r="D590" s="3" t="s">
        <v>56</v>
      </c>
      <c r="E590" s="10" t="str">
        <f t="shared" si="9"/>
        <v>Low</v>
      </c>
    </row>
    <row r="591" spans="1:5" x14ac:dyDescent="0.15">
      <c r="A591" s="3">
        <v>590</v>
      </c>
      <c r="B591" s="3">
        <v>33.5</v>
      </c>
      <c r="C591" s="3" t="s">
        <v>49</v>
      </c>
      <c r="D591" s="3" t="s">
        <v>50</v>
      </c>
      <c r="E591" s="10" t="str">
        <f t="shared" si="9"/>
        <v>Low</v>
      </c>
    </row>
    <row r="592" spans="1:5" x14ac:dyDescent="0.15">
      <c r="A592" s="3">
        <v>591</v>
      </c>
      <c r="B592" s="3">
        <v>40.479999999999997</v>
      </c>
      <c r="C592" s="3" t="s">
        <v>46</v>
      </c>
      <c r="D592" s="3" t="s">
        <v>57</v>
      </c>
      <c r="E592" s="10" t="str">
        <f t="shared" si="9"/>
        <v>Medium</v>
      </c>
    </row>
    <row r="593" spans="1:5" x14ac:dyDescent="0.15">
      <c r="A593" s="3">
        <v>592</v>
      </c>
      <c r="B593" s="3">
        <v>29.56</v>
      </c>
      <c r="C593" s="3" t="s">
        <v>46</v>
      </c>
      <c r="D593" s="3" t="s">
        <v>58</v>
      </c>
      <c r="E593" s="10" t="str">
        <f t="shared" si="9"/>
        <v>Low</v>
      </c>
    </row>
    <row r="594" spans="1:5" x14ac:dyDescent="0.15">
      <c r="A594" s="3">
        <v>593</v>
      </c>
      <c r="B594" s="3">
        <v>48.98</v>
      </c>
      <c r="C594" s="3" t="s">
        <v>49</v>
      </c>
      <c r="D594" s="3"/>
      <c r="E594" s="10" t="str">
        <f t="shared" si="9"/>
        <v>High</v>
      </c>
    </row>
    <row r="595" spans="1:5" x14ac:dyDescent="0.15">
      <c r="A595" s="3">
        <v>594</v>
      </c>
      <c r="B595" s="3">
        <v>45.48</v>
      </c>
      <c r="C595" s="3" t="s">
        <v>46</v>
      </c>
      <c r="D595" s="3" t="s">
        <v>50</v>
      </c>
      <c r="E595" s="10" t="str">
        <f t="shared" si="9"/>
        <v>High</v>
      </c>
    </row>
    <row r="596" spans="1:5" x14ac:dyDescent="0.15">
      <c r="A596" s="3">
        <v>595</v>
      </c>
      <c r="B596" s="3">
        <v>29.56</v>
      </c>
      <c r="C596" s="3" t="s">
        <v>46</v>
      </c>
      <c r="D596" s="3" t="s">
        <v>58</v>
      </c>
      <c r="E596" s="10" t="str">
        <f t="shared" si="9"/>
        <v>Low</v>
      </c>
    </row>
    <row r="597" spans="1:5" x14ac:dyDescent="0.15">
      <c r="A597" s="3">
        <v>596</v>
      </c>
      <c r="B597" s="3">
        <v>45.68</v>
      </c>
      <c r="C597" s="3" t="s">
        <v>49</v>
      </c>
      <c r="D597" s="3" t="s">
        <v>50</v>
      </c>
      <c r="E597" s="10" t="str">
        <f t="shared" si="9"/>
        <v>High</v>
      </c>
    </row>
    <row r="598" spans="1:5" x14ac:dyDescent="0.15">
      <c r="A598" s="3">
        <v>597</v>
      </c>
      <c r="B598" s="3">
        <v>35.71</v>
      </c>
      <c r="C598" s="3" t="s">
        <v>46</v>
      </c>
      <c r="D598" s="3" t="s">
        <v>57</v>
      </c>
      <c r="E598" s="10" t="str">
        <f t="shared" si="9"/>
        <v>Low</v>
      </c>
    </row>
    <row r="599" spans="1:5" x14ac:dyDescent="0.15">
      <c r="A599" s="3">
        <v>598</v>
      </c>
      <c r="B599" s="3">
        <v>33.659999999999997</v>
      </c>
      <c r="C599" s="3" t="s">
        <v>46</v>
      </c>
      <c r="D599" s="3" t="s">
        <v>50</v>
      </c>
      <c r="E599" s="10" t="str">
        <f t="shared" si="9"/>
        <v>Low</v>
      </c>
    </row>
    <row r="600" spans="1:5" x14ac:dyDescent="0.15">
      <c r="A600" s="3">
        <v>599</v>
      </c>
      <c r="B600" s="3">
        <v>49.84</v>
      </c>
      <c r="C600" s="3" t="s">
        <v>49</v>
      </c>
      <c r="D600" s="3" t="s">
        <v>50</v>
      </c>
      <c r="E600" s="10" t="str">
        <f t="shared" si="9"/>
        <v>High</v>
      </c>
    </row>
    <row r="601" spans="1:5" x14ac:dyDescent="0.15">
      <c r="A601" s="3">
        <v>600</v>
      </c>
      <c r="B601" s="3">
        <v>41.26</v>
      </c>
      <c r="C601" s="3" t="s">
        <v>49</v>
      </c>
      <c r="D601" s="3" t="s">
        <v>56</v>
      </c>
      <c r="E601" s="10" t="str">
        <f t="shared" si="9"/>
        <v>Medium</v>
      </c>
    </row>
    <row r="602" spans="1:5" x14ac:dyDescent="0.15">
      <c r="A602" s="3">
        <v>601</v>
      </c>
      <c r="B602" s="3">
        <v>42.53</v>
      </c>
      <c r="C602" s="3" t="s">
        <v>49</v>
      </c>
      <c r="D602" s="3" t="s">
        <v>50</v>
      </c>
      <c r="E602" s="10" t="str">
        <f t="shared" si="9"/>
        <v>Medium</v>
      </c>
    </row>
    <row r="603" spans="1:5" x14ac:dyDescent="0.15">
      <c r="A603" s="3">
        <v>602</v>
      </c>
      <c r="B603" s="3">
        <v>28.74</v>
      </c>
      <c r="C603" s="3" t="s">
        <v>46</v>
      </c>
      <c r="D603" s="3" t="s">
        <v>54</v>
      </c>
      <c r="E603" s="10" t="str">
        <f t="shared" si="9"/>
        <v>Low</v>
      </c>
    </row>
    <row r="604" spans="1:5" x14ac:dyDescent="0.15">
      <c r="A604" s="3">
        <v>603</v>
      </c>
      <c r="B604" s="3">
        <v>36.96</v>
      </c>
      <c r="C604" s="3" t="s">
        <v>46</v>
      </c>
      <c r="D604" s="3" t="s">
        <v>54</v>
      </c>
      <c r="E604" s="10" t="str">
        <f t="shared" si="9"/>
        <v>Low</v>
      </c>
    </row>
    <row r="605" spans="1:5" x14ac:dyDescent="0.15">
      <c r="A605" s="3">
        <v>604</v>
      </c>
      <c r="B605" s="3">
        <v>26.09</v>
      </c>
      <c r="C605" s="3" t="s">
        <v>46</v>
      </c>
      <c r="D605" s="3" t="s">
        <v>54</v>
      </c>
      <c r="E605" s="10" t="str">
        <f t="shared" si="9"/>
        <v>Low</v>
      </c>
    </row>
  </sheetData>
  <autoFilter ref="A1:E605" xr:uid="{9F083E72-508B-4202-9C90-245F73E49C82}"/>
  <sortState xmlns:xlrd2="http://schemas.microsoft.com/office/spreadsheetml/2017/richdata2" ref="A2:I605">
    <sortCondition ref="A2:A605"/>
    <sortCondition ref="C2:C605"/>
    <sortCondition ref="B2:B605"/>
  </sortState>
  <mergeCells count="2">
    <mergeCell ref="G1:I1"/>
    <mergeCell ref="K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FC7ADD27A134B92D0C21C975B5030" ma:contentTypeVersion="8" ma:contentTypeDescription="Create a new document." ma:contentTypeScope="" ma:versionID="29b2d8f5016614ee7db90ae61d94d5a1">
  <xsd:schema xmlns:xsd="http://www.w3.org/2001/XMLSchema" xmlns:xs="http://www.w3.org/2001/XMLSchema" xmlns:p="http://schemas.microsoft.com/office/2006/metadata/properties" xmlns:ns2="89c7a8c3-a03a-420b-ac21-90cd38a91df7" targetNamespace="http://schemas.microsoft.com/office/2006/metadata/properties" ma:root="true" ma:fieldsID="230fff80464bdb34158622049499dd70" ns2:_="">
    <xsd:import namespace="89c7a8c3-a03a-420b-ac21-90cd38a91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7a8c3-a03a-420b-ac21-90cd38a91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5CBDBB-F0C0-4BD1-AD72-379BA7A421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c7a8c3-a03a-420b-ac21-90cd38a91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8B3F78-3196-49F1-803C-9C29FC144D6C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89c7a8c3-a03a-420b-ac21-90cd38a91df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AC2BE08-F0A2-4B41-AE7C-00CD0CD124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Customers</vt:lpstr>
      <vt:lpstr>Restaurant_Reviews</vt:lpstr>
      <vt:lpstr>Gig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Bunthit Watanapa</dc:creator>
  <cp:keywords/>
  <dc:description/>
  <cp:lastModifiedBy>KRISSANA PIPUTPRUEDTIGUL</cp:lastModifiedBy>
  <cp:revision/>
  <dcterms:created xsi:type="dcterms:W3CDTF">2021-02-07T10:56:41Z</dcterms:created>
  <dcterms:modified xsi:type="dcterms:W3CDTF">2025-03-08T14:36:37Z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0x010100501FC7ADD27A134B92D0C21C975B5030</vt:lpwstr>
  </property>
</Properties>
</file>