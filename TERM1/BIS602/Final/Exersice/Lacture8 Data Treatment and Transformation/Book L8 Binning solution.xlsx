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ndid/Teaching/BIS602/2-2024/Lectures/L8 Data treatment and transformation/"/>
    </mc:Choice>
  </mc:AlternateContent>
  <xr:revisionPtr revIDLastSave="0" documentId="13_ncr:1_{E24D3E91-E6BF-C346-B3CB-455D5E247D5A}" xr6:coauthVersionLast="47" xr6:coauthVersionMax="47" xr10:uidLastSave="{00000000-0000-0000-0000-000000000000}"/>
  <bookViews>
    <workbookView xWindow="1320" yWindow="760" windowWidth="26340" windowHeight="15760" firstSheet="1" activeTab="1" xr2:uid="{518FBF30-1F48-E946-BF22-C7F9ED8E100E}"/>
  </bookViews>
  <sheets>
    <sheet name="Customers" sheetId="1" r:id="rId1"/>
    <sheet name="Binn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" i="2"/>
  <c r="AD14" i="2"/>
  <c r="AA2" i="2" s="1"/>
  <c r="Z2" i="2"/>
  <c r="R2" i="2" s="1"/>
  <c r="Y2" i="2"/>
  <c r="Q2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" i="2"/>
  <c r="X2" i="2" l="1"/>
  <c r="P2" i="2" s="1"/>
  <c r="S2" i="2" s="1"/>
  <c r="T178" i="2"/>
  <c r="T170" i="2"/>
  <c r="T162" i="2"/>
  <c r="T154" i="2"/>
  <c r="T146" i="2"/>
  <c r="T122" i="2"/>
  <c r="T114" i="2"/>
  <c r="T106" i="2"/>
  <c r="T98" i="2"/>
  <c r="T82" i="2"/>
  <c r="T58" i="2"/>
  <c r="T18" i="2"/>
  <c r="T10" i="2"/>
  <c r="T161" i="2"/>
  <c r="T129" i="2"/>
  <c r="T89" i="2"/>
  <c r="T65" i="2"/>
  <c r="T25" i="2"/>
  <c r="T17" i="2"/>
  <c r="T200" i="2"/>
  <c r="T192" i="2"/>
  <c r="T184" i="2"/>
  <c r="T136" i="2"/>
  <c r="T120" i="2"/>
  <c r="T88" i="2"/>
  <c r="T80" i="2"/>
  <c r="T64" i="2"/>
  <c r="T48" i="2"/>
  <c r="T40" i="2"/>
  <c r="T16" i="2"/>
  <c r="T199" i="2"/>
  <c r="T159" i="2"/>
  <c r="T119" i="2"/>
  <c r="T87" i="2"/>
  <c r="T47" i="2"/>
  <c r="T23" i="2"/>
  <c r="T198" i="2"/>
  <c r="T182" i="2"/>
  <c r="T174" i="2"/>
  <c r="T126" i="2"/>
  <c r="T110" i="2"/>
  <c r="T102" i="2"/>
  <c r="T94" i="2"/>
  <c r="T86" i="2"/>
  <c r="T22" i="2"/>
  <c r="T6" i="2"/>
  <c r="T189" i="2"/>
  <c r="T165" i="2"/>
  <c r="T157" i="2"/>
  <c r="T93" i="2"/>
  <c r="T37" i="2"/>
  <c r="T2" i="2"/>
  <c r="T148" i="2"/>
  <c r="T124" i="2"/>
  <c r="T100" i="2"/>
  <c r="T60" i="2"/>
  <c r="T195" i="2"/>
  <c r="T171" i="2"/>
  <c r="T163" i="2"/>
  <c r="T147" i="2"/>
  <c r="T139" i="2"/>
  <c r="T131" i="2"/>
  <c r="T107" i="2"/>
  <c r="T67" i="2"/>
  <c r="T51" i="2"/>
  <c r="T35" i="2"/>
  <c r="T27" i="2"/>
  <c r="AA3" i="2"/>
  <c r="AA4" i="2" s="1"/>
  <c r="AA5" i="2" s="1"/>
  <c r="T164" i="2" l="1"/>
  <c r="P3" i="2"/>
  <c r="T156" i="2"/>
  <c r="T133" i="2"/>
  <c r="T14" i="2"/>
  <c r="T63" i="2"/>
  <c r="T128" i="2"/>
  <c r="T28" i="2"/>
  <c r="T141" i="2"/>
  <c r="T34" i="2"/>
  <c r="T13" i="2"/>
  <c r="T42" i="2"/>
  <c r="T113" i="2"/>
  <c r="T50" i="2"/>
  <c r="T134" i="2"/>
  <c r="T149" i="2"/>
  <c r="T105" i="2"/>
  <c r="T92" i="2"/>
  <c r="T135" i="2"/>
  <c r="T121" i="2"/>
  <c r="T36" i="2"/>
  <c r="T71" i="2"/>
  <c r="T62" i="2"/>
  <c r="T155" i="2"/>
  <c r="T7" i="2"/>
  <c r="T84" i="2"/>
  <c r="T78" i="2"/>
  <c r="T21" i="2"/>
  <c r="T43" i="2"/>
  <c r="T85" i="2"/>
  <c r="T197" i="2"/>
  <c r="T191" i="2"/>
  <c r="T112" i="2"/>
  <c r="T41" i="2"/>
  <c r="T99" i="2"/>
  <c r="T69" i="2"/>
  <c r="T190" i="2"/>
  <c r="T49" i="2"/>
  <c r="T20" i="2"/>
  <c r="T77" i="2"/>
  <c r="T127" i="2"/>
  <c r="T56" i="2"/>
  <c r="T176" i="2"/>
  <c r="T57" i="2"/>
  <c r="T169" i="2"/>
  <c r="T177" i="2"/>
  <c r="T91" i="2"/>
  <c r="T70" i="2"/>
  <c r="T142" i="2"/>
  <c r="T55" i="2"/>
  <c r="T183" i="2"/>
  <c r="T185" i="2"/>
  <c r="T179" i="2"/>
  <c r="T108" i="2"/>
  <c r="T172" i="2"/>
  <c r="T29" i="2"/>
  <c r="T150" i="2"/>
  <c r="T15" i="2"/>
  <c r="T79" i="2"/>
  <c r="T143" i="2"/>
  <c r="T8" i="2"/>
  <c r="T72" i="2"/>
  <c r="T193" i="2"/>
  <c r="T186" i="2"/>
  <c r="T115" i="2"/>
  <c r="T44" i="2"/>
  <c r="T59" i="2"/>
  <c r="T123" i="2"/>
  <c r="T187" i="2"/>
  <c r="T52" i="2"/>
  <c r="T116" i="2"/>
  <c r="T180" i="2"/>
  <c r="T101" i="2"/>
  <c r="T30" i="2"/>
  <c r="T158" i="2"/>
  <c r="T151" i="2"/>
  <c r="T144" i="2"/>
  <c r="T9" i="2"/>
  <c r="T73" i="2"/>
  <c r="T137" i="2"/>
  <c r="T201" i="2"/>
  <c r="T66" i="2"/>
  <c r="T130" i="2"/>
  <c r="T194" i="2"/>
  <c r="T188" i="2"/>
  <c r="T45" i="2"/>
  <c r="T109" i="2"/>
  <c r="T173" i="2"/>
  <c r="T38" i="2"/>
  <c r="T166" i="2"/>
  <c r="T31" i="2"/>
  <c r="T95" i="2"/>
  <c r="T24" i="2"/>
  <c r="T152" i="2"/>
  <c r="T81" i="2"/>
  <c r="T145" i="2"/>
  <c r="T74" i="2"/>
  <c r="T138" i="2"/>
  <c r="T3" i="2"/>
  <c r="T75" i="2"/>
  <c r="T4" i="2"/>
  <c r="T68" i="2"/>
  <c r="T132" i="2"/>
  <c r="T196" i="2"/>
  <c r="T53" i="2"/>
  <c r="T117" i="2"/>
  <c r="T181" i="2"/>
  <c r="T46" i="2"/>
  <c r="T39" i="2"/>
  <c r="T103" i="2"/>
  <c r="T167" i="2"/>
  <c r="T32" i="2"/>
  <c r="T96" i="2"/>
  <c r="T160" i="2"/>
  <c r="T153" i="2"/>
  <c r="T11" i="2"/>
  <c r="T83" i="2"/>
  <c r="T12" i="2"/>
  <c r="T76" i="2"/>
  <c r="T140" i="2"/>
  <c r="T5" i="2"/>
  <c r="T61" i="2"/>
  <c r="T125" i="2"/>
  <c r="T54" i="2"/>
  <c r="T118" i="2"/>
  <c r="T111" i="2"/>
  <c r="T175" i="2"/>
  <c r="T104" i="2"/>
  <c r="T168" i="2"/>
  <c r="T33" i="2"/>
  <c r="T97" i="2"/>
  <c r="T26" i="2"/>
  <c r="T90" i="2"/>
  <c r="T19" i="2"/>
</calcChain>
</file>

<file path=xl/sharedStrings.xml><?xml version="1.0" encoding="utf-8"?>
<sst xmlns="http://schemas.openxmlformats.org/spreadsheetml/2006/main" count="2134" uniqueCount="67">
  <si>
    <t>CustID</t>
  </si>
  <si>
    <t>Sex</t>
  </si>
  <si>
    <t>Race</t>
  </si>
  <si>
    <t>BirthDate</t>
  </si>
  <si>
    <t>College</t>
  </si>
  <si>
    <t>HouseholdSize</t>
  </si>
  <si>
    <t>ZipCode</t>
  </si>
  <si>
    <t>Income</t>
  </si>
  <si>
    <t>Spending2020</t>
  </si>
  <si>
    <t>Spending2021</t>
  </si>
  <si>
    <t>NumOfOrders</t>
  </si>
  <si>
    <t>DaysSinceLast</t>
  </si>
  <si>
    <t>Satisfaction</t>
  </si>
  <si>
    <t>Channel</t>
  </si>
  <si>
    <t>Female</t>
  </si>
  <si>
    <t>Black</t>
  </si>
  <si>
    <t>Yes</t>
  </si>
  <si>
    <t>Very Dissatisfied</t>
  </si>
  <si>
    <t>SM</t>
  </si>
  <si>
    <t>Male</t>
  </si>
  <si>
    <t>White</t>
  </si>
  <si>
    <t>Neutral</t>
  </si>
  <si>
    <t>TV</t>
  </si>
  <si>
    <t>Very Satisfied</t>
  </si>
  <si>
    <t>Hispanic</t>
  </si>
  <si>
    <t>No</t>
  </si>
  <si>
    <t>Web</t>
  </si>
  <si>
    <t>Referral</t>
  </si>
  <si>
    <t>Asian</t>
  </si>
  <si>
    <t>Pacific Islander</t>
  </si>
  <si>
    <t>American Indian</t>
  </si>
  <si>
    <t>Somewhat Satisfied</t>
  </si>
  <si>
    <t>Somewhat Dissatisfied</t>
  </si>
  <si>
    <t>DaySinceLastReverse</t>
  </si>
  <si>
    <t>R_score</t>
  </si>
  <si>
    <t>F_score</t>
  </si>
  <si>
    <t>M_score</t>
  </si>
  <si>
    <t>RFM</t>
  </si>
  <si>
    <t>Membership_Tier</t>
  </si>
  <si>
    <t>RecencyRange</t>
  </si>
  <si>
    <t>FrequencyRange</t>
  </si>
  <si>
    <t>MonetaryRange</t>
  </si>
  <si>
    <t>IncomeRange</t>
  </si>
  <si>
    <t>Guideline</t>
  </si>
  <si>
    <t>20th percentile</t>
  </si>
  <si>
    <t>1. Compute Recency score (Reverse of DaysSinceLast,  L column) since the longer the last buy,  the worse score it is supposed to be</t>
  </si>
  <si>
    <t>…</t>
  </si>
  <si>
    <t>40th percentile</t>
  </si>
  <si>
    <t>?</t>
  </si>
  <si>
    <t>Using percentil(range, 0.x)</t>
  </si>
  <si>
    <t>60th percentile</t>
  </si>
  <si>
    <t>2. Compute the Frequency score (using NumOfOrders) and Moneyary score (Spending2021)</t>
  </si>
  <si>
    <t>80th percentile</t>
  </si>
  <si>
    <t>3. In  columns P,Q,R, Make the binning for RFM by giving score 1-5 based on the percentile  boundary obtained  in (1) and (2)</t>
  </si>
  <si>
    <t>4. In S, Make the integrated score of RFM, using concatenate(P,Q,R)</t>
  </si>
  <si>
    <t>5. Make the boundary for Incomerange</t>
  </si>
  <si>
    <t>Using the (max-min)/number of bins to get the interval for each bin</t>
  </si>
  <si>
    <t>=(MAX(H2:H201)-MIN(H2:H201))/5</t>
  </si>
  <si>
    <t>Then, using the  min+interval to find the 1st boundary, repeat the sequence for the rest 3.</t>
  </si>
  <si>
    <t>6. In Column T (Income), Using nested if to assign score for income range, if(income&lt;=boundary1, 1, if(income&lt;+boundary2,2,,,,,,)</t>
  </si>
  <si>
    <t>7. In column U,  find the  membership_tier by using  if().</t>
  </si>
  <si>
    <t xml:space="preserve"> </t>
  </si>
  <si>
    <t>Spending</t>
  </si>
  <si>
    <t>Membership</t>
  </si>
  <si>
    <t>Bronze</t>
  </si>
  <si>
    <t>Silver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</si>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</sst>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2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03C6-D915-6741-BA7F-99CBDB3FC510}">
  <dimension ref="A1:N201"/>
  <sheetViews>
    <sheetView topLeftCell="C1" workbookViewId="0">
      <selection activeCell="H2" sqref="H2"/>
    </sheetView>
  </sheetViews>
  <sheetFormatPr defaultColWidth="9.140625" defaultRowHeight="15"/>
  <cols>
    <col min="1" max="3" width="9.140625" style="1"/>
    <col min="4" max="4" width="12.28515625" style="1" customWidth="1"/>
    <col min="5" max="5" width="9.140625" style="1"/>
    <col min="6" max="6" width="14.42578125" style="1" customWidth="1"/>
    <col min="7" max="7" width="10.42578125" style="1" customWidth="1"/>
    <col min="8" max="8" width="9.140625" style="1"/>
    <col min="9" max="9" width="13.85546875" style="1" customWidth="1"/>
    <col min="10" max="10" width="13.42578125" style="1" customWidth="1"/>
    <col min="11" max="11" width="14" style="1" customWidth="1"/>
    <col min="12" max="12" width="14.28515625" style="1" customWidth="1"/>
    <col min="13" max="13" width="17.42578125" style="1" customWidth="1"/>
    <col min="14" max="14" width="11" style="1" customWidth="1"/>
    <col min="15" max="16384" width="9.140625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1530016</v>
      </c>
      <c r="B2" s="1" t="s">
        <v>14</v>
      </c>
      <c r="C2" s="1" t="s">
        <v>15</v>
      </c>
      <c r="D2" s="2">
        <v>31762</v>
      </c>
      <c r="E2" s="1" t="s">
        <v>16</v>
      </c>
      <c r="F2" s="1">
        <v>5</v>
      </c>
      <c r="G2" s="1">
        <v>90047</v>
      </c>
      <c r="H2" s="1">
        <v>53000</v>
      </c>
      <c r="I2" s="1">
        <v>287</v>
      </c>
      <c r="J2" s="1">
        <v>241</v>
      </c>
      <c r="K2" s="1">
        <v>3</v>
      </c>
      <c r="L2" s="1">
        <v>101</v>
      </c>
      <c r="M2" s="1" t="s">
        <v>17</v>
      </c>
      <c r="N2" s="1" t="s">
        <v>18</v>
      </c>
    </row>
    <row r="3" spans="1:14">
      <c r="A3" s="1">
        <v>1531136</v>
      </c>
      <c r="B3" s="1" t="s">
        <v>19</v>
      </c>
      <c r="C3" s="1" t="s">
        <v>20</v>
      </c>
      <c r="D3" s="2">
        <v>34098</v>
      </c>
      <c r="E3" s="1" t="s">
        <v>16</v>
      </c>
      <c r="F3" s="1">
        <v>5</v>
      </c>
      <c r="G3" s="1">
        <v>90026</v>
      </c>
      <c r="H3" s="1">
        <v>94000</v>
      </c>
      <c r="I3" s="1">
        <v>1227</v>
      </c>
      <c r="J3" s="1">
        <v>843</v>
      </c>
      <c r="K3" s="1">
        <v>12</v>
      </c>
      <c r="L3" s="1">
        <v>262</v>
      </c>
      <c r="M3" s="1" t="s">
        <v>21</v>
      </c>
      <c r="N3" s="1" t="s">
        <v>22</v>
      </c>
    </row>
    <row r="4" spans="1:14">
      <c r="A4" s="1">
        <v>1532160</v>
      </c>
      <c r="B4" s="1" t="s">
        <v>19</v>
      </c>
      <c r="C4" s="1" t="s">
        <v>15</v>
      </c>
      <c r="D4" s="2">
        <v>24249</v>
      </c>
      <c r="E4" s="1" t="s">
        <v>16</v>
      </c>
      <c r="F4" s="1">
        <v>2</v>
      </c>
      <c r="G4" s="1">
        <v>90027</v>
      </c>
      <c r="H4" s="1">
        <v>64000</v>
      </c>
      <c r="I4" s="1">
        <v>523</v>
      </c>
      <c r="J4" s="1">
        <v>719</v>
      </c>
      <c r="K4" s="1">
        <v>9</v>
      </c>
      <c r="L4" s="1">
        <v>122</v>
      </c>
      <c r="M4" s="1" t="s">
        <v>23</v>
      </c>
      <c r="N4" s="1" t="s">
        <v>22</v>
      </c>
    </row>
    <row r="5" spans="1:14">
      <c r="A5" s="1">
        <v>1532307</v>
      </c>
      <c r="B5" s="1" t="s">
        <v>19</v>
      </c>
      <c r="C5" s="1" t="s">
        <v>20</v>
      </c>
      <c r="D5" s="2">
        <v>23636</v>
      </c>
      <c r="E5" s="1" t="s">
        <v>16</v>
      </c>
      <c r="F5" s="1">
        <v>4</v>
      </c>
      <c r="G5" s="1">
        <v>90029</v>
      </c>
      <c r="H5" s="1">
        <v>60000</v>
      </c>
      <c r="I5" s="1">
        <v>516</v>
      </c>
      <c r="J5" s="1">
        <v>582</v>
      </c>
      <c r="K5" s="1">
        <v>13</v>
      </c>
      <c r="L5" s="1">
        <v>129</v>
      </c>
      <c r="M5" s="1" t="s">
        <v>17</v>
      </c>
      <c r="N5" s="1" t="s">
        <v>18</v>
      </c>
    </row>
    <row r="6" spans="1:14">
      <c r="A6" s="1">
        <v>1532356</v>
      </c>
      <c r="B6" s="1" t="s">
        <v>14</v>
      </c>
      <c r="C6" s="1" t="s">
        <v>24</v>
      </c>
      <c r="D6" s="2">
        <v>23573</v>
      </c>
      <c r="E6" s="1" t="s">
        <v>25</v>
      </c>
      <c r="F6" s="1">
        <v>5</v>
      </c>
      <c r="G6" s="1">
        <v>90017</v>
      </c>
      <c r="H6" s="1">
        <v>47000</v>
      </c>
      <c r="I6" s="1">
        <v>555</v>
      </c>
      <c r="J6" s="1">
        <v>845</v>
      </c>
      <c r="K6" s="1">
        <v>7</v>
      </c>
      <c r="L6" s="1">
        <v>97</v>
      </c>
      <c r="M6" s="1" t="s">
        <v>17</v>
      </c>
      <c r="N6" s="1" t="s">
        <v>26</v>
      </c>
    </row>
    <row r="7" spans="1:14">
      <c r="A7" s="1">
        <v>1532387</v>
      </c>
      <c r="B7" s="1" t="s">
        <v>19</v>
      </c>
      <c r="C7" s="1" t="s">
        <v>20</v>
      </c>
      <c r="D7" s="2">
        <v>21059</v>
      </c>
      <c r="E7" s="1" t="s">
        <v>16</v>
      </c>
      <c r="F7" s="1">
        <v>2</v>
      </c>
      <c r="G7" s="1">
        <v>90028</v>
      </c>
      <c r="H7" s="1">
        <v>67000</v>
      </c>
      <c r="I7" s="1">
        <v>631</v>
      </c>
      <c r="J7" s="1">
        <v>452</v>
      </c>
      <c r="K7" s="1">
        <v>9</v>
      </c>
      <c r="L7" s="1">
        <v>150</v>
      </c>
      <c r="M7" s="1" t="s">
        <v>21</v>
      </c>
      <c r="N7" s="1" t="s">
        <v>18</v>
      </c>
    </row>
    <row r="8" spans="1:14">
      <c r="A8" s="1">
        <v>1533017</v>
      </c>
      <c r="B8" s="1" t="s">
        <v>14</v>
      </c>
      <c r="C8" s="1" t="s">
        <v>24</v>
      </c>
      <c r="D8" s="2">
        <v>31181</v>
      </c>
      <c r="E8" s="1" t="s">
        <v>16</v>
      </c>
      <c r="F8" s="1">
        <v>3</v>
      </c>
      <c r="G8" s="1">
        <v>90063</v>
      </c>
      <c r="H8" s="1">
        <v>84000</v>
      </c>
      <c r="I8" s="1">
        <v>229</v>
      </c>
      <c r="J8" s="1">
        <v>153</v>
      </c>
      <c r="K8" s="1">
        <v>2</v>
      </c>
      <c r="L8" s="1">
        <v>144</v>
      </c>
      <c r="M8" s="1" t="s">
        <v>23</v>
      </c>
      <c r="N8" s="1" t="s">
        <v>26</v>
      </c>
    </row>
    <row r="9" spans="1:14">
      <c r="A9" s="1">
        <v>1533561</v>
      </c>
      <c r="B9" s="1" t="s">
        <v>19</v>
      </c>
      <c r="C9" s="1" t="s">
        <v>24</v>
      </c>
      <c r="D9" s="2">
        <v>29627</v>
      </c>
      <c r="E9" s="1" t="s">
        <v>16</v>
      </c>
      <c r="F9" s="1">
        <v>5</v>
      </c>
      <c r="G9" s="1">
        <v>90050</v>
      </c>
      <c r="H9" s="1">
        <v>76000</v>
      </c>
      <c r="I9" s="1">
        <v>1474</v>
      </c>
      <c r="J9" s="1">
        <v>1079</v>
      </c>
      <c r="K9" s="1">
        <v>23</v>
      </c>
      <c r="L9" s="1">
        <v>122</v>
      </c>
      <c r="M9" s="1" t="s">
        <v>23</v>
      </c>
      <c r="N9" s="1" t="s">
        <v>27</v>
      </c>
    </row>
    <row r="10" spans="1:14">
      <c r="A10" s="1">
        <v>1533697</v>
      </c>
      <c r="B10" s="1" t="s">
        <v>14</v>
      </c>
      <c r="C10" s="1" t="s">
        <v>28</v>
      </c>
      <c r="D10" s="2">
        <v>27310</v>
      </c>
      <c r="E10" s="1" t="s">
        <v>16</v>
      </c>
      <c r="F10" s="1">
        <v>3</v>
      </c>
      <c r="G10" s="1">
        <v>90038</v>
      </c>
      <c r="H10" s="1">
        <v>42000</v>
      </c>
      <c r="I10" s="1">
        <v>300</v>
      </c>
      <c r="J10" s="1">
        <v>247</v>
      </c>
      <c r="K10" s="1">
        <v>3</v>
      </c>
      <c r="L10" s="1">
        <v>238</v>
      </c>
      <c r="M10" s="1" t="s">
        <v>23</v>
      </c>
      <c r="N10" s="1" t="s">
        <v>26</v>
      </c>
    </row>
    <row r="11" spans="1:14">
      <c r="A11" s="1">
        <v>1533766</v>
      </c>
      <c r="B11" s="1" t="s">
        <v>19</v>
      </c>
      <c r="C11" s="1" t="s">
        <v>24</v>
      </c>
      <c r="D11" s="2">
        <v>26192</v>
      </c>
      <c r="E11" s="1" t="s">
        <v>16</v>
      </c>
      <c r="F11" s="1">
        <v>2</v>
      </c>
      <c r="G11" s="1">
        <v>90057</v>
      </c>
      <c r="H11" s="1">
        <v>71000</v>
      </c>
      <c r="I11" s="1">
        <v>925</v>
      </c>
      <c r="J11" s="1">
        <v>708</v>
      </c>
      <c r="K11" s="1">
        <v>4</v>
      </c>
      <c r="L11" s="1">
        <v>171</v>
      </c>
      <c r="M11" s="1" t="s">
        <v>21</v>
      </c>
      <c r="N11" s="1" t="s">
        <v>22</v>
      </c>
    </row>
    <row r="12" spans="1:14">
      <c r="A12" s="1">
        <v>1533791</v>
      </c>
      <c r="B12" s="1" t="s">
        <v>19</v>
      </c>
      <c r="C12" s="1" t="s">
        <v>20</v>
      </c>
      <c r="D12" s="2">
        <v>36460</v>
      </c>
      <c r="E12" s="1" t="s">
        <v>16</v>
      </c>
      <c r="F12" s="1">
        <v>1</v>
      </c>
      <c r="G12" s="1">
        <v>90060</v>
      </c>
      <c r="H12" s="1">
        <v>97000</v>
      </c>
      <c r="I12" s="1">
        <v>828</v>
      </c>
      <c r="J12" s="1">
        <v>1028</v>
      </c>
      <c r="K12" s="1">
        <v>17</v>
      </c>
      <c r="L12" s="1">
        <v>110</v>
      </c>
      <c r="M12" s="1" t="s">
        <v>17</v>
      </c>
      <c r="N12" s="1" t="s">
        <v>26</v>
      </c>
    </row>
    <row r="13" spans="1:14">
      <c r="A13" s="1">
        <v>1533917</v>
      </c>
      <c r="B13" s="1" t="s">
        <v>14</v>
      </c>
      <c r="C13" s="1" t="s">
        <v>15</v>
      </c>
      <c r="D13" s="2">
        <v>34031</v>
      </c>
      <c r="E13" s="1" t="s">
        <v>16</v>
      </c>
      <c r="F13" s="1">
        <v>3</v>
      </c>
      <c r="G13" s="1">
        <v>90045</v>
      </c>
      <c r="H13" s="1">
        <v>64000</v>
      </c>
      <c r="I13" s="1">
        <v>768</v>
      </c>
      <c r="J13" s="1">
        <v>915</v>
      </c>
      <c r="K13" s="1">
        <v>15</v>
      </c>
      <c r="L13" s="1">
        <v>19</v>
      </c>
      <c r="M13" s="1" t="s">
        <v>23</v>
      </c>
      <c r="N13" s="1" t="s">
        <v>27</v>
      </c>
    </row>
    <row r="14" spans="1:14">
      <c r="A14" s="1">
        <v>1534502</v>
      </c>
      <c r="B14" s="1" t="s">
        <v>19</v>
      </c>
      <c r="C14" s="1" t="s">
        <v>24</v>
      </c>
      <c r="D14" s="2">
        <v>32868</v>
      </c>
      <c r="E14" s="1" t="s">
        <v>16</v>
      </c>
      <c r="F14" s="1">
        <v>2</v>
      </c>
      <c r="G14" s="1">
        <v>90056</v>
      </c>
      <c r="H14" s="1">
        <v>114000</v>
      </c>
      <c r="I14" s="1">
        <v>938</v>
      </c>
      <c r="J14" s="1">
        <v>665</v>
      </c>
      <c r="K14" s="1">
        <v>7</v>
      </c>
      <c r="L14" s="1">
        <v>262</v>
      </c>
      <c r="M14" s="1" t="s">
        <v>17</v>
      </c>
      <c r="N14" s="1" t="s">
        <v>22</v>
      </c>
    </row>
    <row r="15" spans="1:14">
      <c r="A15" s="1">
        <v>1534928</v>
      </c>
      <c r="B15" s="1" t="s">
        <v>19</v>
      </c>
      <c r="C15" s="1" t="s">
        <v>24</v>
      </c>
      <c r="D15" s="2">
        <v>21568</v>
      </c>
      <c r="E15" s="1" t="s">
        <v>16</v>
      </c>
      <c r="F15" s="1">
        <v>5</v>
      </c>
      <c r="G15" s="1">
        <v>90033</v>
      </c>
      <c r="H15" s="1">
        <v>96000</v>
      </c>
      <c r="I15" s="1">
        <v>631</v>
      </c>
      <c r="J15" s="1">
        <v>796</v>
      </c>
      <c r="K15" s="1">
        <v>13</v>
      </c>
      <c r="L15" s="1">
        <v>68</v>
      </c>
      <c r="M15" s="1" t="s">
        <v>21</v>
      </c>
      <c r="N15" s="1" t="s">
        <v>27</v>
      </c>
    </row>
    <row r="16" spans="1:14">
      <c r="A16" s="1">
        <v>1535063</v>
      </c>
      <c r="B16" s="1" t="s">
        <v>14</v>
      </c>
      <c r="C16" s="1" t="s">
        <v>20</v>
      </c>
      <c r="D16" s="2">
        <v>30302</v>
      </c>
      <c r="E16" s="1" t="s">
        <v>16</v>
      </c>
      <c r="F16" s="1">
        <v>3</v>
      </c>
      <c r="G16" s="1">
        <v>90024</v>
      </c>
      <c r="H16" s="1">
        <v>42000</v>
      </c>
      <c r="I16" s="1">
        <v>341</v>
      </c>
      <c r="J16" s="1">
        <v>313</v>
      </c>
      <c r="K16" s="1">
        <v>4</v>
      </c>
      <c r="L16" s="1">
        <v>300</v>
      </c>
      <c r="M16" s="1" t="s">
        <v>17</v>
      </c>
      <c r="N16" s="1" t="s">
        <v>22</v>
      </c>
    </row>
    <row r="17" spans="1:14">
      <c r="A17" s="1">
        <v>1535406</v>
      </c>
      <c r="B17" s="1" t="s">
        <v>19</v>
      </c>
      <c r="C17" s="1" t="s">
        <v>20</v>
      </c>
      <c r="D17" s="2">
        <v>30716</v>
      </c>
      <c r="E17" s="1" t="s">
        <v>25</v>
      </c>
      <c r="F17" s="1">
        <v>5</v>
      </c>
      <c r="G17" s="1">
        <v>90051</v>
      </c>
      <c r="H17" s="1">
        <v>55000</v>
      </c>
      <c r="I17" s="1">
        <v>129</v>
      </c>
      <c r="J17" s="1">
        <v>100</v>
      </c>
      <c r="K17" s="1">
        <v>1</v>
      </c>
      <c r="L17" s="1">
        <v>80</v>
      </c>
      <c r="M17" s="1" t="s">
        <v>17</v>
      </c>
      <c r="N17" s="1" t="s">
        <v>26</v>
      </c>
    </row>
    <row r="18" spans="1:14">
      <c r="A18" s="1">
        <v>1535449</v>
      </c>
      <c r="B18" s="1" t="s">
        <v>19</v>
      </c>
      <c r="C18" s="1" t="s">
        <v>15</v>
      </c>
      <c r="D18" s="2">
        <v>21449</v>
      </c>
      <c r="E18" s="1" t="s">
        <v>25</v>
      </c>
      <c r="F18" s="1">
        <v>2</v>
      </c>
      <c r="G18" s="1">
        <v>90062</v>
      </c>
      <c r="H18" s="1">
        <v>56000</v>
      </c>
      <c r="I18" s="1">
        <v>435</v>
      </c>
      <c r="J18" s="1">
        <v>384</v>
      </c>
      <c r="K18" s="1">
        <v>6</v>
      </c>
      <c r="L18" s="1">
        <v>180</v>
      </c>
      <c r="M18" s="1" t="s">
        <v>17</v>
      </c>
      <c r="N18" s="1" t="s">
        <v>22</v>
      </c>
    </row>
    <row r="19" spans="1:14">
      <c r="A19" s="1">
        <v>1535927</v>
      </c>
      <c r="B19" s="1" t="s">
        <v>19</v>
      </c>
      <c r="C19" s="1" t="s">
        <v>20</v>
      </c>
      <c r="D19" s="2">
        <v>28867</v>
      </c>
      <c r="E19" s="1" t="s">
        <v>16</v>
      </c>
      <c r="F19" s="1">
        <v>1</v>
      </c>
      <c r="G19" s="1">
        <v>90003</v>
      </c>
      <c r="H19" s="1">
        <v>66000</v>
      </c>
      <c r="I19" s="1">
        <v>1283</v>
      </c>
      <c r="J19" s="1">
        <v>879</v>
      </c>
      <c r="K19" s="1">
        <v>10</v>
      </c>
      <c r="L19" s="1">
        <v>35</v>
      </c>
      <c r="M19" s="1" t="s">
        <v>23</v>
      </c>
      <c r="N19" s="1" t="s">
        <v>27</v>
      </c>
    </row>
    <row r="20" spans="1:14">
      <c r="A20" s="1">
        <v>1536475</v>
      </c>
      <c r="B20" s="1" t="s">
        <v>19</v>
      </c>
      <c r="C20" s="1" t="s">
        <v>29</v>
      </c>
      <c r="D20" s="2">
        <v>21322</v>
      </c>
      <c r="E20" s="1" t="s">
        <v>16</v>
      </c>
      <c r="F20" s="1">
        <v>2</v>
      </c>
      <c r="G20" s="1">
        <v>90019</v>
      </c>
      <c r="H20" s="1">
        <v>73000</v>
      </c>
      <c r="I20" s="1">
        <v>1276</v>
      </c>
      <c r="J20" s="1">
        <v>1108</v>
      </c>
      <c r="K20" s="1">
        <v>20</v>
      </c>
      <c r="L20" s="1">
        <v>56</v>
      </c>
      <c r="M20" s="1" t="s">
        <v>21</v>
      </c>
      <c r="N20" s="1" t="s">
        <v>26</v>
      </c>
    </row>
    <row r="21" spans="1:14">
      <c r="A21" s="1">
        <v>1536814</v>
      </c>
      <c r="B21" s="1" t="s">
        <v>19</v>
      </c>
      <c r="C21" s="1" t="s">
        <v>15</v>
      </c>
      <c r="D21" s="2">
        <v>22852</v>
      </c>
      <c r="E21" s="1" t="s">
        <v>16</v>
      </c>
      <c r="F21" s="1">
        <v>5</v>
      </c>
      <c r="G21" s="1">
        <v>90036</v>
      </c>
      <c r="H21" s="1">
        <v>86000</v>
      </c>
      <c r="I21" s="1">
        <v>478</v>
      </c>
      <c r="J21" s="1">
        <v>401</v>
      </c>
      <c r="K21" s="1">
        <v>3</v>
      </c>
      <c r="L21" s="1">
        <v>80</v>
      </c>
      <c r="M21" s="1" t="s">
        <v>17</v>
      </c>
      <c r="N21" s="1" t="s">
        <v>26</v>
      </c>
    </row>
    <row r="22" spans="1:14">
      <c r="A22" s="1">
        <v>1537373</v>
      </c>
      <c r="B22" s="1" t="s">
        <v>14</v>
      </c>
      <c r="C22" s="1" t="s">
        <v>15</v>
      </c>
      <c r="D22" s="2">
        <v>26318</v>
      </c>
      <c r="E22" s="1" t="s">
        <v>25</v>
      </c>
      <c r="F22" s="1">
        <v>5</v>
      </c>
      <c r="G22" s="1">
        <v>90035</v>
      </c>
      <c r="H22" s="1">
        <v>44000</v>
      </c>
      <c r="I22" s="1">
        <v>615</v>
      </c>
      <c r="J22" s="1">
        <v>748</v>
      </c>
      <c r="K22" s="1">
        <v>15</v>
      </c>
      <c r="L22" s="1">
        <v>295</v>
      </c>
      <c r="M22" s="1" t="s">
        <v>23</v>
      </c>
      <c r="N22" s="1" t="s">
        <v>26</v>
      </c>
    </row>
    <row r="23" spans="1:14">
      <c r="A23" s="1">
        <v>1537553</v>
      </c>
      <c r="B23" s="1" t="s">
        <v>14</v>
      </c>
      <c r="C23" s="1" t="s">
        <v>20</v>
      </c>
      <c r="D23" s="2">
        <v>22469</v>
      </c>
      <c r="E23" s="1" t="s">
        <v>25</v>
      </c>
      <c r="F23" s="1">
        <v>4</v>
      </c>
      <c r="G23" s="1">
        <v>90060</v>
      </c>
      <c r="H23" s="1">
        <v>36000</v>
      </c>
      <c r="I23" s="1">
        <v>153</v>
      </c>
      <c r="J23" s="1">
        <v>141</v>
      </c>
      <c r="K23" s="1">
        <v>2</v>
      </c>
      <c r="L23" s="1">
        <v>360</v>
      </c>
      <c r="M23" s="1" t="s">
        <v>23</v>
      </c>
      <c r="N23" s="1" t="s">
        <v>22</v>
      </c>
    </row>
    <row r="24" spans="1:14">
      <c r="A24" s="1">
        <v>1538886</v>
      </c>
      <c r="B24" s="1" t="s">
        <v>19</v>
      </c>
      <c r="C24" s="1" t="s">
        <v>30</v>
      </c>
      <c r="D24" s="2">
        <v>35323</v>
      </c>
      <c r="E24" s="1" t="s">
        <v>16</v>
      </c>
      <c r="F24" s="1">
        <v>2</v>
      </c>
      <c r="G24" s="1">
        <v>90014</v>
      </c>
      <c r="H24" s="1">
        <v>94000</v>
      </c>
      <c r="I24" s="1">
        <v>590</v>
      </c>
      <c r="J24" s="1">
        <v>524</v>
      </c>
      <c r="K24" s="1">
        <v>7</v>
      </c>
      <c r="L24" s="1">
        <v>177</v>
      </c>
      <c r="M24" s="1" t="s">
        <v>31</v>
      </c>
      <c r="N24" s="1" t="s">
        <v>27</v>
      </c>
    </row>
    <row r="25" spans="1:14">
      <c r="A25" s="1">
        <v>1539494</v>
      </c>
      <c r="B25" s="1" t="s">
        <v>19</v>
      </c>
      <c r="C25" s="1" t="s">
        <v>20</v>
      </c>
      <c r="D25" s="2">
        <v>26985</v>
      </c>
      <c r="E25" s="1" t="s">
        <v>16</v>
      </c>
      <c r="F25" s="1">
        <v>4</v>
      </c>
      <c r="G25" s="1">
        <v>90038</v>
      </c>
      <c r="H25" s="1">
        <v>54000</v>
      </c>
      <c r="I25" s="1">
        <v>451</v>
      </c>
      <c r="J25" s="1">
        <v>307</v>
      </c>
      <c r="K25" s="1">
        <v>6</v>
      </c>
      <c r="L25" s="1">
        <v>35</v>
      </c>
      <c r="M25" s="1" t="s">
        <v>21</v>
      </c>
      <c r="N25" s="1" t="s">
        <v>26</v>
      </c>
    </row>
    <row r="26" spans="1:14">
      <c r="A26" s="1">
        <v>1539808</v>
      </c>
      <c r="B26" s="1" t="s">
        <v>19</v>
      </c>
      <c r="C26" s="1" t="s">
        <v>15</v>
      </c>
      <c r="D26" s="2">
        <v>19938</v>
      </c>
      <c r="E26" s="1" t="s">
        <v>16</v>
      </c>
      <c r="F26" s="1">
        <v>5</v>
      </c>
      <c r="G26" s="1">
        <v>90024</v>
      </c>
      <c r="H26" s="1">
        <v>82000</v>
      </c>
      <c r="I26" s="1">
        <v>389</v>
      </c>
      <c r="J26" s="1">
        <v>486</v>
      </c>
      <c r="K26" s="1">
        <v>6</v>
      </c>
      <c r="L26" s="1">
        <v>167</v>
      </c>
      <c r="M26" s="1" t="s">
        <v>21</v>
      </c>
      <c r="N26" s="1" t="s">
        <v>26</v>
      </c>
    </row>
    <row r="27" spans="1:14">
      <c r="A27" s="1">
        <v>1539941</v>
      </c>
      <c r="B27" s="1" t="s">
        <v>19</v>
      </c>
      <c r="C27" s="1" t="s">
        <v>24</v>
      </c>
      <c r="D27" s="2">
        <v>34507</v>
      </c>
      <c r="E27" s="1" t="s">
        <v>25</v>
      </c>
      <c r="F27" s="1">
        <v>1</v>
      </c>
      <c r="G27" s="1">
        <v>90033</v>
      </c>
      <c r="H27" s="1">
        <v>42000</v>
      </c>
      <c r="I27" s="1">
        <v>697</v>
      </c>
      <c r="J27" s="1">
        <v>1150</v>
      </c>
      <c r="K27" s="1">
        <v>22</v>
      </c>
      <c r="L27" s="1">
        <v>267</v>
      </c>
      <c r="M27" s="1" t="s">
        <v>23</v>
      </c>
      <c r="N27" s="1" t="s">
        <v>27</v>
      </c>
    </row>
    <row r="28" spans="1:14">
      <c r="A28" s="1">
        <v>1539995</v>
      </c>
      <c r="B28" s="1" t="s">
        <v>14</v>
      </c>
      <c r="C28" s="1" t="s">
        <v>24</v>
      </c>
      <c r="D28" s="2">
        <v>20740</v>
      </c>
      <c r="E28" s="1" t="s">
        <v>16</v>
      </c>
      <c r="F28" s="1">
        <v>2</v>
      </c>
      <c r="G28" s="1">
        <v>90067</v>
      </c>
      <c r="H28" s="1">
        <v>96000</v>
      </c>
      <c r="I28" s="1">
        <v>631</v>
      </c>
      <c r="J28" s="1">
        <v>802</v>
      </c>
      <c r="K28" s="1">
        <v>17</v>
      </c>
      <c r="L28" s="1">
        <v>354</v>
      </c>
      <c r="M28" s="1" t="s">
        <v>31</v>
      </c>
      <c r="N28" s="1" t="s">
        <v>22</v>
      </c>
    </row>
    <row r="29" spans="1:14">
      <c r="A29" s="1">
        <v>1540076</v>
      </c>
      <c r="B29" s="1" t="s">
        <v>19</v>
      </c>
      <c r="C29" s="1" t="s">
        <v>30</v>
      </c>
      <c r="D29" s="2">
        <v>28514</v>
      </c>
      <c r="E29" s="1" t="s">
        <v>16</v>
      </c>
      <c r="F29" s="1">
        <v>5</v>
      </c>
      <c r="G29" s="1">
        <v>90012</v>
      </c>
      <c r="H29" s="1">
        <v>60000</v>
      </c>
      <c r="I29" s="1">
        <v>63</v>
      </c>
      <c r="J29" s="1">
        <v>113</v>
      </c>
      <c r="K29" s="1">
        <v>1</v>
      </c>
      <c r="L29" s="1">
        <v>178</v>
      </c>
      <c r="M29" s="1" t="s">
        <v>23</v>
      </c>
      <c r="N29" s="1" t="s">
        <v>22</v>
      </c>
    </row>
    <row r="30" spans="1:14">
      <c r="A30" s="1">
        <v>1540183</v>
      </c>
      <c r="B30" s="1" t="s">
        <v>19</v>
      </c>
      <c r="C30" s="1" t="s">
        <v>20</v>
      </c>
      <c r="D30" s="2">
        <v>33296</v>
      </c>
      <c r="E30" s="1" t="s">
        <v>16</v>
      </c>
      <c r="F30" s="1">
        <v>1</v>
      </c>
      <c r="G30" s="1">
        <v>90066</v>
      </c>
      <c r="H30" s="1">
        <v>91000</v>
      </c>
      <c r="I30" s="1">
        <v>1018</v>
      </c>
      <c r="J30" s="1">
        <v>800</v>
      </c>
      <c r="K30" s="1">
        <v>10</v>
      </c>
      <c r="L30" s="1">
        <v>6</v>
      </c>
      <c r="M30" s="1" t="s">
        <v>31</v>
      </c>
      <c r="N30" s="1" t="s">
        <v>26</v>
      </c>
    </row>
    <row r="31" spans="1:14">
      <c r="A31" s="1">
        <v>1540217</v>
      </c>
      <c r="B31" s="1" t="s">
        <v>19</v>
      </c>
      <c r="C31" s="1" t="s">
        <v>24</v>
      </c>
      <c r="D31" s="2">
        <v>25498</v>
      </c>
      <c r="E31" s="1" t="s">
        <v>16</v>
      </c>
      <c r="F31" s="1">
        <v>1</v>
      </c>
      <c r="G31" s="1">
        <v>90011</v>
      </c>
      <c r="H31" s="1">
        <v>76000</v>
      </c>
      <c r="I31" s="1">
        <v>546</v>
      </c>
      <c r="J31" s="1">
        <v>1037</v>
      </c>
      <c r="K31" s="1">
        <v>26</v>
      </c>
      <c r="L31" s="1">
        <v>271</v>
      </c>
      <c r="M31" s="1" t="s">
        <v>31</v>
      </c>
      <c r="N31" s="1" t="s">
        <v>18</v>
      </c>
    </row>
    <row r="32" spans="1:14">
      <c r="A32" s="1">
        <v>1540539</v>
      </c>
      <c r="B32" s="1" t="s">
        <v>19</v>
      </c>
      <c r="C32" s="1" t="s">
        <v>20</v>
      </c>
      <c r="D32" s="2">
        <v>22064</v>
      </c>
      <c r="E32" s="1" t="s">
        <v>16</v>
      </c>
      <c r="F32" s="1">
        <v>5</v>
      </c>
      <c r="G32" s="1">
        <v>90049</v>
      </c>
      <c r="H32" s="1">
        <v>100000</v>
      </c>
      <c r="I32" s="1">
        <v>50</v>
      </c>
      <c r="J32" s="1">
        <v>50</v>
      </c>
      <c r="K32" s="1">
        <v>1</v>
      </c>
      <c r="L32" s="1">
        <v>240</v>
      </c>
      <c r="M32" s="1" t="s">
        <v>31</v>
      </c>
      <c r="N32" s="1" t="s">
        <v>26</v>
      </c>
    </row>
    <row r="33" spans="1:14">
      <c r="A33" s="1">
        <v>1540604</v>
      </c>
      <c r="B33" s="1" t="s">
        <v>14</v>
      </c>
      <c r="C33" s="1" t="s">
        <v>20</v>
      </c>
      <c r="D33" s="2">
        <v>25680</v>
      </c>
      <c r="E33" s="1" t="s">
        <v>16</v>
      </c>
      <c r="F33" s="1">
        <v>3</v>
      </c>
      <c r="G33" s="1">
        <v>90011</v>
      </c>
      <c r="H33" s="1">
        <v>73000</v>
      </c>
      <c r="I33" s="1">
        <v>428</v>
      </c>
      <c r="J33" s="1">
        <v>539</v>
      </c>
      <c r="K33" s="1">
        <v>5</v>
      </c>
      <c r="L33" s="1">
        <v>12</v>
      </c>
      <c r="M33" s="1" t="s">
        <v>23</v>
      </c>
      <c r="N33" s="1" t="s">
        <v>26</v>
      </c>
    </row>
    <row r="34" spans="1:14">
      <c r="A34" s="1">
        <v>1541742</v>
      </c>
      <c r="B34" s="1" t="s">
        <v>19</v>
      </c>
      <c r="C34" s="1" t="s">
        <v>15</v>
      </c>
      <c r="D34" s="2">
        <v>21990</v>
      </c>
      <c r="E34" s="1" t="s">
        <v>16</v>
      </c>
      <c r="F34" s="1">
        <v>2</v>
      </c>
      <c r="G34" s="1">
        <v>90052</v>
      </c>
      <c r="H34" s="1">
        <v>106000</v>
      </c>
      <c r="I34" s="1">
        <v>775</v>
      </c>
      <c r="J34" s="1">
        <v>536</v>
      </c>
      <c r="K34" s="1">
        <v>12</v>
      </c>
      <c r="L34" s="1">
        <v>140</v>
      </c>
      <c r="M34" s="1" t="s">
        <v>32</v>
      </c>
      <c r="N34" s="1" t="s">
        <v>27</v>
      </c>
    </row>
    <row r="35" spans="1:14">
      <c r="A35" s="1">
        <v>1541931</v>
      </c>
      <c r="B35" s="1" t="s">
        <v>19</v>
      </c>
      <c r="C35" s="1" t="s">
        <v>15</v>
      </c>
      <c r="D35" s="2">
        <v>20458</v>
      </c>
      <c r="E35" s="1" t="s">
        <v>16</v>
      </c>
      <c r="F35" s="1">
        <v>3</v>
      </c>
      <c r="G35" s="1">
        <v>90011</v>
      </c>
      <c r="H35" s="1">
        <v>55000</v>
      </c>
      <c r="I35" s="1">
        <v>561</v>
      </c>
      <c r="J35" s="1">
        <v>587</v>
      </c>
      <c r="K35" s="1">
        <v>11</v>
      </c>
      <c r="L35" s="1">
        <v>302</v>
      </c>
      <c r="M35" s="1" t="s">
        <v>31</v>
      </c>
      <c r="N35" s="1" t="s">
        <v>22</v>
      </c>
    </row>
    <row r="36" spans="1:14">
      <c r="A36" s="1">
        <v>1542099</v>
      </c>
      <c r="B36" s="1" t="s">
        <v>19</v>
      </c>
      <c r="C36" s="1" t="s">
        <v>28</v>
      </c>
      <c r="D36" s="2">
        <v>30869</v>
      </c>
      <c r="E36" s="1" t="s">
        <v>16</v>
      </c>
      <c r="F36" s="1">
        <v>2</v>
      </c>
      <c r="G36" s="1">
        <v>90038</v>
      </c>
      <c r="H36" s="1">
        <v>86000</v>
      </c>
      <c r="I36" s="1">
        <v>234</v>
      </c>
      <c r="J36" s="1">
        <v>314</v>
      </c>
      <c r="K36" s="1">
        <v>7</v>
      </c>
      <c r="L36" s="1">
        <v>96</v>
      </c>
      <c r="M36" s="1" t="s">
        <v>32</v>
      </c>
      <c r="N36" s="1" t="s">
        <v>18</v>
      </c>
    </row>
    <row r="37" spans="1:14">
      <c r="A37" s="1">
        <v>1542147</v>
      </c>
      <c r="B37" s="1" t="s">
        <v>19</v>
      </c>
      <c r="C37" s="1" t="s">
        <v>15</v>
      </c>
      <c r="D37" s="2">
        <v>32594</v>
      </c>
      <c r="E37" s="1" t="s">
        <v>16</v>
      </c>
      <c r="F37" s="1">
        <v>5</v>
      </c>
      <c r="G37" s="1">
        <v>90030</v>
      </c>
      <c r="H37" s="1">
        <v>51000</v>
      </c>
      <c r="I37" s="1">
        <v>398</v>
      </c>
      <c r="J37" s="1">
        <v>573</v>
      </c>
      <c r="K37" s="1">
        <v>8</v>
      </c>
      <c r="L37" s="1">
        <v>218</v>
      </c>
      <c r="M37" s="1" t="s">
        <v>31</v>
      </c>
      <c r="N37" s="1" t="s">
        <v>18</v>
      </c>
    </row>
    <row r="38" spans="1:14">
      <c r="A38" s="1">
        <v>1542352</v>
      </c>
      <c r="B38" s="1" t="s">
        <v>19</v>
      </c>
      <c r="C38" s="1" t="s">
        <v>20</v>
      </c>
      <c r="D38" s="2">
        <v>28583</v>
      </c>
      <c r="E38" s="1" t="s">
        <v>16</v>
      </c>
      <c r="F38" s="1">
        <v>4</v>
      </c>
      <c r="G38" s="1">
        <v>90048</v>
      </c>
      <c r="H38" s="1">
        <v>60000</v>
      </c>
      <c r="I38" s="1">
        <v>84</v>
      </c>
      <c r="J38" s="1">
        <v>132</v>
      </c>
      <c r="K38" s="1">
        <v>3</v>
      </c>
      <c r="L38" s="1">
        <v>349</v>
      </c>
      <c r="M38" s="1" t="s">
        <v>21</v>
      </c>
      <c r="N38" s="1" t="s">
        <v>18</v>
      </c>
    </row>
    <row r="39" spans="1:14">
      <c r="A39" s="1">
        <v>1542818</v>
      </c>
      <c r="B39" s="1" t="s">
        <v>14</v>
      </c>
      <c r="C39" s="1" t="s">
        <v>20</v>
      </c>
      <c r="D39" s="2">
        <v>22260</v>
      </c>
      <c r="E39" s="1" t="s">
        <v>16</v>
      </c>
      <c r="F39" s="1">
        <v>1</v>
      </c>
      <c r="G39" s="1">
        <v>90048</v>
      </c>
      <c r="H39" s="1">
        <v>63000</v>
      </c>
      <c r="I39" s="1">
        <v>969</v>
      </c>
      <c r="J39" s="1">
        <v>814</v>
      </c>
      <c r="K39" s="1">
        <v>14</v>
      </c>
      <c r="L39" s="1">
        <v>58</v>
      </c>
      <c r="M39" s="1" t="s">
        <v>21</v>
      </c>
      <c r="N39" s="1" t="s">
        <v>22</v>
      </c>
    </row>
    <row r="40" spans="1:14">
      <c r="A40" s="1">
        <v>1543502</v>
      </c>
      <c r="B40" s="1" t="s">
        <v>19</v>
      </c>
      <c r="C40" s="1" t="s">
        <v>24</v>
      </c>
      <c r="D40" s="2">
        <v>30047</v>
      </c>
      <c r="E40" s="1" t="s">
        <v>16</v>
      </c>
      <c r="F40" s="1">
        <v>2</v>
      </c>
      <c r="G40" s="1">
        <v>90007</v>
      </c>
      <c r="H40" s="1">
        <v>55000</v>
      </c>
      <c r="I40" s="1">
        <v>461</v>
      </c>
      <c r="J40" s="1">
        <v>563</v>
      </c>
      <c r="K40" s="1">
        <v>12</v>
      </c>
      <c r="L40" s="1">
        <v>17</v>
      </c>
      <c r="M40" s="1" t="s">
        <v>31</v>
      </c>
      <c r="N40" s="1" t="s">
        <v>18</v>
      </c>
    </row>
    <row r="41" spans="1:14">
      <c r="A41" s="1">
        <v>1543582</v>
      </c>
      <c r="B41" s="1" t="s">
        <v>19</v>
      </c>
      <c r="C41" s="1" t="s">
        <v>20</v>
      </c>
      <c r="D41" s="2">
        <v>26777</v>
      </c>
      <c r="E41" s="1" t="s">
        <v>16</v>
      </c>
      <c r="F41" s="1">
        <v>3</v>
      </c>
      <c r="G41" s="1">
        <v>90047</v>
      </c>
      <c r="H41" s="1">
        <v>101000</v>
      </c>
      <c r="I41" s="1">
        <v>1166</v>
      </c>
      <c r="J41" s="1">
        <v>1064</v>
      </c>
      <c r="K41" s="1">
        <v>13</v>
      </c>
      <c r="L41" s="1">
        <v>108</v>
      </c>
      <c r="M41" s="1" t="s">
        <v>32</v>
      </c>
      <c r="N41" s="1" t="s">
        <v>26</v>
      </c>
    </row>
    <row r="42" spans="1:14">
      <c r="A42" s="1">
        <v>1543734</v>
      </c>
      <c r="B42" s="1" t="s">
        <v>19</v>
      </c>
      <c r="C42" s="1" t="s">
        <v>29</v>
      </c>
      <c r="D42" s="2">
        <v>32938</v>
      </c>
      <c r="E42" s="1" t="s">
        <v>16</v>
      </c>
      <c r="F42" s="1">
        <v>5</v>
      </c>
      <c r="G42" s="1">
        <v>90042</v>
      </c>
      <c r="H42" s="1">
        <v>69000</v>
      </c>
      <c r="I42" s="1">
        <v>390</v>
      </c>
      <c r="J42" s="1">
        <v>442</v>
      </c>
      <c r="K42" s="1">
        <v>3</v>
      </c>
      <c r="L42" s="1">
        <v>265</v>
      </c>
      <c r="M42" s="1" t="s">
        <v>31</v>
      </c>
      <c r="N42" s="1" t="s">
        <v>22</v>
      </c>
    </row>
    <row r="43" spans="1:14">
      <c r="A43" s="1">
        <v>1543850</v>
      </c>
      <c r="B43" s="1" t="s">
        <v>19</v>
      </c>
      <c r="C43" s="1" t="s">
        <v>20</v>
      </c>
      <c r="D43" s="2">
        <v>19700</v>
      </c>
      <c r="E43" s="1" t="s">
        <v>16</v>
      </c>
      <c r="F43" s="1">
        <v>1</v>
      </c>
      <c r="G43" s="1">
        <v>90008</v>
      </c>
      <c r="H43" s="1">
        <v>66000</v>
      </c>
      <c r="I43" s="1">
        <v>1851</v>
      </c>
      <c r="J43" s="1">
        <v>1241</v>
      </c>
      <c r="K43" s="1">
        <v>21</v>
      </c>
      <c r="L43" s="1">
        <v>315</v>
      </c>
      <c r="M43" s="1" t="s">
        <v>23</v>
      </c>
      <c r="N43" s="1" t="s">
        <v>18</v>
      </c>
    </row>
    <row r="44" spans="1:14">
      <c r="A44" s="1">
        <v>1543988</v>
      </c>
      <c r="B44" s="1" t="s">
        <v>19</v>
      </c>
      <c r="C44" s="1" t="s">
        <v>24</v>
      </c>
      <c r="D44" s="2">
        <v>23181</v>
      </c>
      <c r="E44" s="1" t="s">
        <v>16</v>
      </c>
      <c r="F44" s="1">
        <v>3</v>
      </c>
      <c r="G44" s="1">
        <v>90060</v>
      </c>
      <c r="H44" s="1">
        <v>83000</v>
      </c>
      <c r="I44" s="1">
        <v>449</v>
      </c>
      <c r="J44" s="1">
        <v>813</v>
      </c>
      <c r="K44" s="1">
        <v>11</v>
      </c>
      <c r="L44" s="1">
        <v>263</v>
      </c>
      <c r="M44" s="1" t="s">
        <v>31</v>
      </c>
      <c r="N44" s="1" t="s">
        <v>26</v>
      </c>
    </row>
    <row r="45" spans="1:14">
      <c r="A45" s="1">
        <v>1544003</v>
      </c>
      <c r="B45" s="1" t="s">
        <v>19</v>
      </c>
      <c r="C45" s="1" t="s">
        <v>24</v>
      </c>
      <c r="D45" s="2">
        <v>30810</v>
      </c>
      <c r="E45" s="1" t="s">
        <v>16</v>
      </c>
      <c r="F45" s="1">
        <v>4</v>
      </c>
      <c r="G45" s="1">
        <v>90010</v>
      </c>
      <c r="H45" s="1">
        <v>68000</v>
      </c>
      <c r="I45" s="1">
        <v>1357</v>
      </c>
      <c r="J45" s="1">
        <v>1214</v>
      </c>
      <c r="K45" s="1">
        <v>31</v>
      </c>
      <c r="L45" s="1">
        <v>95</v>
      </c>
      <c r="M45" s="1" t="s">
        <v>31</v>
      </c>
      <c r="N45" s="1" t="s">
        <v>27</v>
      </c>
    </row>
    <row r="46" spans="1:14">
      <c r="A46" s="1">
        <v>1544391</v>
      </c>
      <c r="B46" s="1" t="s">
        <v>19</v>
      </c>
      <c r="C46" s="1" t="s">
        <v>20</v>
      </c>
      <c r="D46" s="2">
        <v>35662</v>
      </c>
      <c r="E46" s="1" t="s">
        <v>16</v>
      </c>
      <c r="F46" s="1">
        <v>2</v>
      </c>
      <c r="G46" s="1">
        <v>90005</v>
      </c>
      <c r="H46" s="1">
        <v>68000</v>
      </c>
      <c r="I46" s="1">
        <v>1314</v>
      </c>
      <c r="J46" s="1">
        <v>1027</v>
      </c>
      <c r="K46" s="1">
        <v>25</v>
      </c>
      <c r="L46" s="1">
        <v>92</v>
      </c>
      <c r="M46" s="1" t="s">
        <v>31</v>
      </c>
      <c r="N46" s="1" t="s">
        <v>22</v>
      </c>
    </row>
    <row r="47" spans="1:14">
      <c r="A47" s="1">
        <v>1544417</v>
      </c>
      <c r="B47" s="1" t="s">
        <v>19</v>
      </c>
      <c r="C47" s="1" t="s">
        <v>24</v>
      </c>
      <c r="D47" s="2">
        <v>29294</v>
      </c>
      <c r="E47" s="1" t="s">
        <v>16</v>
      </c>
      <c r="F47" s="1">
        <v>4</v>
      </c>
      <c r="G47" s="1">
        <v>90040</v>
      </c>
      <c r="H47" s="1">
        <v>46000</v>
      </c>
      <c r="I47" s="1">
        <v>299</v>
      </c>
      <c r="J47" s="1">
        <v>369</v>
      </c>
      <c r="K47" s="1">
        <v>3</v>
      </c>
      <c r="L47" s="1">
        <v>281</v>
      </c>
      <c r="M47" s="1" t="s">
        <v>31</v>
      </c>
      <c r="N47" s="1" t="s">
        <v>22</v>
      </c>
    </row>
    <row r="48" spans="1:14">
      <c r="A48" s="1">
        <v>1544461</v>
      </c>
      <c r="B48" s="1" t="s">
        <v>14</v>
      </c>
      <c r="C48" s="1" t="s">
        <v>15</v>
      </c>
      <c r="D48" s="2">
        <v>26514</v>
      </c>
      <c r="E48" s="1" t="s">
        <v>25</v>
      </c>
      <c r="F48" s="1">
        <v>5</v>
      </c>
      <c r="G48" s="1">
        <v>90033</v>
      </c>
      <c r="H48" s="1">
        <v>47000</v>
      </c>
      <c r="I48" s="1">
        <v>328</v>
      </c>
      <c r="J48" s="1">
        <v>300</v>
      </c>
      <c r="K48" s="1">
        <v>4</v>
      </c>
      <c r="L48" s="1">
        <v>66</v>
      </c>
      <c r="M48" s="1" t="s">
        <v>21</v>
      </c>
      <c r="N48" s="1" t="s">
        <v>18</v>
      </c>
    </row>
    <row r="49" spans="1:14">
      <c r="A49" s="1">
        <v>1544588</v>
      </c>
      <c r="B49" s="1" t="s">
        <v>19</v>
      </c>
      <c r="C49" s="1" t="s">
        <v>20</v>
      </c>
      <c r="D49" s="2">
        <v>34943</v>
      </c>
      <c r="E49" s="1" t="s">
        <v>16</v>
      </c>
      <c r="F49" s="1">
        <v>3</v>
      </c>
      <c r="G49" s="1">
        <v>90028</v>
      </c>
      <c r="H49" s="1">
        <v>78000</v>
      </c>
      <c r="I49" s="1">
        <v>562</v>
      </c>
      <c r="J49" s="1">
        <v>1057</v>
      </c>
      <c r="K49" s="1">
        <v>16</v>
      </c>
      <c r="L49" s="1">
        <v>224</v>
      </c>
      <c r="M49" s="1" t="s">
        <v>21</v>
      </c>
      <c r="N49" s="1" t="s">
        <v>18</v>
      </c>
    </row>
    <row r="50" spans="1:14">
      <c r="A50" s="1">
        <v>1544628</v>
      </c>
      <c r="B50" s="1" t="s">
        <v>19</v>
      </c>
      <c r="C50" s="1" t="s">
        <v>20</v>
      </c>
      <c r="D50" s="2">
        <v>30574</v>
      </c>
      <c r="E50" s="1" t="s">
        <v>16</v>
      </c>
      <c r="F50" s="1">
        <v>3</v>
      </c>
      <c r="G50" s="1">
        <v>90021</v>
      </c>
      <c r="H50" s="1">
        <v>69000</v>
      </c>
      <c r="I50" s="1">
        <v>215</v>
      </c>
      <c r="J50" s="1">
        <v>173</v>
      </c>
      <c r="K50" s="1">
        <v>3</v>
      </c>
      <c r="L50" s="1">
        <v>11</v>
      </c>
      <c r="M50" s="1" t="s">
        <v>31</v>
      </c>
      <c r="N50" s="1" t="s">
        <v>26</v>
      </c>
    </row>
    <row r="51" spans="1:14">
      <c r="A51" s="1">
        <v>1544649</v>
      </c>
      <c r="B51" s="1" t="s">
        <v>19</v>
      </c>
      <c r="C51" s="1" t="s">
        <v>20</v>
      </c>
      <c r="D51" s="2">
        <v>22969</v>
      </c>
      <c r="E51" s="1" t="s">
        <v>25</v>
      </c>
      <c r="F51" s="1">
        <v>4</v>
      </c>
      <c r="G51" s="1">
        <v>90055</v>
      </c>
      <c r="H51" s="1">
        <v>55000</v>
      </c>
      <c r="I51" s="1">
        <v>1081</v>
      </c>
      <c r="J51" s="1">
        <v>1116</v>
      </c>
      <c r="K51" s="1">
        <v>28</v>
      </c>
      <c r="L51" s="1">
        <v>328</v>
      </c>
      <c r="M51" s="1" t="s">
        <v>32</v>
      </c>
      <c r="N51" s="1" t="s">
        <v>22</v>
      </c>
    </row>
    <row r="52" spans="1:14">
      <c r="A52" s="1">
        <v>1544764</v>
      </c>
      <c r="B52" s="1" t="s">
        <v>14</v>
      </c>
      <c r="C52" s="1" t="s">
        <v>15</v>
      </c>
      <c r="D52" s="2">
        <v>35049</v>
      </c>
      <c r="E52" s="1" t="s">
        <v>16</v>
      </c>
      <c r="F52" s="1">
        <v>5</v>
      </c>
      <c r="G52" s="1">
        <v>90045</v>
      </c>
      <c r="H52" s="1">
        <v>97000</v>
      </c>
      <c r="I52" s="1">
        <v>1272</v>
      </c>
      <c r="J52" s="1">
        <v>911</v>
      </c>
      <c r="K52" s="1">
        <v>16</v>
      </c>
      <c r="L52" s="1">
        <v>59</v>
      </c>
      <c r="M52" s="1" t="s">
        <v>31</v>
      </c>
      <c r="N52" s="1" t="s">
        <v>26</v>
      </c>
    </row>
    <row r="53" spans="1:14">
      <c r="A53" s="1">
        <v>1545054</v>
      </c>
      <c r="B53" s="1" t="s">
        <v>19</v>
      </c>
      <c r="C53" s="1" t="s">
        <v>24</v>
      </c>
      <c r="D53" s="2">
        <v>30813</v>
      </c>
      <c r="E53" s="1" t="s">
        <v>16</v>
      </c>
      <c r="F53" s="1">
        <v>5</v>
      </c>
      <c r="G53" s="1">
        <v>90014</v>
      </c>
      <c r="H53" s="1">
        <v>102000</v>
      </c>
      <c r="I53" s="1">
        <v>356</v>
      </c>
      <c r="J53" s="1">
        <v>626</v>
      </c>
      <c r="K53" s="1">
        <v>9</v>
      </c>
      <c r="L53" s="1">
        <v>320</v>
      </c>
      <c r="M53" s="1" t="s">
        <v>23</v>
      </c>
      <c r="N53" s="1" t="s">
        <v>27</v>
      </c>
    </row>
    <row r="54" spans="1:14">
      <c r="A54" s="1">
        <v>1545822</v>
      </c>
      <c r="B54" s="1" t="s">
        <v>19</v>
      </c>
      <c r="C54" s="1" t="s">
        <v>24</v>
      </c>
      <c r="D54" s="2">
        <v>23667</v>
      </c>
      <c r="E54" s="1" t="s">
        <v>16</v>
      </c>
      <c r="F54" s="1">
        <v>4</v>
      </c>
      <c r="G54" s="1">
        <v>90023</v>
      </c>
      <c r="H54" s="1">
        <v>96000</v>
      </c>
      <c r="I54" s="1">
        <v>613</v>
      </c>
      <c r="J54" s="1">
        <v>1196</v>
      </c>
      <c r="K54" s="1">
        <v>9</v>
      </c>
      <c r="L54" s="1">
        <v>240</v>
      </c>
      <c r="M54" s="1" t="s">
        <v>23</v>
      </c>
      <c r="N54" s="1" t="s">
        <v>26</v>
      </c>
    </row>
    <row r="55" spans="1:14">
      <c r="A55" s="1">
        <v>1546050</v>
      </c>
      <c r="B55" s="1" t="s">
        <v>19</v>
      </c>
      <c r="C55" s="1" t="s">
        <v>15</v>
      </c>
      <c r="D55" s="2">
        <v>23804</v>
      </c>
      <c r="E55" s="1" t="s">
        <v>16</v>
      </c>
      <c r="F55" s="1">
        <v>2</v>
      </c>
      <c r="G55" s="1">
        <v>90050</v>
      </c>
      <c r="H55" s="1">
        <v>148000</v>
      </c>
      <c r="I55" s="1">
        <v>1172</v>
      </c>
      <c r="J55" s="1">
        <v>892</v>
      </c>
      <c r="K55" s="1">
        <v>19</v>
      </c>
      <c r="L55" s="1">
        <v>9</v>
      </c>
      <c r="M55" s="1" t="s">
        <v>31</v>
      </c>
      <c r="N55" s="1" t="s">
        <v>22</v>
      </c>
    </row>
    <row r="56" spans="1:14">
      <c r="A56" s="1">
        <v>1546105</v>
      </c>
      <c r="B56" s="1" t="s">
        <v>19</v>
      </c>
      <c r="C56" s="1" t="s">
        <v>15</v>
      </c>
      <c r="D56" s="2">
        <v>22110</v>
      </c>
      <c r="E56" s="1" t="s">
        <v>16</v>
      </c>
      <c r="F56" s="1">
        <v>2</v>
      </c>
      <c r="G56" s="1">
        <v>90033</v>
      </c>
      <c r="H56" s="1">
        <v>123000</v>
      </c>
      <c r="I56" s="1">
        <v>1000</v>
      </c>
      <c r="J56" s="1">
        <v>799</v>
      </c>
      <c r="K56" s="1">
        <v>8</v>
      </c>
      <c r="L56" s="1">
        <v>360</v>
      </c>
      <c r="M56" s="1" t="s">
        <v>31</v>
      </c>
      <c r="N56" s="1" t="s">
        <v>27</v>
      </c>
    </row>
    <row r="57" spans="1:14">
      <c r="A57" s="1">
        <v>1546138</v>
      </c>
      <c r="B57" s="1" t="s">
        <v>14</v>
      </c>
      <c r="C57" s="1" t="s">
        <v>15</v>
      </c>
      <c r="D57" s="2">
        <v>29653</v>
      </c>
      <c r="E57" s="1" t="s">
        <v>16</v>
      </c>
      <c r="F57" s="1">
        <v>1</v>
      </c>
      <c r="G57" s="1">
        <v>90024</v>
      </c>
      <c r="H57" s="1">
        <v>72000</v>
      </c>
      <c r="I57" s="1">
        <v>1170</v>
      </c>
      <c r="J57" s="1">
        <v>1125</v>
      </c>
      <c r="K57" s="1">
        <v>26</v>
      </c>
      <c r="L57" s="1">
        <v>100</v>
      </c>
      <c r="M57" s="1" t="s">
        <v>31</v>
      </c>
      <c r="N57" s="1" t="s">
        <v>18</v>
      </c>
    </row>
    <row r="58" spans="1:14">
      <c r="A58" s="1">
        <v>1546179</v>
      </c>
      <c r="B58" s="1" t="s">
        <v>14</v>
      </c>
      <c r="C58" s="1" t="s">
        <v>15</v>
      </c>
      <c r="D58" s="2">
        <v>27294</v>
      </c>
      <c r="E58" s="1" t="s">
        <v>16</v>
      </c>
      <c r="F58" s="1">
        <v>4</v>
      </c>
      <c r="G58" s="1">
        <v>90034</v>
      </c>
      <c r="H58" s="1">
        <v>50000</v>
      </c>
      <c r="I58" s="1">
        <v>911</v>
      </c>
      <c r="J58" s="1">
        <v>850</v>
      </c>
      <c r="K58" s="1">
        <v>10</v>
      </c>
      <c r="L58" s="1">
        <v>47</v>
      </c>
      <c r="M58" s="1" t="s">
        <v>31</v>
      </c>
      <c r="N58" s="1" t="s">
        <v>18</v>
      </c>
    </row>
    <row r="59" spans="1:14">
      <c r="A59" s="1">
        <v>1546224</v>
      </c>
      <c r="B59" s="1" t="s">
        <v>14</v>
      </c>
      <c r="C59" s="1" t="s">
        <v>28</v>
      </c>
      <c r="D59" s="2">
        <v>29489</v>
      </c>
      <c r="E59" s="1" t="s">
        <v>16</v>
      </c>
      <c r="F59" s="1">
        <v>5</v>
      </c>
      <c r="G59" s="1">
        <v>90043</v>
      </c>
      <c r="H59" s="1">
        <v>99000</v>
      </c>
      <c r="I59" s="1">
        <v>228</v>
      </c>
      <c r="J59" s="1">
        <v>417</v>
      </c>
      <c r="K59" s="1">
        <v>9</v>
      </c>
      <c r="L59" s="1">
        <v>76</v>
      </c>
      <c r="M59" s="1" t="s">
        <v>31</v>
      </c>
      <c r="N59" s="1" t="s">
        <v>26</v>
      </c>
    </row>
    <row r="60" spans="1:14">
      <c r="A60" s="1">
        <v>1546623</v>
      </c>
      <c r="B60" s="1" t="s">
        <v>14</v>
      </c>
      <c r="C60" s="1" t="s">
        <v>24</v>
      </c>
      <c r="D60" s="2">
        <v>29365</v>
      </c>
      <c r="E60" s="1" t="s">
        <v>16</v>
      </c>
      <c r="F60" s="1">
        <v>2</v>
      </c>
      <c r="G60" s="1">
        <v>90029</v>
      </c>
      <c r="H60" s="1">
        <v>56000</v>
      </c>
      <c r="I60" s="1">
        <v>723</v>
      </c>
      <c r="J60" s="1">
        <v>1038</v>
      </c>
      <c r="K60" s="1">
        <v>22</v>
      </c>
      <c r="L60" s="1">
        <v>188</v>
      </c>
      <c r="M60" s="1" t="s">
        <v>31</v>
      </c>
      <c r="N60" s="1" t="s">
        <v>27</v>
      </c>
    </row>
    <row r="61" spans="1:14">
      <c r="A61" s="1">
        <v>1546870</v>
      </c>
      <c r="B61" s="1" t="s">
        <v>14</v>
      </c>
      <c r="C61" s="1" t="s">
        <v>15</v>
      </c>
      <c r="D61" s="2">
        <v>23155</v>
      </c>
      <c r="E61" s="1" t="s">
        <v>16</v>
      </c>
      <c r="F61" s="1">
        <v>4</v>
      </c>
      <c r="G61" s="1">
        <v>90062</v>
      </c>
      <c r="H61" s="1">
        <v>71000</v>
      </c>
      <c r="I61" s="1">
        <v>870</v>
      </c>
      <c r="J61" s="1">
        <v>1127</v>
      </c>
      <c r="K61" s="1">
        <v>19</v>
      </c>
      <c r="L61" s="1">
        <v>40</v>
      </c>
      <c r="M61" s="1" t="s">
        <v>23</v>
      </c>
      <c r="N61" s="1" t="s">
        <v>27</v>
      </c>
    </row>
    <row r="62" spans="1:14">
      <c r="A62" s="1">
        <v>1547473</v>
      </c>
      <c r="B62" s="1" t="s">
        <v>19</v>
      </c>
      <c r="C62" s="1" t="s">
        <v>20</v>
      </c>
      <c r="D62" s="2">
        <v>33934</v>
      </c>
      <c r="E62" s="1" t="s">
        <v>16</v>
      </c>
      <c r="F62" s="1">
        <v>4</v>
      </c>
      <c r="G62" s="1">
        <v>90027</v>
      </c>
      <c r="H62" s="1">
        <v>65000</v>
      </c>
      <c r="I62" s="1">
        <v>42</v>
      </c>
      <c r="J62" s="1">
        <v>78</v>
      </c>
      <c r="K62" s="1">
        <v>2</v>
      </c>
      <c r="L62" s="1">
        <v>11</v>
      </c>
      <c r="M62" s="1" t="s">
        <v>31</v>
      </c>
      <c r="N62" s="1" t="s">
        <v>27</v>
      </c>
    </row>
    <row r="63" spans="1:14">
      <c r="A63" s="1">
        <v>1547620</v>
      </c>
      <c r="B63" s="1" t="s">
        <v>19</v>
      </c>
      <c r="C63" s="1" t="s">
        <v>20</v>
      </c>
      <c r="D63" s="2">
        <v>22955</v>
      </c>
      <c r="E63" s="1" t="s">
        <v>16</v>
      </c>
      <c r="F63" s="1">
        <v>2</v>
      </c>
      <c r="G63" s="1">
        <v>90001</v>
      </c>
      <c r="H63" s="1">
        <v>63000</v>
      </c>
      <c r="I63" s="1">
        <v>95</v>
      </c>
      <c r="J63" s="1">
        <v>113</v>
      </c>
      <c r="K63" s="1">
        <v>2</v>
      </c>
      <c r="L63" s="1">
        <v>241</v>
      </c>
      <c r="M63" s="1" t="s">
        <v>31</v>
      </c>
      <c r="N63" s="1" t="s">
        <v>22</v>
      </c>
    </row>
    <row r="64" spans="1:14">
      <c r="A64" s="1">
        <v>1547771</v>
      </c>
      <c r="B64" s="1" t="s">
        <v>19</v>
      </c>
      <c r="C64" s="1" t="s">
        <v>28</v>
      </c>
      <c r="D64" s="2">
        <v>35134</v>
      </c>
      <c r="E64" s="1" t="s">
        <v>16</v>
      </c>
      <c r="F64" s="1">
        <v>3</v>
      </c>
      <c r="G64" s="1">
        <v>90023</v>
      </c>
      <c r="H64" s="1">
        <v>56000</v>
      </c>
      <c r="I64" s="1">
        <v>679</v>
      </c>
      <c r="J64" s="1">
        <v>790</v>
      </c>
      <c r="K64" s="1">
        <v>10</v>
      </c>
      <c r="L64" s="1">
        <v>352</v>
      </c>
      <c r="M64" s="1" t="s">
        <v>21</v>
      </c>
      <c r="N64" s="1" t="s">
        <v>26</v>
      </c>
    </row>
    <row r="65" spans="1:14">
      <c r="A65" s="1">
        <v>1547864</v>
      </c>
      <c r="B65" s="1" t="s">
        <v>14</v>
      </c>
      <c r="C65" s="1" t="s">
        <v>24</v>
      </c>
      <c r="D65" s="2">
        <v>31943</v>
      </c>
      <c r="E65" s="1" t="s">
        <v>16</v>
      </c>
      <c r="F65" s="1">
        <v>2</v>
      </c>
      <c r="G65" s="1">
        <v>90050</v>
      </c>
      <c r="H65" s="1">
        <v>44000</v>
      </c>
      <c r="I65" s="1">
        <v>397</v>
      </c>
      <c r="J65" s="1">
        <v>500</v>
      </c>
      <c r="K65" s="1">
        <v>5</v>
      </c>
      <c r="L65" s="1">
        <v>333</v>
      </c>
      <c r="M65" s="1" t="s">
        <v>31</v>
      </c>
      <c r="N65" s="1" t="s">
        <v>22</v>
      </c>
    </row>
    <row r="66" spans="1:14">
      <c r="A66" s="1">
        <v>1548038</v>
      </c>
      <c r="B66" s="1" t="s">
        <v>19</v>
      </c>
      <c r="C66" s="1" t="s">
        <v>24</v>
      </c>
      <c r="D66" s="2">
        <v>35351</v>
      </c>
      <c r="E66" s="1" t="s">
        <v>25</v>
      </c>
      <c r="F66" s="1">
        <v>3</v>
      </c>
      <c r="G66" s="1">
        <v>90014</v>
      </c>
      <c r="H66" s="1">
        <v>72000</v>
      </c>
      <c r="I66" s="1">
        <v>182</v>
      </c>
      <c r="J66" s="1">
        <v>163</v>
      </c>
      <c r="K66" s="1">
        <v>1</v>
      </c>
      <c r="L66" s="1">
        <v>52</v>
      </c>
      <c r="M66" s="1" t="s">
        <v>31</v>
      </c>
      <c r="N66" s="1" t="s">
        <v>26</v>
      </c>
    </row>
    <row r="67" spans="1:14">
      <c r="A67" s="1">
        <v>1548419</v>
      </c>
      <c r="B67" s="1" t="s">
        <v>14</v>
      </c>
      <c r="C67" s="1" t="s">
        <v>24</v>
      </c>
      <c r="D67" s="2">
        <v>19871</v>
      </c>
      <c r="E67" s="1" t="s">
        <v>25</v>
      </c>
      <c r="F67" s="1">
        <v>4</v>
      </c>
      <c r="G67" s="1">
        <v>90067</v>
      </c>
      <c r="H67" s="1">
        <v>42000</v>
      </c>
      <c r="I67" s="1">
        <v>476</v>
      </c>
      <c r="J67" s="1">
        <v>453</v>
      </c>
      <c r="K67" s="1">
        <v>4</v>
      </c>
      <c r="L67" s="1">
        <v>26</v>
      </c>
      <c r="M67" s="1" t="s">
        <v>23</v>
      </c>
      <c r="N67" s="1" t="s">
        <v>27</v>
      </c>
    </row>
    <row r="68" spans="1:14">
      <c r="A68" s="1">
        <v>1549186</v>
      </c>
      <c r="B68" s="1" t="s">
        <v>19</v>
      </c>
      <c r="C68" s="1" t="s">
        <v>24</v>
      </c>
      <c r="D68" s="2">
        <v>20897</v>
      </c>
      <c r="E68" s="1" t="s">
        <v>16</v>
      </c>
      <c r="F68" s="1">
        <v>2</v>
      </c>
      <c r="G68" s="1">
        <v>90045</v>
      </c>
      <c r="H68" s="1">
        <v>94000</v>
      </c>
      <c r="I68" s="1">
        <v>967</v>
      </c>
      <c r="J68" s="1">
        <v>764</v>
      </c>
      <c r="K68" s="1">
        <v>7</v>
      </c>
      <c r="L68" s="1">
        <v>262</v>
      </c>
      <c r="M68" s="1" t="s">
        <v>21</v>
      </c>
      <c r="N68" s="1" t="s">
        <v>22</v>
      </c>
    </row>
    <row r="69" spans="1:14">
      <c r="A69" s="1">
        <v>1549239</v>
      </c>
      <c r="B69" s="1" t="s">
        <v>19</v>
      </c>
      <c r="C69" s="1" t="s">
        <v>15</v>
      </c>
      <c r="D69" s="2">
        <v>33062</v>
      </c>
      <c r="E69" s="1" t="s">
        <v>16</v>
      </c>
      <c r="F69" s="1">
        <v>1</v>
      </c>
      <c r="G69" s="1">
        <v>90010</v>
      </c>
      <c r="H69" s="1">
        <v>151000</v>
      </c>
      <c r="I69" s="1">
        <v>667</v>
      </c>
      <c r="J69" s="1">
        <v>688</v>
      </c>
      <c r="K69" s="1">
        <v>17</v>
      </c>
      <c r="L69" s="1">
        <v>296</v>
      </c>
      <c r="M69" s="1" t="s">
        <v>23</v>
      </c>
      <c r="N69" s="1" t="s">
        <v>18</v>
      </c>
    </row>
    <row r="70" spans="1:14">
      <c r="A70" s="1">
        <v>1549430</v>
      </c>
      <c r="B70" s="1" t="s">
        <v>19</v>
      </c>
      <c r="C70" s="1" t="s">
        <v>20</v>
      </c>
      <c r="D70" s="2">
        <v>35880</v>
      </c>
      <c r="E70" s="1" t="s">
        <v>16</v>
      </c>
      <c r="F70" s="1">
        <v>2</v>
      </c>
      <c r="G70" s="1">
        <v>90066</v>
      </c>
      <c r="H70" s="1">
        <v>97000</v>
      </c>
      <c r="I70" s="1">
        <v>1334</v>
      </c>
      <c r="J70" s="1">
        <v>1020</v>
      </c>
      <c r="K70" s="1">
        <v>24</v>
      </c>
      <c r="L70" s="1">
        <v>176</v>
      </c>
      <c r="M70" s="1" t="s">
        <v>31</v>
      </c>
      <c r="N70" s="1" t="s">
        <v>22</v>
      </c>
    </row>
    <row r="71" spans="1:14">
      <c r="A71" s="1">
        <v>1549535</v>
      </c>
      <c r="B71" s="1" t="s">
        <v>19</v>
      </c>
      <c r="C71" s="1" t="s">
        <v>24</v>
      </c>
      <c r="D71" s="2">
        <v>22559</v>
      </c>
      <c r="E71" s="1" t="s">
        <v>16</v>
      </c>
      <c r="F71" s="1">
        <v>4</v>
      </c>
      <c r="G71" s="1">
        <v>90008</v>
      </c>
      <c r="H71" s="1">
        <v>87000</v>
      </c>
      <c r="I71" s="1">
        <v>438</v>
      </c>
      <c r="J71" s="1">
        <v>538</v>
      </c>
      <c r="K71" s="1">
        <v>8</v>
      </c>
      <c r="L71" s="1">
        <v>320</v>
      </c>
      <c r="M71" s="1" t="s">
        <v>31</v>
      </c>
      <c r="N71" s="1" t="s">
        <v>26</v>
      </c>
    </row>
    <row r="72" spans="1:14">
      <c r="A72" s="1">
        <v>1549652</v>
      </c>
      <c r="B72" s="1" t="s">
        <v>14</v>
      </c>
      <c r="C72" s="1" t="s">
        <v>15</v>
      </c>
      <c r="D72" s="2">
        <v>21157</v>
      </c>
      <c r="E72" s="1" t="s">
        <v>16</v>
      </c>
      <c r="F72" s="1">
        <v>4</v>
      </c>
      <c r="G72" s="1">
        <v>90025</v>
      </c>
      <c r="H72" s="1">
        <v>94000</v>
      </c>
      <c r="I72" s="1">
        <v>572</v>
      </c>
      <c r="J72" s="1">
        <v>767</v>
      </c>
      <c r="K72" s="1">
        <v>7</v>
      </c>
      <c r="L72" s="1">
        <v>227</v>
      </c>
      <c r="M72" s="1" t="s">
        <v>32</v>
      </c>
      <c r="N72" s="1" t="s">
        <v>22</v>
      </c>
    </row>
    <row r="73" spans="1:14">
      <c r="A73" s="1">
        <v>1549708</v>
      </c>
      <c r="B73" s="1" t="s">
        <v>19</v>
      </c>
      <c r="C73" s="1" t="s">
        <v>20</v>
      </c>
      <c r="D73" s="2">
        <v>23529</v>
      </c>
      <c r="E73" s="1" t="s">
        <v>16</v>
      </c>
      <c r="F73" s="1">
        <v>3</v>
      </c>
      <c r="G73" s="1">
        <v>90032</v>
      </c>
      <c r="H73" s="1">
        <v>78000</v>
      </c>
      <c r="I73" s="1">
        <v>516</v>
      </c>
      <c r="J73" s="1">
        <v>388</v>
      </c>
      <c r="K73" s="1">
        <v>8</v>
      </c>
      <c r="L73" s="1">
        <v>330</v>
      </c>
      <c r="M73" s="1" t="s">
        <v>23</v>
      </c>
      <c r="N73" s="1" t="s">
        <v>26</v>
      </c>
    </row>
    <row r="74" spans="1:14">
      <c r="A74" s="1">
        <v>1550134</v>
      </c>
      <c r="B74" s="1" t="s">
        <v>19</v>
      </c>
      <c r="C74" s="1" t="s">
        <v>28</v>
      </c>
      <c r="D74" s="2">
        <v>35437</v>
      </c>
      <c r="E74" s="1" t="s">
        <v>16</v>
      </c>
      <c r="F74" s="1">
        <v>4</v>
      </c>
      <c r="G74" s="1">
        <v>90021</v>
      </c>
      <c r="H74" s="1">
        <v>91000</v>
      </c>
      <c r="I74" s="1">
        <v>571</v>
      </c>
      <c r="J74" s="1">
        <v>423</v>
      </c>
      <c r="K74" s="1">
        <v>6</v>
      </c>
      <c r="L74" s="1">
        <v>18</v>
      </c>
      <c r="M74" s="1" t="s">
        <v>31</v>
      </c>
      <c r="N74" s="1" t="s">
        <v>22</v>
      </c>
    </row>
    <row r="75" spans="1:14">
      <c r="A75" s="1">
        <v>1550268</v>
      </c>
      <c r="B75" s="1" t="s">
        <v>14</v>
      </c>
      <c r="C75" s="1" t="s">
        <v>20</v>
      </c>
      <c r="D75" s="2">
        <v>33520</v>
      </c>
      <c r="E75" s="1" t="s">
        <v>16</v>
      </c>
      <c r="F75" s="1">
        <v>5</v>
      </c>
      <c r="G75" s="1">
        <v>90010</v>
      </c>
      <c r="H75" s="1">
        <v>62000</v>
      </c>
      <c r="I75" s="1">
        <v>986</v>
      </c>
      <c r="J75" s="1">
        <v>862</v>
      </c>
      <c r="K75" s="1">
        <v>19</v>
      </c>
      <c r="L75" s="1">
        <v>273</v>
      </c>
      <c r="M75" s="1" t="s">
        <v>23</v>
      </c>
      <c r="N75" s="1" t="s">
        <v>26</v>
      </c>
    </row>
    <row r="76" spans="1:14">
      <c r="A76" s="1">
        <v>1550307</v>
      </c>
      <c r="B76" s="1" t="s">
        <v>19</v>
      </c>
      <c r="C76" s="1" t="s">
        <v>28</v>
      </c>
      <c r="D76" s="2">
        <v>20054</v>
      </c>
      <c r="E76" s="1" t="s">
        <v>16</v>
      </c>
      <c r="F76" s="1">
        <v>1</v>
      </c>
      <c r="G76" s="1">
        <v>90013</v>
      </c>
      <c r="H76" s="1">
        <v>97000</v>
      </c>
      <c r="I76" s="1">
        <v>887</v>
      </c>
      <c r="J76" s="1">
        <v>1195</v>
      </c>
      <c r="K76" s="1">
        <v>12</v>
      </c>
      <c r="L76" s="1">
        <v>49</v>
      </c>
      <c r="M76" s="1" t="s">
        <v>32</v>
      </c>
      <c r="N76" s="1" t="s">
        <v>27</v>
      </c>
    </row>
    <row r="77" spans="1:14">
      <c r="A77" s="1">
        <v>1550486</v>
      </c>
      <c r="B77" s="1" t="s">
        <v>19</v>
      </c>
      <c r="C77" s="1" t="s">
        <v>20</v>
      </c>
      <c r="D77" s="2">
        <v>20207</v>
      </c>
      <c r="E77" s="1" t="s">
        <v>25</v>
      </c>
      <c r="F77" s="1">
        <v>3</v>
      </c>
      <c r="G77" s="1">
        <v>90001</v>
      </c>
      <c r="H77" s="1">
        <v>122000</v>
      </c>
      <c r="I77" s="1">
        <v>124</v>
      </c>
      <c r="J77" s="1">
        <v>130</v>
      </c>
      <c r="K77" s="1">
        <v>1</v>
      </c>
      <c r="L77" s="1">
        <v>205</v>
      </c>
      <c r="M77" s="1" t="s">
        <v>23</v>
      </c>
      <c r="N77" s="1" t="s">
        <v>22</v>
      </c>
    </row>
    <row r="78" spans="1:14">
      <c r="A78" s="1">
        <v>1550596</v>
      </c>
      <c r="B78" s="1" t="s">
        <v>14</v>
      </c>
      <c r="C78" s="1" t="s">
        <v>15</v>
      </c>
      <c r="D78" s="2">
        <v>31948</v>
      </c>
      <c r="E78" s="1" t="s">
        <v>16</v>
      </c>
      <c r="F78" s="1">
        <v>5</v>
      </c>
      <c r="G78" s="1">
        <v>90038</v>
      </c>
      <c r="H78" s="1">
        <v>92000</v>
      </c>
      <c r="I78" s="1">
        <v>125</v>
      </c>
      <c r="J78" s="1">
        <v>183</v>
      </c>
      <c r="K78" s="1">
        <v>1</v>
      </c>
      <c r="L78" s="1">
        <v>26</v>
      </c>
      <c r="M78" s="1" t="s">
        <v>21</v>
      </c>
      <c r="N78" s="1" t="s">
        <v>27</v>
      </c>
    </row>
    <row r="79" spans="1:14">
      <c r="A79" s="1">
        <v>1550597</v>
      </c>
      <c r="B79" s="1" t="s">
        <v>19</v>
      </c>
      <c r="C79" s="1" t="s">
        <v>20</v>
      </c>
      <c r="D79" s="2">
        <v>23135</v>
      </c>
      <c r="E79" s="1" t="s">
        <v>16</v>
      </c>
      <c r="F79" s="1">
        <v>1</v>
      </c>
      <c r="G79" s="1">
        <v>90020</v>
      </c>
      <c r="H79" s="1">
        <v>93000</v>
      </c>
      <c r="I79" s="1">
        <v>618</v>
      </c>
      <c r="J79" s="1">
        <v>489</v>
      </c>
      <c r="K79" s="1">
        <v>7</v>
      </c>
      <c r="L79" s="1">
        <v>308</v>
      </c>
      <c r="M79" s="1" t="s">
        <v>31</v>
      </c>
      <c r="N79" s="1" t="s">
        <v>22</v>
      </c>
    </row>
    <row r="80" spans="1:14">
      <c r="A80" s="1">
        <v>1550751</v>
      </c>
      <c r="B80" s="1" t="s">
        <v>19</v>
      </c>
      <c r="C80" s="1" t="s">
        <v>24</v>
      </c>
      <c r="D80" s="2">
        <v>19374</v>
      </c>
      <c r="E80" s="1" t="s">
        <v>16</v>
      </c>
      <c r="F80" s="1">
        <v>3</v>
      </c>
      <c r="G80" s="1">
        <v>90013</v>
      </c>
      <c r="H80" s="1">
        <v>56000</v>
      </c>
      <c r="I80" s="1">
        <v>65</v>
      </c>
      <c r="J80" s="1">
        <v>87</v>
      </c>
      <c r="K80" s="1">
        <v>1</v>
      </c>
      <c r="L80" s="1">
        <v>341</v>
      </c>
      <c r="M80" s="1" t="s">
        <v>31</v>
      </c>
      <c r="N80" s="1" t="s">
        <v>26</v>
      </c>
    </row>
    <row r="81" spans="1:14">
      <c r="A81" s="1">
        <v>1550842</v>
      </c>
      <c r="B81" s="1" t="s">
        <v>19</v>
      </c>
      <c r="C81" s="1" t="s">
        <v>20</v>
      </c>
      <c r="D81" s="2">
        <v>30989</v>
      </c>
      <c r="E81" s="1" t="s">
        <v>16</v>
      </c>
      <c r="F81" s="1">
        <v>4</v>
      </c>
      <c r="G81" s="1">
        <v>90053</v>
      </c>
      <c r="H81" s="1">
        <v>60000</v>
      </c>
      <c r="I81" s="1">
        <v>403</v>
      </c>
      <c r="J81" s="1">
        <v>684</v>
      </c>
      <c r="K81" s="1">
        <v>14</v>
      </c>
      <c r="L81" s="1">
        <v>195</v>
      </c>
      <c r="M81" s="1" t="s">
        <v>23</v>
      </c>
      <c r="N81" s="1" t="s">
        <v>22</v>
      </c>
    </row>
    <row r="82" spans="1:14">
      <c r="A82" s="1">
        <v>1550969</v>
      </c>
      <c r="B82" s="1" t="s">
        <v>14</v>
      </c>
      <c r="C82" s="1" t="s">
        <v>20</v>
      </c>
      <c r="D82" s="2">
        <v>28588</v>
      </c>
      <c r="E82" s="1" t="s">
        <v>16</v>
      </c>
      <c r="F82" s="1">
        <v>4</v>
      </c>
      <c r="G82" s="1">
        <v>90030</v>
      </c>
      <c r="H82" s="1">
        <v>47000</v>
      </c>
      <c r="I82" s="1">
        <v>1045</v>
      </c>
      <c r="J82" s="1">
        <v>774</v>
      </c>
      <c r="K82" s="1">
        <v>16</v>
      </c>
      <c r="L82" s="1">
        <v>76</v>
      </c>
      <c r="M82" s="1" t="s">
        <v>21</v>
      </c>
      <c r="N82" s="1" t="s">
        <v>22</v>
      </c>
    </row>
    <row r="83" spans="1:14">
      <c r="A83" s="1">
        <v>1551391</v>
      </c>
      <c r="B83" s="1" t="s">
        <v>14</v>
      </c>
      <c r="C83" s="1" t="s">
        <v>15</v>
      </c>
      <c r="D83" s="2">
        <v>31938</v>
      </c>
      <c r="E83" s="1" t="s">
        <v>16</v>
      </c>
      <c r="F83" s="1">
        <v>5</v>
      </c>
      <c r="G83" s="1">
        <v>90051</v>
      </c>
      <c r="H83" s="1">
        <v>63000</v>
      </c>
      <c r="I83" s="1">
        <v>105</v>
      </c>
      <c r="J83" s="1">
        <v>188</v>
      </c>
      <c r="K83" s="1">
        <v>4</v>
      </c>
      <c r="L83" s="1">
        <v>183</v>
      </c>
      <c r="M83" s="1" t="s">
        <v>31</v>
      </c>
      <c r="N83" s="1" t="s">
        <v>26</v>
      </c>
    </row>
    <row r="84" spans="1:14">
      <c r="A84" s="1">
        <v>1551454</v>
      </c>
      <c r="B84" s="1" t="s">
        <v>19</v>
      </c>
      <c r="C84" s="1" t="s">
        <v>15</v>
      </c>
      <c r="D84" s="2">
        <v>36377</v>
      </c>
      <c r="E84" s="1" t="s">
        <v>16</v>
      </c>
      <c r="F84" s="1">
        <v>3</v>
      </c>
      <c r="G84" s="1">
        <v>90034</v>
      </c>
      <c r="H84" s="1">
        <v>94000</v>
      </c>
      <c r="I84" s="1">
        <v>675</v>
      </c>
      <c r="J84" s="1">
        <v>580</v>
      </c>
      <c r="K84" s="1">
        <v>15</v>
      </c>
      <c r="L84" s="1">
        <v>342</v>
      </c>
      <c r="M84" s="1" t="s">
        <v>23</v>
      </c>
      <c r="N84" s="1" t="s">
        <v>26</v>
      </c>
    </row>
    <row r="85" spans="1:14">
      <c r="A85" s="1">
        <v>1551735</v>
      </c>
      <c r="B85" s="1" t="s">
        <v>19</v>
      </c>
      <c r="C85" s="1" t="s">
        <v>28</v>
      </c>
      <c r="D85" s="2">
        <v>28030</v>
      </c>
      <c r="E85" s="1" t="s">
        <v>16</v>
      </c>
      <c r="F85" s="1">
        <v>4</v>
      </c>
      <c r="G85" s="1">
        <v>90028</v>
      </c>
      <c r="H85" s="1">
        <v>73000</v>
      </c>
      <c r="I85" s="1">
        <v>107</v>
      </c>
      <c r="J85" s="1">
        <v>148</v>
      </c>
      <c r="K85" s="1">
        <v>4</v>
      </c>
      <c r="L85" s="1">
        <v>214</v>
      </c>
      <c r="M85" s="1" t="s">
        <v>21</v>
      </c>
      <c r="N85" s="1" t="s">
        <v>26</v>
      </c>
    </row>
    <row r="86" spans="1:14">
      <c r="A86" s="1">
        <v>1551796</v>
      </c>
      <c r="B86" s="1" t="s">
        <v>19</v>
      </c>
      <c r="C86" s="1" t="s">
        <v>15</v>
      </c>
      <c r="D86" s="2">
        <v>22599</v>
      </c>
      <c r="E86" s="1" t="s">
        <v>25</v>
      </c>
      <c r="F86" s="1">
        <v>4</v>
      </c>
      <c r="G86" s="1">
        <v>90045</v>
      </c>
      <c r="H86" s="1">
        <v>46000</v>
      </c>
      <c r="I86" s="1">
        <v>1730</v>
      </c>
      <c r="J86" s="1">
        <v>1206</v>
      </c>
      <c r="K86" s="1">
        <v>19</v>
      </c>
      <c r="L86" s="1">
        <v>159</v>
      </c>
      <c r="M86" s="1" t="s">
        <v>23</v>
      </c>
      <c r="N86" s="1" t="s">
        <v>26</v>
      </c>
    </row>
    <row r="87" spans="1:14">
      <c r="A87" s="1">
        <v>1552447</v>
      </c>
      <c r="B87" s="1" t="s">
        <v>14</v>
      </c>
      <c r="C87" s="1" t="s">
        <v>20</v>
      </c>
      <c r="D87" s="2">
        <v>35247</v>
      </c>
      <c r="E87" s="1" t="s">
        <v>16</v>
      </c>
      <c r="F87" s="1">
        <v>1</v>
      </c>
      <c r="G87" s="1">
        <v>90010</v>
      </c>
      <c r="H87" s="1">
        <v>55000</v>
      </c>
      <c r="I87" s="1">
        <v>312</v>
      </c>
      <c r="J87" s="1">
        <v>602</v>
      </c>
      <c r="K87" s="1">
        <v>5</v>
      </c>
      <c r="L87" s="1">
        <v>200</v>
      </c>
      <c r="M87" s="1" t="s">
        <v>32</v>
      </c>
      <c r="N87" s="1" t="s">
        <v>26</v>
      </c>
    </row>
    <row r="88" spans="1:14">
      <c r="A88" s="1">
        <v>1552841</v>
      </c>
      <c r="B88" s="1" t="s">
        <v>14</v>
      </c>
      <c r="C88" s="1" t="s">
        <v>20</v>
      </c>
      <c r="D88" s="2">
        <v>28017</v>
      </c>
      <c r="E88" s="1" t="s">
        <v>16</v>
      </c>
      <c r="F88" s="1">
        <v>3</v>
      </c>
      <c r="G88" s="1">
        <v>90068</v>
      </c>
      <c r="H88" s="1">
        <v>52000</v>
      </c>
      <c r="I88" s="1">
        <v>860</v>
      </c>
      <c r="J88" s="1">
        <v>582</v>
      </c>
      <c r="K88" s="1">
        <v>12</v>
      </c>
      <c r="L88" s="1">
        <v>218</v>
      </c>
      <c r="M88" s="1" t="s">
        <v>31</v>
      </c>
      <c r="N88" s="1" t="s">
        <v>27</v>
      </c>
    </row>
    <row r="89" spans="1:14">
      <c r="A89" s="1">
        <v>1553405</v>
      </c>
      <c r="B89" s="1" t="s">
        <v>14</v>
      </c>
      <c r="C89" s="1" t="s">
        <v>28</v>
      </c>
      <c r="D89" s="2">
        <v>23385</v>
      </c>
      <c r="E89" s="1" t="s">
        <v>16</v>
      </c>
      <c r="F89" s="1">
        <v>1</v>
      </c>
      <c r="G89" s="1">
        <v>90042</v>
      </c>
      <c r="H89" s="1">
        <v>50000</v>
      </c>
      <c r="I89" s="1">
        <v>1566</v>
      </c>
      <c r="J89" s="1">
        <v>1193</v>
      </c>
      <c r="K89" s="1">
        <v>27</v>
      </c>
      <c r="L89" s="1">
        <v>251</v>
      </c>
      <c r="M89" s="1" t="s">
        <v>31</v>
      </c>
      <c r="N89" s="1" t="s">
        <v>18</v>
      </c>
    </row>
    <row r="90" spans="1:14">
      <c r="A90" s="1">
        <v>1553430</v>
      </c>
      <c r="B90" s="1" t="s">
        <v>19</v>
      </c>
      <c r="C90" s="1" t="s">
        <v>20</v>
      </c>
      <c r="D90" s="2">
        <v>19308</v>
      </c>
      <c r="E90" s="1" t="s">
        <v>16</v>
      </c>
      <c r="F90" s="1">
        <v>4</v>
      </c>
      <c r="G90" s="1">
        <v>90044</v>
      </c>
      <c r="H90" s="1">
        <v>77000</v>
      </c>
      <c r="I90" s="1">
        <v>707</v>
      </c>
      <c r="J90" s="1">
        <v>587</v>
      </c>
      <c r="K90" s="1">
        <v>5</v>
      </c>
      <c r="L90" s="1">
        <v>180</v>
      </c>
      <c r="M90" s="1" t="s">
        <v>23</v>
      </c>
      <c r="N90" s="1" t="s">
        <v>27</v>
      </c>
    </row>
    <row r="91" spans="1:14">
      <c r="A91" s="1">
        <v>1553530</v>
      </c>
      <c r="B91" s="1" t="s">
        <v>19</v>
      </c>
      <c r="C91" s="1" t="s">
        <v>15</v>
      </c>
      <c r="D91" s="2">
        <v>36784</v>
      </c>
      <c r="E91" s="1" t="s">
        <v>16</v>
      </c>
      <c r="F91" s="1">
        <v>5</v>
      </c>
      <c r="G91" s="1">
        <v>90033</v>
      </c>
      <c r="H91" s="1">
        <v>109000</v>
      </c>
      <c r="I91" s="1">
        <v>1028</v>
      </c>
      <c r="J91" s="1">
        <v>1113</v>
      </c>
      <c r="K91" s="1">
        <v>13</v>
      </c>
      <c r="L91" s="1">
        <v>29</v>
      </c>
      <c r="M91" s="1" t="s">
        <v>31</v>
      </c>
      <c r="N91" s="1" t="s">
        <v>26</v>
      </c>
    </row>
    <row r="92" spans="1:14">
      <c r="A92" s="1">
        <v>1553559</v>
      </c>
      <c r="B92" s="1" t="s">
        <v>19</v>
      </c>
      <c r="C92" s="1" t="s">
        <v>20</v>
      </c>
      <c r="D92" s="2">
        <v>35668</v>
      </c>
      <c r="E92" s="1" t="s">
        <v>16</v>
      </c>
      <c r="F92" s="1">
        <v>4</v>
      </c>
      <c r="G92" s="1">
        <v>90065</v>
      </c>
      <c r="H92" s="1">
        <v>68000</v>
      </c>
      <c r="I92" s="1">
        <v>87</v>
      </c>
      <c r="J92" s="1">
        <v>82</v>
      </c>
      <c r="K92" s="1">
        <v>2</v>
      </c>
      <c r="L92" s="1">
        <v>149</v>
      </c>
      <c r="M92" s="1" t="s">
        <v>32</v>
      </c>
      <c r="N92" s="1" t="s">
        <v>18</v>
      </c>
    </row>
    <row r="93" spans="1:14">
      <c r="A93" s="1">
        <v>1553637</v>
      </c>
      <c r="B93" s="1" t="s">
        <v>19</v>
      </c>
      <c r="C93" s="1" t="s">
        <v>15</v>
      </c>
      <c r="D93" s="2">
        <v>21424</v>
      </c>
      <c r="E93" s="1" t="s">
        <v>16</v>
      </c>
      <c r="F93" s="1">
        <v>5</v>
      </c>
      <c r="G93" s="1">
        <v>90002</v>
      </c>
      <c r="H93" s="1">
        <v>57000</v>
      </c>
      <c r="I93" s="1">
        <v>547</v>
      </c>
      <c r="J93" s="1">
        <v>900</v>
      </c>
      <c r="K93" s="1">
        <v>15</v>
      </c>
      <c r="L93" s="1">
        <v>158</v>
      </c>
      <c r="M93" s="1" t="s">
        <v>31</v>
      </c>
      <c r="N93" s="1" t="s">
        <v>18</v>
      </c>
    </row>
    <row r="94" spans="1:14">
      <c r="A94" s="1">
        <v>1553660</v>
      </c>
      <c r="B94" s="1" t="s">
        <v>14</v>
      </c>
      <c r="C94" s="1" t="s">
        <v>20</v>
      </c>
      <c r="D94" s="2">
        <v>32357</v>
      </c>
      <c r="E94" s="1" t="s">
        <v>16</v>
      </c>
      <c r="F94" s="1">
        <v>2</v>
      </c>
      <c r="G94" s="1">
        <v>90023</v>
      </c>
      <c r="H94" s="1">
        <v>47000</v>
      </c>
      <c r="I94" s="1">
        <v>698</v>
      </c>
      <c r="J94" s="1">
        <v>745</v>
      </c>
      <c r="K94" s="1">
        <v>5</v>
      </c>
      <c r="L94" s="1">
        <v>160</v>
      </c>
      <c r="M94" s="1" t="s">
        <v>31</v>
      </c>
      <c r="N94" s="1" t="s">
        <v>18</v>
      </c>
    </row>
    <row r="95" spans="1:14">
      <c r="A95" s="1">
        <v>1553692</v>
      </c>
      <c r="B95" s="1" t="s">
        <v>19</v>
      </c>
      <c r="C95" s="1" t="s">
        <v>24</v>
      </c>
      <c r="D95" s="2">
        <v>34812</v>
      </c>
      <c r="E95" s="1" t="s">
        <v>25</v>
      </c>
      <c r="F95" s="1">
        <v>4</v>
      </c>
      <c r="G95" s="1">
        <v>90019</v>
      </c>
      <c r="H95" s="1">
        <v>70000</v>
      </c>
      <c r="I95" s="1">
        <v>63</v>
      </c>
      <c r="J95" s="1">
        <v>60</v>
      </c>
      <c r="K95" s="1">
        <v>1</v>
      </c>
      <c r="L95" s="1">
        <v>288</v>
      </c>
      <c r="M95" s="1" t="s">
        <v>23</v>
      </c>
      <c r="N95" s="1" t="s">
        <v>26</v>
      </c>
    </row>
    <row r="96" spans="1:14">
      <c r="A96" s="1">
        <v>1553737</v>
      </c>
      <c r="B96" s="1" t="s">
        <v>14</v>
      </c>
      <c r="C96" s="1" t="s">
        <v>24</v>
      </c>
      <c r="D96" s="2">
        <v>29087</v>
      </c>
      <c r="E96" s="1" t="s">
        <v>16</v>
      </c>
      <c r="F96" s="1">
        <v>5</v>
      </c>
      <c r="G96" s="1">
        <v>90052</v>
      </c>
      <c r="H96" s="1">
        <v>83000</v>
      </c>
      <c r="I96" s="1">
        <v>1210</v>
      </c>
      <c r="J96" s="1">
        <v>867</v>
      </c>
      <c r="K96" s="1">
        <v>16</v>
      </c>
      <c r="L96" s="1">
        <v>95</v>
      </c>
      <c r="M96" s="1" t="s">
        <v>21</v>
      </c>
      <c r="N96" s="1" t="s">
        <v>22</v>
      </c>
    </row>
    <row r="97" spans="1:14">
      <c r="A97" s="1">
        <v>1553843</v>
      </c>
      <c r="B97" s="1" t="s">
        <v>19</v>
      </c>
      <c r="C97" s="1" t="s">
        <v>20</v>
      </c>
      <c r="D97" s="2">
        <v>29538</v>
      </c>
      <c r="E97" s="1" t="s">
        <v>16</v>
      </c>
      <c r="F97" s="1">
        <v>5</v>
      </c>
      <c r="G97" s="1">
        <v>90014</v>
      </c>
      <c r="H97" s="1">
        <v>136000</v>
      </c>
      <c r="I97" s="1">
        <v>363</v>
      </c>
      <c r="J97" s="1">
        <v>289</v>
      </c>
      <c r="K97" s="1">
        <v>4</v>
      </c>
      <c r="L97" s="1">
        <v>89</v>
      </c>
      <c r="M97" s="1" t="s">
        <v>31</v>
      </c>
      <c r="N97" s="1" t="s">
        <v>26</v>
      </c>
    </row>
    <row r="98" spans="1:14">
      <c r="A98" s="1">
        <v>1553952</v>
      </c>
      <c r="B98" s="1" t="s">
        <v>19</v>
      </c>
      <c r="C98" s="1" t="s">
        <v>15</v>
      </c>
      <c r="D98" s="2">
        <v>30920</v>
      </c>
      <c r="E98" s="1" t="s">
        <v>25</v>
      </c>
      <c r="F98" s="1">
        <v>5</v>
      </c>
      <c r="G98" s="1">
        <v>90060</v>
      </c>
      <c r="H98" s="1">
        <v>43000</v>
      </c>
      <c r="I98" s="1">
        <v>771</v>
      </c>
      <c r="J98" s="1">
        <v>1250</v>
      </c>
      <c r="K98" s="1">
        <v>20</v>
      </c>
      <c r="L98" s="1">
        <v>267</v>
      </c>
      <c r="M98" s="1" t="s">
        <v>31</v>
      </c>
      <c r="N98" s="1" t="s">
        <v>22</v>
      </c>
    </row>
    <row r="99" spans="1:14">
      <c r="A99" s="1">
        <v>1554342</v>
      </c>
      <c r="B99" s="1" t="s">
        <v>19</v>
      </c>
      <c r="C99" s="1" t="s">
        <v>24</v>
      </c>
      <c r="D99" s="2">
        <v>25511</v>
      </c>
      <c r="E99" s="1" t="s">
        <v>16</v>
      </c>
      <c r="F99" s="1">
        <v>1</v>
      </c>
      <c r="G99" s="1">
        <v>90018</v>
      </c>
      <c r="H99" s="1">
        <v>97000</v>
      </c>
      <c r="I99" s="1">
        <v>1495</v>
      </c>
      <c r="J99" s="1">
        <v>1126</v>
      </c>
      <c r="K99" s="1">
        <v>26</v>
      </c>
      <c r="L99" s="1">
        <v>313</v>
      </c>
      <c r="M99" s="1" t="s">
        <v>32</v>
      </c>
      <c r="N99" s="1" t="s">
        <v>22</v>
      </c>
    </row>
    <row r="100" spans="1:14">
      <c r="A100" s="1">
        <v>1554589</v>
      </c>
      <c r="B100" s="1" t="s">
        <v>19</v>
      </c>
      <c r="C100" s="1" t="s">
        <v>28</v>
      </c>
      <c r="D100" s="2">
        <v>34962</v>
      </c>
      <c r="E100" s="1" t="s">
        <v>25</v>
      </c>
      <c r="F100" s="1">
        <v>2</v>
      </c>
      <c r="G100" s="1">
        <v>90030</v>
      </c>
      <c r="H100" s="1">
        <v>56000</v>
      </c>
      <c r="I100" s="1">
        <v>1489</v>
      </c>
      <c r="J100" s="1">
        <v>1226</v>
      </c>
      <c r="K100" s="1">
        <v>12</v>
      </c>
      <c r="L100" s="1">
        <v>12</v>
      </c>
      <c r="M100" s="1" t="s">
        <v>31</v>
      </c>
      <c r="N100" s="1" t="s">
        <v>22</v>
      </c>
    </row>
    <row r="101" spans="1:14">
      <c r="A101" s="1">
        <v>1555143</v>
      </c>
      <c r="B101" s="1" t="s">
        <v>19</v>
      </c>
      <c r="C101" s="1" t="s">
        <v>28</v>
      </c>
      <c r="D101" s="2">
        <v>27677</v>
      </c>
      <c r="E101" s="1" t="s">
        <v>16</v>
      </c>
      <c r="F101" s="1">
        <v>1</v>
      </c>
      <c r="G101" s="1">
        <v>90059</v>
      </c>
      <c r="H101" s="1">
        <v>84000</v>
      </c>
      <c r="I101" s="1">
        <v>870</v>
      </c>
      <c r="J101" s="1">
        <v>950</v>
      </c>
      <c r="K101" s="1">
        <v>18</v>
      </c>
      <c r="L101" s="1">
        <v>211</v>
      </c>
      <c r="M101" s="1" t="s">
        <v>32</v>
      </c>
      <c r="N101" s="1" t="s">
        <v>26</v>
      </c>
    </row>
    <row r="102" spans="1:14">
      <c r="A102" s="1">
        <v>1555266</v>
      </c>
      <c r="B102" s="1" t="s">
        <v>19</v>
      </c>
      <c r="C102" s="1" t="s">
        <v>20</v>
      </c>
      <c r="D102" s="2">
        <v>36254</v>
      </c>
      <c r="E102" s="1" t="s">
        <v>16</v>
      </c>
      <c r="F102" s="1">
        <v>3</v>
      </c>
      <c r="G102" s="1">
        <v>90063</v>
      </c>
      <c r="H102" s="1">
        <v>50000</v>
      </c>
      <c r="I102" s="1">
        <v>324</v>
      </c>
      <c r="J102" s="1">
        <v>482</v>
      </c>
      <c r="K102" s="1">
        <v>11</v>
      </c>
      <c r="L102" s="1">
        <v>130</v>
      </c>
      <c r="M102" s="1" t="s">
        <v>31</v>
      </c>
      <c r="N102" s="1" t="s">
        <v>18</v>
      </c>
    </row>
    <row r="103" spans="1:14">
      <c r="A103" s="1">
        <v>1555356</v>
      </c>
      <c r="B103" s="1" t="s">
        <v>19</v>
      </c>
      <c r="C103" s="1" t="s">
        <v>24</v>
      </c>
      <c r="D103" s="2">
        <v>31993</v>
      </c>
      <c r="E103" s="1" t="s">
        <v>16</v>
      </c>
      <c r="F103" s="1">
        <v>3</v>
      </c>
      <c r="G103" s="1">
        <v>90028</v>
      </c>
      <c r="H103" s="1">
        <v>89000</v>
      </c>
      <c r="I103" s="1">
        <v>899</v>
      </c>
      <c r="J103" s="1">
        <v>1004</v>
      </c>
      <c r="K103" s="1">
        <v>16</v>
      </c>
      <c r="L103" s="1">
        <v>132</v>
      </c>
      <c r="M103" s="1" t="s">
        <v>31</v>
      </c>
      <c r="N103" s="1" t="s">
        <v>26</v>
      </c>
    </row>
    <row r="104" spans="1:14">
      <c r="A104" s="1">
        <v>1555414</v>
      </c>
      <c r="B104" s="1" t="s">
        <v>19</v>
      </c>
      <c r="C104" s="1" t="s">
        <v>20</v>
      </c>
      <c r="D104" s="2">
        <v>20523</v>
      </c>
      <c r="E104" s="1" t="s">
        <v>25</v>
      </c>
      <c r="F104" s="1">
        <v>5</v>
      </c>
      <c r="G104" s="1">
        <v>90031</v>
      </c>
      <c r="H104" s="1">
        <v>109000</v>
      </c>
      <c r="I104" s="1">
        <v>652</v>
      </c>
      <c r="J104" s="1">
        <v>1046</v>
      </c>
      <c r="K104" s="1">
        <v>10</v>
      </c>
      <c r="L104" s="1">
        <v>351</v>
      </c>
      <c r="M104" s="1" t="s">
        <v>21</v>
      </c>
      <c r="N104" s="1" t="s">
        <v>18</v>
      </c>
    </row>
    <row r="105" spans="1:14">
      <c r="A105" s="1">
        <v>1555438</v>
      </c>
      <c r="B105" s="1" t="s">
        <v>14</v>
      </c>
      <c r="C105" s="1" t="s">
        <v>20</v>
      </c>
      <c r="D105" s="2">
        <v>24128</v>
      </c>
      <c r="E105" s="1" t="s">
        <v>16</v>
      </c>
      <c r="F105" s="1">
        <v>5</v>
      </c>
      <c r="G105" s="1">
        <v>90016</v>
      </c>
      <c r="H105" s="1">
        <v>65000</v>
      </c>
      <c r="I105" s="1">
        <v>637</v>
      </c>
      <c r="J105" s="1">
        <v>728</v>
      </c>
      <c r="K105" s="1">
        <v>12</v>
      </c>
      <c r="L105" s="1">
        <v>22</v>
      </c>
      <c r="M105" s="1" t="s">
        <v>32</v>
      </c>
      <c r="N105" s="1" t="s">
        <v>26</v>
      </c>
    </row>
    <row r="106" spans="1:14">
      <c r="A106" s="1">
        <v>1555539</v>
      </c>
      <c r="B106" s="1" t="s">
        <v>14</v>
      </c>
      <c r="C106" s="1" t="s">
        <v>15</v>
      </c>
      <c r="D106" s="2">
        <v>29747</v>
      </c>
      <c r="E106" s="1" t="s">
        <v>16</v>
      </c>
      <c r="F106" s="1">
        <v>2</v>
      </c>
      <c r="G106" s="1">
        <v>90061</v>
      </c>
      <c r="H106" s="1">
        <v>41000</v>
      </c>
      <c r="I106" s="1">
        <v>913</v>
      </c>
      <c r="J106" s="1">
        <v>1182</v>
      </c>
      <c r="K106" s="1">
        <v>8</v>
      </c>
      <c r="L106" s="1">
        <v>301</v>
      </c>
      <c r="M106" s="1" t="s">
        <v>23</v>
      </c>
      <c r="N106" s="1" t="s">
        <v>22</v>
      </c>
    </row>
    <row r="107" spans="1:14">
      <c r="A107" s="1">
        <v>1555659</v>
      </c>
      <c r="B107" s="1" t="s">
        <v>14</v>
      </c>
      <c r="C107" s="1" t="s">
        <v>15</v>
      </c>
      <c r="D107" s="2">
        <v>34564</v>
      </c>
      <c r="E107" s="1" t="s">
        <v>16</v>
      </c>
      <c r="F107" s="1">
        <v>3</v>
      </c>
      <c r="G107" s="1">
        <v>90029</v>
      </c>
      <c r="H107" s="1">
        <v>42000</v>
      </c>
      <c r="I107" s="1">
        <v>1456</v>
      </c>
      <c r="J107" s="1">
        <v>1101</v>
      </c>
      <c r="K107" s="1">
        <v>11</v>
      </c>
      <c r="L107" s="1">
        <v>38</v>
      </c>
      <c r="M107" s="1" t="s">
        <v>23</v>
      </c>
      <c r="N107" s="1" t="s">
        <v>22</v>
      </c>
    </row>
    <row r="108" spans="1:14">
      <c r="A108" s="1">
        <v>1555979</v>
      </c>
      <c r="B108" s="1" t="s">
        <v>19</v>
      </c>
      <c r="C108" s="1" t="s">
        <v>20</v>
      </c>
      <c r="D108" s="2">
        <v>20476</v>
      </c>
      <c r="E108" s="1" t="s">
        <v>16</v>
      </c>
      <c r="F108" s="1">
        <v>2</v>
      </c>
      <c r="G108" s="1">
        <v>90055</v>
      </c>
      <c r="H108" s="1">
        <v>69000</v>
      </c>
      <c r="I108" s="1">
        <v>636</v>
      </c>
      <c r="J108" s="1">
        <v>706</v>
      </c>
      <c r="K108" s="1">
        <v>12</v>
      </c>
      <c r="L108" s="1">
        <v>67</v>
      </c>
      <c r="M108" s="1" t="s">
        <v>31</v>
      </c>
      <c r="N108" s="1" t="s">
        <v>22</v>
      </c>
    </row>
    <row r="109" spans="1:14">
      <c r="A109" s="1">
        <v>1556518</v>
      </c>
      <c r="B109" s="1" t="s">
        <v>14</v>
      </c>
      <c r="C109" s="1" t="s">
        <v>20</v>
      </c>
      <c r="D109" s="2">
        <v>35241</v>
      </c>
      <c r="E109" s="1" t="s">
        <v>16</v>
      </c>
      <c r="F109" s="1">
        <v>5</v>
      </c>
      <c r="G109" s="1">
        <v>90025</v>
      </c>
      <c r="H109" s="1">
        <v>62000</v>
      </c>
      <c r="I109" s="1">
        <v>794</v>
      </c>
      <c r="J109" s="1">
        <v>724</v>
      </c>
      <c r="K109" s="1">
        <v>19</v>
      </c>
      <c r="L109" s="1">
        <v>305</v>
      </c>
      <c r="M109" s="1" t="s">
        <v>31</v>
      </c>
      <c r="N109" s="1" t="s">
        <v>27</v>
      </c>
    </row>
    <row r="110" spans="1:14">
      <c r="A110" s="1">
        <v>1556823</v>
      </c>
      <c r="B110" s="1" t="s">
        <v>14</v>
      </c>
      <c r="C110" s="1" t="s">
        <v>24</v>
      </c>
      <c r="D110" s="2">
        <v>30432</v>
      </c>
      <c r="E110" s="1" t="s">
        <v>16</v>
      </c>
      <c r="F110" s="1">
        <v>4</v>
      </c>
      <c r="G110" s="1">
        <v>90032</v>
      </c>
      <c r="H110" s="1">
        <v>58000</v>
      </c>
      <c r="I110" s="1">
        <v>686</v>
      </c>
      <c r="J110" s="1">
        <v>1123</v>
      </c>
      <c r="K110" s="1">
        <v>8</v>
      </c>
      <c r="L110" s="1">
        <v>254</v>
      </c>
      <c r="M110" s="1" t="s">
        <v>31</v>
      </c>
      <c r="N110" s="1" t="s">
        <v>27</v>
      </c>
    </row>
    <row r="111" spans="1:14">
      <c r="A111" s="1">
        <v>1557181</v>
      </c>
      <c r="B111" s="1" t="s">
        <v>19</v>
      </c>
      <c r="C111" s="1" t="s">
        <v>20</v>
      </c>
      <c r="D111" s="2">
        <v>25253</v>
      </c>
      <c r="E111" s="1" t="s">
        <v>16</v>
      </c>
      <c r="F111" s="1">
        <v>1</v>
      </c>
      <c r="G111" s="1">
        <v>90067</v>
      </c>
      <c r="H111" s="1">
        <v>105000</v>
      </c>
      <c r="I111" s="1">
        <v>428</v>
      </c>
      <c r="J111" s="1">
        <v>327</v>
      </c>
      <c r="K111" s="1">
        <v>2</v>
      </c>
      <c r="L111" s="1">
        <v>345</v>
      </c>
      <c r="M111" s="1" t="s">
        <v>23</v>
      </c>
      <c r="N111" s="1" t="s">
        <v>18</v>
      </c>
    </row>
    <row r="112" spans="1:14">
      <c r="A112" s="1">
        <v>1557273</v>
      </c>
      <c r="B112" s="1" t="s">
        <v>19</v>
      </c>
      <c r="C112" s="1" t="s">
        <v>15</v>
      </c>
      <c r="D112" s="2">
        <v>24443</v>
      </c>
      <c r="E112" s="1" t="s">
        <v>16</v>
      </c>
      <c r="F112" s="1">
        <v>2</v>
      </c>
      <c r="G112" s="1">
        <v>90007</v>
      </c>
      <c r="H112" s="1">
        <v>61000</v>
      </c>
      <c r="I112" s="1">
        <v>275</v>
      </c>
      <c r="J112" s="1">
        <v>431</v>
      </c>
      <c r="K112" s="1">
        <v>6</v>
      </c>
      <c r="L112" s="1">
        <v>205</v>
      </c>
      <c r="M112" s="1" t="s">
        <v>31</v>
      </c>
      <c r="N112" s="1" t="s">
        <v>26</v>
      </c>
    </row>
    <row r="113" spans="1:14">
      <c r="A113" s="1">
        <v>1557386</v>
      </c>
      <c r="B113" s="1" t="s">
        <v>19</v>
      </c>
      <c r="C113" s="1" t="s">
        <v>15</v>
      </c>
      <c r="D113" s="2">
        <v>27660</v>
      </c>
      <c r="E113" s="1" t="s">
        <v>25</v>
      </c>
      <c r="F113" s="1">
        <v>3</v>
      </c>
      <c r="G113" s="1">
        <v>90032</v>
      </c>
      <c r="H113" s="1">
        <v>66000</v>
      </c>
      <c r="I113" s="1">
        <v>706</v>
      </c>
      <c r="J113" s="1">
        <v>564</v>
      </c>
      <c r="K113" s="1">
        <v>4</v>
      </c>
      <c r="L113" s="1">
        <v>69</v>
      </c>
      <c r="M113" s="1" t="s">
        <v>21</v>
      </c>
      <c r="N113" s="1" t="s">
        <v>22</v>
      </c>
    </row>
    <row r="114" spans="1:14">
      <c r="A114" s="1">
        <v>1557407</v>
      </c>
      <c r="B114" s="1" t="s">
        <v>19</v>
      </c>
      <c r="C114" s="1" t="s">
        <v>20</v>
      </c>
      <c r="D114" s="2">
        <v>28120</v>
      </c>
      <c r="E114" s="1" t="s">
        <v>16</v>
      </c>
      <c r="F114" s="1">
        <v>4</v>
      </c>
      <c r="G114" s="1">
        <v>90015</v>
      </c>
      <c r="H114" s="1">
        <v>48000</v>
      </c>
      <c r="I114" s="1">
        <v>1398</v>
      </c>
      <c r="J114" s="1">
        <v>1163</v>
      </c>
      <c r="K114" s="1">
        <v>16</v>
      </c>
      <c r="L114" s="1">
        <v>16</v>
      </c>
      <c r="M114" s="1" t="s">
        <v>31</v>
      </c>
      <c r="N114" s="1" t="s">
        <v>27</v>
      </c>
    </row>
    <row r="115" spans="1:14">
      <c r="A115" s="1">
        <v>1557679</v>
      </c>
      <c r="B115" s="1" t="s">
        <v>14</v>
      </c>
      <c r="C115" s="1" t="s">
        <v>20</v>
      </c>
      <c r="D115" s="2">
        <v>30953</v>
      </c>
      <c r="E115" s="1" t="s">
        <v>16</v>
      </c>
      <c r="F115" s="1">
        <v>2</v>
      </c>
      <c r="G115" s="1">
        <v>90004</v>
      </c>
      <c r="H115" s="1">
        <v>72000</v>
      </c>
      <c r="I115" s="1">
        <v>571</v>
      </c>
      <c r="J115" s="1">
        <v>728</v>
      </c>
      <c r="K115" s="1">
        <v>13</v>
      </c>
      <c r="L115" s="1">
        <v>241</v>
      </c>
      <c r="M115" s="1" t="s">
        <v>31</v>
      </c>
      <c r="N115" s="1" t="s">
        <v>22</v>
      </c>
    </row>
    <row r="116" spans="1:14">
      <c r="A116" s="1">
        <v>1557697</v>
      </c>
      <c r="B116" s="1" t="s">
        <v>14</v>
      </c>
      <c r="C116" s="1" t="s">
        <v>20</v>
      </c>
      <c r="D116" s="2">
        <v>22340</v>
      </c>
      <c r="E116" s="1" t="s">
        <v>16</v>
      </c>
      <c r="F116" s="1">
        <v>2</v>
      </c>
      <c r="G116" s="1">
        <v>90007</v>
      </c>
      <c r="H116" s="1">
        <v>64000</v>
      </c>
      <c r="I116" s="1">
        <v>1112</v>
      </c>
      <c r="J116" s="1">
        <v>897</v>
      </c>
      <c r="K116" s="1">
        <v>10</v>
      </c>
      <c r="L116" s="1">
        <v>239</v>
      </c>
      <c r="M116" s="1" t="s">
        <v>31</v>
      </c>
      <c r="N116" s="1" t="s">
        <v>18</v>
      </c>
    </row>
    <row r="117" spans="1:14">
      <c r="A117" s="1">
        <v>1557820</v>
      </c>
      <c r="B117" s="1" t="s">
        <v>19</v>
      </c>
      <c r="C117" s="1" t="s">
        <v>15</v>
      </c>
      <c r="D117" s="2">
        <v>24363</v>
      </c>
      <c r="E117" s="1" t="s">
        <v>16</v>
      </c>
      <c r="F117" s="1">
        <v>3</v>
      </c>
      <c r="G117" s="1">
        <v>90039</v>
      </c>
      <c r="H117" s="1">
        <v>80000</v>
      </c>
      <c r="I117" s="1">
        <v>578</v>
      </c>
      <c r="J117" s="1">
        <v>568</v>
      </c>
      <c r="K117" s="1">
        <v>10</v>
      </c>
      <c r="L117" s="1">
        <v>353</v>
      </c>
      <c r="M117" s="1" t="s">
        <v>21</v>
      </c>
      <c r="N117" s="1" t="s">
        <v>18</v>
      </c>
    </row>
    <row r="118" spans="1:14">
      <c r="A118" s="1">
        <v>1559734</v>
      </c>
      <c r="B118" s="1" t="s">
        <v>19</v>
      </c>
      <c r="C118" s="1" t="s">
        <v>30</v>
      </c>
      <c r="D118" s="2">
        <v>25015</v>
      </c>
      <c r="E118" s="1" t="s">
        <v>16</v>
      </c>
      <c r="F118" s="1">
        <v>1</v>
      </c>
      <c r="G118" s="1">
        <v>90004</v>
      </c>
      <c r="H118" s="1">
        <v>75000</v>
      </c>
      <c r="I118" s="1">
        <v>822</v>
      </c>
      <c r="J118" s="1">
        <v>603</v>
      </c>
      <c r="K118" s="1">
        <v>9</v>
      </c>
      <c r="L118" s="1">
        <v>252</v>
      </c>
      <c r="M118" s="1" t="s">
        <v>21</v>
      </c>
      <c r="N118" s="1" t="s">
        <v>22</v>
      </c>
    </row>
    <row r="119" spans="1:14">
      <c r="A119" s="1">
        <v>1560021</v>
      </c>
      <c r="B119" s="1" t="s">
        <v>19</v>
      </c>
      <c r="C119" s="1" t="s">
        <v>15</v>
      </c>
      <c r="D119" s="2">
        <v>35609</v>
      </c>
      <c r="E119" s="1" t="s">
        <v>16</v>
      </c>
      <c r="F119" s="1">
        <v>5</v>
      </c>
      <c r="G119" s="1">
        <v>90054</v>
      </c>
      <c r="H119" s="1">
        <v>50000</v>
      </c>
      <c r="I119" s="1">
        <v>181</v>
      </c>
      <c r="J119" s="1">
        <v>210</v>
      </c>
      <c r="K119" s="1">
        <v>3</v>
      </c>
      <c r="L119" s="1">
        <v>309</v>
      </c>
      <c r="M119" s="1" t="s">
        <v>21</v>
      </c>
      <c r="N119" s="1" t="s">
        <v>18</v>
      </c>
    </row>
    <row r="120" spans="1:14">
      <c r="A120" s="1">
        <v>1560248</v>
      </c>
      <c r="B120" s="1" t="s">
        <v>19</v>
      </c>
      <c r="C120" s="1" t="s">
        <v>15</v>
      </c>
      <c r="D120" s="2">
        <v>28192</v>
      </c>
      <c r="E120" s="1" t="s">
        <v>25</v>
      </c>
      <c r="F120" s="1">
        <v>2</v>
      </c>
      <c r="G120" s="1">
        <v>90021</v>
      </c>
      <c r="H120" s="1">
        <v>54000</v>
      </c>
      <c r="I120" s="1">
        <v>284</v>
      </c>
      <c r="J120" s="1">
        <v>439</v>
      </c>
      <c r="K120" s="1">
        <v>9</v>
      </c>
      <c r="L120" s="1">
        <v>196</v>
      </c>
      <c r="M120" s="1" t="s">
        <v>31</v>
      </c>
      <c r="N120" s="1" t="s">
        <v>26</v>
      </c>
    </row>
    <row r="121" spans="1:14">
      <c r="A121" s="1">
        <v>1560301</v>
      </c>
      <c r="B121" s="1" t="s">
        <v>19</v>
      </c>
      <c r="C121" s="1" t="s">
        <v>20</v>
      </c>
      <c r="D121" s="2">
        <v>31129</v>
      </c>
      <c r="E121" s="1" t="s">
        <v>25</v>
      </c>
      <c r="F121" s="1">
        <v>3</v>
      </c>
      <c r="G121" s="1">
        <v>90054</v>
      </c>
      <c r="H121" s="1">
        <v>93000</v>
      </c>
      <c r="I121" s="1">
        <v>553</v>
      </c>
      <c r="J121" s="1">
        <v>907</v>
      </c>
      <c r="K121" s="1">
        <v>17</v>
      </c>
      <c r="L121" s="1">
        <v>164</v>
      </c>
      <c r="M121" s="1" t="s">
        <v>23</v>
      </c>
      <c r="N121" s="1" t="s">
        <v>27</v>
      </c>
    </row>
    <row r="122" spans="1:14">
      <c r="A122" s="1">
        <v>1560457</v>
      </c>
      <c r="B122" s="1" t="s">
        <v>19</v>
      </c>
      <c r="C122" s="1" t="s">
        <v>15</v>
      </c>
      <c r="D122" s="2">
        <v>32849</v>
      </c>
      <c r="E122" s="1" t="s">
        <v>16</v>
      </c>
      <c r="F122" s="1">
        <v>3</v>
      </c>
      <c r="G122" s="1">
        <v>90015</v>
      </c>
      <c r="H122" s="1">
        <v>46000</v>
      </c>
      <c r="I122" s="1">
        <v>789</v>
      </c>
      <c r="J122" s="1">
        <v>745</v>
      </c>
      <c r="K122" s="1">
        <v>15</v>
      </c>
      <c r="L122" s="1">
        <v>318</v>
      </c>
      <c r="M122" s="1" t="s">
        <v>32</v>
      </c>
      <c r="N122" s="1" t="s">
        <v>18</v>
      </c>
    </row>
    <row r="123" spans="1:14">
      <c r="A123" s="1">
        <v>1560632</v>
      </c>
      <c r="B123" s="1" t="s">
        <v>14</v>
      </c>
      <c r="C123" s="1" t="s">
        <v>15</v>
      </c>
      <c r="D123" s="2">
        <v>19313</v>
      </c>
      <c r="E123" s="1" t="s">
        <v>16</v>
      </c>
      <c r="F123" s="1">
        <v>2</v>
      </c>
      <c r="G123" s="1">
        <v>90062</v>
      </c>
      <c r="H123" s="1">
        <v>84000</v>
      </c>
      <c r="I123" s="1">
        <v>532</v>
      </c>
      <c r="J123" s="1">
        <v>467</v>
      </c>
      <c r="K123" s="1">
        <v>11</v>
      </c>
      <c r="L123" s="1">
        <v>108</v>
      </c>
      <c r="M123" s="1" t="s">
        <v>31</v>
      </c>
      <c r="N123" s="1" t="s">
        <v>22</v>
      </c>
    </row>
    <row r="124" spans="1:14">
      <c r="A124" s="1">
        <v>1560809</v>
      </c>
      <c r="B124" s="1" t="s">
        <v>19</v>
      </c>
      <c r="C124" s="1" t="s">
        <v>28</v>
      </c>
      <c r="D124" s="2">
        <v>30554</v>
      </c>
      <c r="E124" s="1" t="s">
        <v>16</v>
      </c>
      <c r="F124" s="1">
        <v>4</v>
      </c>
      <c r="G124" s="1">
        <v>90047</v>
      </c>
      <c r="H124" s="1">
        <v>58000</v>
      </c>
      <c r="I124" s="1">
        <v>542</v>
      </c>
      <c r="J124" s="1">
        <v>673</v>
      </c>
      <c r="K124" s="1">
        <v>15</v>
      </c>
      <c r="L124" s="1">
        <v>149</v>
      </c>
      <c r="M124" s="1" t="s">
        <v>31</v>
      </c>
      <c r="N124" s="1" t="s">
        <v>18</v>
      </c>
    </row>
    <row r="125" spans="1:14">
      <c r="A125" s="1">
        <v>1560830</v>
      </c>
      <c r="B125" s="1" t="s">
        <v>14</v>
      </c>
      <c r="C125" s="1" t="s">
        <v>15</v>
      </c>
      <c r="D125" s="2">
        <v>27064</v>
      </c>
      <c r="E125" s="1" t="s">
        <v>16</v>
      </c>
      <c r="F125" s="1">
        <v>3</v>
      </c>
      <c r="G125" s="1">
        <v>90034</v>
      </c>
      <c r="H125" s="1">
        <v>63000</v>
      </c>
      <c r="I125" s="1">
        <v>463</v>
      </c>
      <c r="J125" s="1">
        <v>383</v>
      </c>
      <c r="K125" s="1">
        <v>9</v>
      </c>
      <c r="L125" s="1">
        <v>145</v>
      </c>
      <c r="M125" s="1" t="s">
        <v>31</v>
      </c>
      <c r="N125" s="1" t="s">
        <v>26</v>
      </c>
    </row>
    <row r="126" spans="1:14">
      <c r="A126" s="1">
        <v>1561447</v>
      </c>
      <c r="B126" s="1" t="s">
        <v>14</v>
      </c>
      <c r="C126" s="1" t="s">
        <v>15</v>
      </c>
      <c r="D126" s="2">
        <v>27360</v>
      </c>
      <c r="E126" s="1" t="s">
        <v>16</v>
      </c>
      <c r="F126" s="1">
        <v>3</v>
      </c>
      <c r="G126" s="1">
        <v>90043</v>
      </c>
      <c r="H126" s="1">
        <v>43000</v>
      </c>
      <c r="I126" s="1">
        <v>447</v>
      </c>
      <c r="J126" s="1">
        <v>626</v>
      </c>
      <c r="K126" s="1">
        <v>13</v>
      </c>
      <c r="L126" s="1">
        <v>296</v>
      </c>
      <c r="M126" s="1" t="s">
        <v>31</v>
      </c>
      <c r="N126" s="1" t="s">
        <v>18</v>
      </c>
    </row>
    <row r="127" spans="1:14">
      <c r="A127" s="1">
        <v>1562348</v>
      </c>
      <c r="B127" s="1" t="s">
        <v>14</v>
      </c>
      <c r="C127" s="1" t="s">
        <v>20</v>
      </c>
      <c r="D127" s="2">
        <v>23347</v>
      </c>
      <c r="E127" s="1" t="s">
        <v>16</v>
      </c>
      <c r="F127" s="1">
        <v>3</v>
      </c>
      <c r="G127" s="1">
        <v>90031</v>
      </c>
      <c r="H127" s="1">
        <v>97000</v>
      </c>
      <c r="I127" s="1">
        <v>877</v>
      </c>
      <c r="J127" s="1">
        <v>860</v>
      </c>
      <c r="K127" s="1">
        <v>7</v>
      </c>
      <c r="L127" s="1">
        <v>115</v>
      </c>
      <c r="M127" s="1" t="s">
        <v>21</v>
      </c>
      <c r="N127" s="1" t="s">
        <v>22</v>
      </c>
    </row>
    <row r="128" spans="1:14">
      <c r="A128" s="1">
        <v>1562398</v>
      </c>
      <c r="B128" s="1" t="s">
        <v>19</v>
      </c>
      <c r="C128" s="1" t="s">
        <v>20</v>
      </c>
      <c r="D128" s="2">
        <v>32088</v>
      </c>
      <c r="E128" s="1" t="s">
        <v>25</v>
      </c>
      <c r="F128" s="1">
        <v>5</v>
      </c>
      <c r="G128" s="1">
        <v>90047</v>
      </c>
      <c r="H128" s="1">
        <v>70000</v>
      </c>
      <c r="I128" s="1">
        <v>280</v>
      </c>
      <c r="J128" s="1">
        <v>233</v>
      </c>
      <c r="K128" s="1">
        <v>2</v>
      </c>
      <c r="L128" s="1">
        <v>117</v>
      </c>
      <c r="M128" s="1" t="s">
        <v>31</v>
      </c>
      <c r="N128" s="1" t="s">
        <v>26</v>
      </c>
    </row>
    <row r="129" spans="1:14">
      <c r="A129" s="1">
        <v>1562550</v>
      </c>
      <c r="B129" s="1" t="s">
        <v>14</v>
      </c>
      <c r="C129" s="1" t="s">
        <v>20</v>
      </c>
      <c r="D129" s="2">
        <v>28387</v>
      </c>
      <c r="E129" s="1" t="s">
        <v>16</v>
      </c>
      <c r="F129" s="1">
        <v>4</v>
      </c>
      <c r="G129" s="1">
        <v>90035</v>
      </c>
      <c r="H129" s="1">
        <v>48000</v>
      </c>
      <c r="I129" s="1">
        <v>1514</v>
      </c>
      <c r="J129" s="1">
        <v>1106</v>
      </c>
      <c r="K129" s="1">
        <v>26</v>
      </c>
      <c r="L129" s="1">
        <v>342</v>
      </c>
      <c r="M129" s="1" t="s">
        <v>23</v>
      </c>
      <c r="N129" s="1" t="s">
        <v>22</v>
      </c>
    </row>
    <row r="130" spans="1:14">
      <c r="A130" s="1">
        <v>1562867</v>
      </c>
      <c r="B130" s="1" t="s">
        <v>14</v>
      </c>
      <c r="C130" s="1" t="s">
        <v>15</v>
      </c>
      <c r="D130" s="2">
        <v>26116</v>
      </c>
      <c r="E130" s="1" t="s">
        <v>16</v>
      </c>
      <c r="F130" s="1">
        <v>5</v>
      </c>
      <c r="G130" s="1">
        <v>90064</v>
      </c>
      <c r="H130" s="1">
        <v>97000</v>
      </c>
      <c r="I130" s="1">
        <v>660</v>
      </c>
      <c r="J130" s="1">
        <v>739</v>
      </c>
      <c r="K130" s="1">
        <v>5</v>
      </c>
      <c r="L130" s="1">
        <v>76</v>
      </c>
      <c r="M130" s="1" t="s">
        <v>31</v>
      </c>
      <c r="N130" s="1" t="s">
        <v>22</v>
      </c>
    </row>
    <row r="131" spans="1:14">
      <c r="A131" s="1">
        <v>1563068</v>
      </c>
      <c r="B131" s="1" t="s">
        <v>14</v>
      </c>
      <c r="C131" s="1" t="s">
        <v>20</v>
      </c>
      <c r="D131" s="2">
        <v>34266</v>
      </c>
      <c r="E131" s="1" t="s">
        <v>25</v>
      </c>
      <c r="F131" s="1">
        <v>5</v>
      </c>
      <c r="G131" s="1">
        <v>90029</v>
      </c>
      <c r="H131" s="1">
        <v>38000</v>
      </c>
      <c r="I131" s="1">
        <v>369</v>
      </c>
      <c r="J131" s="1">
        <v>267</v>
      </c>
      <c r="K131" s="1">
        <v>6</v>
      </c>
      <c r="L131" s="1">
        <v>308</v>
      </c>
      <c r="M131" s="1" t="s">
        <v>31</v>
      </c>
      <c r="N131" s="1" t="s">
        <v>22</v>
      </c>
    </row>
    <row r="132" spans="1:14">
      <c r="A132" s="1">
        <v>1563186</v>
      </c>
      <c r="B132" s="1" t="s">
        <v>19</v>
      </c>
      <c r="C132" s="1" t="s">
        <v>15</v>
      </c>
      <c r="D132" s="2">
        <v>23458</v>
      </c>
      <c r="E132" s="1" t="s">
        <v>16</v>
      </c>
      <c r="F132" s="1">
        <v>5</v>
      </c>
      <c r="G132" s="1">
        <v>90020</v>
      </c>
      <c r="H132" s="1">
        <v>70000</v>
      </c>
      <c r="I132" s="1">
        <v>779</v>
      </c>
      <c r="J132" s="1">
        <v>871</v>
      </c>
      <c r="K132" s="1">
        <v>13</v>
      </c>
      <c r="L132" s="1">
        <v>76</v>
      </c>
      <c r="M132" s="1" t="s">
        <v>31</v>
      </c>
      <c r="N132" s="1" t="s">
        <v>26</v>
      </c>
    </row>
    <row r="133" spans="1:14">
      <c r="A133" s="1">
        <v>1563296</v>
      </c>
      <c r="B133" s="1" t="s">
        <v>19</v>
      </c>
      <c r="C133" s="1" t="s">
        <v>20</v>
      </c>
      <c r="D133" s="2">
        <v>36384</v>
      </c>
      <c r="E133" s="1" t="s">
        <v>16</v>
      </c>
      <c r="F133" s="1">
        <v>3</v>
      </c>
      <c r="G133" s="1">
        <v>90027</v>
      </c>
      <c r="H133" s="1">
        <v>95000</v>
      </c>
      <c r="I133" s="1">
        <v>474</v>
      </c>
      <c r="J133" s="1">
        <v>407</v>
      </c>
      <c r="K133" s="1">
        <v>9</v>
      </c>
      <c r="L133" s="1">
        <v>30</v>
      </c>
      <c r="M133" s="1" t="s">
        <v>23</v>
      </c>
      <c r="N133" s="1" t="s">
        <v>18</v>
      </c>
    </row>
    <row r="134" spans="1:14">
      <c r="A134" s="1">
        <v>1563548</v>
      </c>
      <c r="B134" s="1" t="s">
        <v>19</v>
      </c>
      <c r="C134" s="1" t="s">
        <v>30</v>
      </c>
      <c r="D134" s="2">
        <v>32418</v>
      </c>
      <c r="E134" s="1" t="s">
        <v>16</v>
      </c>
      <c r="F134" s="1">
        <v>5</v>
      </c>
      <c r="G134" s="1">
        <v>90043</v>
      </c>
      <c r="H134" s="1">
        <v>167000</v>
      </c>
      <c r="I134" s="1">
        <v>1019</v>
      </c>
      <c r="J134" s="1">
        <v>692</v>
      </c>
      <c r="K134" s="1">
        <v>12</v>
      </c>
      <c r="L134" s="1">
        <v>221</v>
      </c>
      <c r="M134" s="1" t="s">
        <v>23</v>
      </c>
      <c r="N134" s="1" t="s">
        <v>18</v>
      </c>
    </row>
    <row r="135" spans="1:14">
      <c r="A135" s="1">
        <v>1563690</v>
      </c>
      <c r="B135" s="1" t="s">
        <v>19</v>
      </c>
      <c r="C135" s="1" t="s">
        <v>20</v>
      </c>
      <c r="D135" s="2">
        <v>23508</v>
      </c>
      <c r="E135" s="1" t="s">
        <v>16</v>
      </c>
      <c r="F135" s="1">
        <v>4</v>
      </c>
      <c r="G135" s="1">
        <v>90057</v>
      </c>
      <c r="H135" s="1">
        <v>100000</v>
      </c>
      <c r="I135" s="1">
        <v>281</v>
      </c>
      <c r="J135" s="1">
        <v>221</v>
      </c>
      <c r="K135" s="1">
        <v>4</v>
      </c>
      <c r="L135" s="1">
        <v>354</v>
      </c>
      <c r="M135" s="1" t="s">
        <v>23</v>
      </c>
      <c r="N135" s="1" t="s">
        <v>26</v>
      </c>
    </row>
    <row r="136" spans="1:14">
      <c r="A136" s="1">
        <v>1563805</v>
      </c>
      <c r="B136" s="1" t="s">
        <v>14</v>
      </c>
      <c r="C136" s="1" t="s">
        <v>20</v>
      </c>
      <c r="D136" s="2">
        <v>28996</v>
      </c>
      <c r="E136" s="1" t="s">
        <v>16</v>
      </c>
      <c r="F136" s="1">
        <v>5</v>
      </c>
      <c r="G136" s="1">
        <v>90032</v>
      </c>
      <c r="H136" s="1">
        <v>54000</v>
      </c>
      <c r="I136" s="1">
        <v>194</v>
      </c>
      <c r="J136" s="1">
        <v>151</v>
      </c>
      <c r="K136" s="1">
        <v>2</v>
      </c>
      <c r="L136" s="1">
        <v>234</v>
      </c>
      <c r="M136" s="1" t="s">
        <v>31</v>
      </c>
      <c r="N136" s="1" t="s">
        <v>26</v>
      </c>
    </row>
    <row r="137" spans="1:14">
      <c r="A137" s="1">
        <v>1563935</v>
      </c>
      <c r="B137" s="1" t="s">
        <v>19</v>
      </c>
      <c r="C137" s="1" t="s">
        <v>24</v>
      </c>
      <c r="D137" s="2">
        <v>27102</v>
      </c>
      <c r="E137" s="1" t="s">
        <v>16</v>
      </c>
      <c r="F137" s="1">
        <v>1</v>
      </c>
      <c r="G137" s="1">
        <v>90063</v>
      </c>
      <c r="H137" s="1">
        <v>74000</v>
      </c>
      <c r="I137" s="1">
        <v>1062</v>
      </c>
      <c r="J137" s="1">
        <v>1075</v>
      </c>
      <c r="K137" s="1">
        <v>28</v>
      </c>
      <c r="L137" s="1">
        <v>145</v>
      </c>
      <c r="M137" s="1" t="s">
        <v>31</v>
      </c>
      <c r="N137" s="1" t="s">
        <v>26</v>
      </c>
    </row>
    <row r="138" spans="1:14">
      <c r="A138" s="1">
        <v>1563995</v>
      </c>
      <c r="B138" s="1" t="s">
        <v>19</v>
      </c>
      <c r="C138" s="1" t="s">
        <v>28</v>
      </c>
      <c r="D138" s="2">
        <v>21529</v>
      </c>
      <c r="E138" s="1" t="s">
        <v>16</v>
      </c>
      <c r="F138" s="1">
        <v>2</v>
      </c>
      <c r="G138" s="1">
        <v>90010</v>
      </c>
      <c r="H138" s="1">
        <v>109000</v>
      </c>
      <c r="I138" s="1">
        <v>178</v>
      </c>
      <c r="J138" s="1">
        <v>127</v>
      </c>
      <c r="K138" s="1">
        <v>1</v>
      </c>
      <c r="L138" s="1">
        <v>319</v>
      </c>
      <c r="M138" s="1" t="s">
        <v>23</v>
      </c>
      <c r="N138" s="1" t="s">
        <v>26</v>
      </c>
    </row>
    <row r="139" spans="1:14">
      <c r="A139" s="1">
        <v>1564191</v>
      </c>
      <c r="B139" s="1" t="s">
        <v>19</v>
      </c>
      <c r="C139" s="1" t="s">
        <v>20</v>
      </c>
      <c r="D139" s="2">
        <v>35020</v>
      </c>
      <c r="E139" s="1" t="s">
        <v>25</v>
      </c>
      <c r="F139" s="1">
        <v>3</v>
      </c>
      <c r="G139" s="1">
        <v>90059</v>
      </c>
      <c r="H139" s="1">
        <v>38000</v>
      </c>
      <c r="I139" s="1">
        <v>794</v>
      </c>
      <c r="J139" s="1">
        <v>555</v>
      </c>
      <c r="K139" s="1">
        <v>6</v>
      </c>
      <c r="L139" s="1">
        <v>14</v>
      </c>
      <c r="M139" s="1" t="s">
        <v>31</v>
      </c>
      <c r="N139" s="1" t="s">
        <v>27</v>
      </c>
    </row>
    <row r="140" spans="1:14">
      <c r="A140" s="1">
        <v>1564329</v>
      </c>
      <c r="B140" s="1" t="s">
        <v>14</v>
      </c>
      <c r="C140" s="1" t="s">
        <v>24</v>
      </c>
      <c r="D140" s="2">
        <v>29961</v>
      </c>
      <c r="E140" s="1" t="s">
        <v>16</v>
      </c>
      <c r="F140" s="1">
        <v>4</v>
      </c>
      <c r="G140" s="1">
        <v>90029</v>
      </c>
      <c r="H140" s="1">
        <v>102000</v>
      </c>
      <c r="I140" s="1">
        <v>522</v>
      </c>
      <c r="J140" s="1">
        <v>449</v>
      </c>
      <c r="K140" s="1">
        <v>6</v>
      </c>
      <c r="L140" s="1">
        <v>296</v>
      </c>
      <c r="M140" s="1" t="s">
        <v>31</v>
      </c>
      <c r="N140" s="1" t="s">
        <v>26</v>
      </c>
    </row>
    <row r="141" spans="1:14">
      <c r="A141" s="1">
        <v>1565323</v>
      </c>
      <c r="B141" s="1" t="s">
        <v>14</v>
      </c>
      <c r="C141" s="1" t="s">
        <v>20</v>
      </c>
      <c r="D141" s="2">
        <v>24316</v>
      </c>
      <c r="E141" s="1" t="s">
        <v>16</v>
      </c>
      <c r="F141" s="1">
        <v>3</v>
      </c>
      <c r="G141" s="1">
        <v>90059</v>
      </c>
      <c r="H141" s="1">
        <v>73000</v>
      </c>
      <c r="I141" s="1">
        <v>451</v>
      </c>
      <c r="J141" s="1">
        <v>421</v>
      </c>
      <c r="K141" s="1">
        <v>10</v>
      </c>
      <c r="L141" s="1">
        <v>180</v>
      </c>
      <c r="M141" s="1" t="s">
        <v>31</v>
      </c>
      <c r="N141" s="1" t="s">
        <v>18</v>
      </c>
    </row>
    <row r="142" spans="1:14">
      <c r="A142" s="1">
        <v>1565499</v>
      </c>
      <c r="B142" s="1" t="s">
        <v>19</v>
      </c>
      <c r="C142" s="1" t="s">
        <v>20</v>
      </c>
      <c r="D142" s="2">
        <v>30634</v>
      </c>
      <c r="E142" s="1" t="s">
        <v>16</v>
      </c>
      <c r="F142" s="1">
        <v>1</v>
      </c>
      <c r="G142" s="1">
        <v>90018</v>
      </c>
      <c r="H142" s="1">
        <v>69000</v>
      </c>
      <c r="I142" s="1">
        <v>424</v>
      </c>
      <c r="J142" s="1">
        <v>499</v>
      </c>
      <c r="K142" s="1">
        <v>9</v>
      </c>
      <c r="L142" s="1">
        <v>279</v>
      </c>
      <c r="M142" s="1" t="s">
        <v>31</v>
      </c>
      <c r="N142" s="1" t="s">
        <v>27</v>
      </c>
    </row>
    <row r="143" spans="1:14">
      <c r="A143" s="1">
        <v>1565587</v>
      </c>
      <c r="B143" s="1" t="s">
        <v>19</v>
      </c>
      <c r="C143" s="1" t="s">
        <v>15</v>
      </c>
      <c r="D143" s="2">
        <v>31194</v>
      </c>
      <c r="E143" s="1" t="s">
        <v>16</v>
      </c>
      <c r="F143" s="1">
        <v>4</v>
      </c>
      <c r="G143" s="1">
        <v>90063</v>
      </c>
      <c r="H143" s="1">
        <v>91000</v>
      </c>
      <c r="I143" s="1">
        <v>657</v>
      </c>
      <c r="J143" s="1">
        <v>842</v>
      </c>
      <c r="K143" s="1">
        <v>7</v>
      </c>
      <c r="L143" s="1">
        <v>103</v>
      </c>
      <c r="M143" s="1" t="s">
        <v>31</v>
      </c>
      <c r="N143" s="1" t="s">
        <v>22</v>
      </c>
    </row>
    <row r="144" spans="1:14">
      <c r="A144" s="1">
        <v>1565651</v>
      </c>
      <c r="B144" s="1" t="s">
        <v>19</v>
      </c>
      <c r="C144" s="1" t="s">
        <v>24</v>
      </c>
      <c r="D144" s="2">
        <v>19025</v>
      </c>
      <c r="E144" s="1" t="s">
        <v>16</v>
      </c>
      <c r="F144" s="1">
        <v>3</v>
      </c>
      <c r="G144" s="1">
        <v>90032</v>
      </c>
      <c r="H144" s="1">
        <v>65000</v>
      </c>
      <c r="I144" s="1">
        <v>1646</v>
      </c>
      <c r="J144" s="1">
        <v>1110</v>
      </c>
      <c r="K144" s="1">
        <v>7</v>
      </c>
      <c r="L144" s="1">
        <v>250</v>
      </c>
      <c r="M144" s="1" t="s">
        <v>21</v>
      </c>
      <c r="N144" s="1" t="s">
        <v>18</v>
      </c>
    </row>
    <row r="145" spans="1:14">
      <c r="A145" s="1">
        <v>1565786</v>
      </c>
      <c r="B145" s="1" t="s">
        <v>19</v>
      </c>
      <c r="C145" s="1" t="s">
        <v>28</v>
      </c>
      <c r="D145" s="2">
        <v>21969</v>
      </c>
      <c r="E145" s="1" t="s">
        <v>16</v>
      </c>
      <c r="F145" s="1">
        <v>3</v>
      </c>
      <c r="G145" s="1">
        <v>90031</v>
      </c>
      <c r="H145" s="1">
        <v>80000</v>
      </c>
      <c r="I145" s="1">
        <v>415</v>
      </c>
      <c r="J145" s="1">
        <v>300</v>
      </c>
      <c r="K145" s="1">
        <v>4</v>
      </c>
      <c r="L145" s="1">
        <v>139</v>
      </c>
      <c r="M145" s="1" t="s">
        <v>21</v>
      </c>
      <c r="N145" s="1" t="s">
        <v>27</v>
      </c>
    </row>
    <row r="146" spans="1:14">
      <c r="A146" s="1">
        <v>1566013</v>
      </c>
      <c r="B146" s="1" t="s">
        <v>14</v>
      </c>
      <c r="C146" s="1" t="s">
        <v>15</v>
      </c>
      <c r="D146" s="2">
        <v>36384</v>
      </c>
      <c r="E146" s="1" t="s">
        <v>16</v>
      </c>
      <c r="F146" s="1">
        <v>1</v>
      </c>
      <c r="G146" s="1">
        <v>90022</v>
      </c>
      <c r="H146" s="1">
        <v>34000</v>
      </c>
      <c r="I146" s="1">
        <v>960</v>
      </c>
      <c r="J146" s="1">
        <v>761</v>
      </c>
      <c r="K146" s="1">
        <v>12</v>
      </c>
      <c r="L146" s="1">
        <v>296</v>
      </c>
      <c r="M146" s="1" t="s">
        <v>31</v>
      </c>
      <c r="N146" s="1" t="s">
        <v>18</v>
      </c>
    </row>
    <row r="147" spans="1:14">
      <c r="A147" s="1">
        <v>1566051</v>
      </c>
      <c r="B147" s="1" t="s">
        <v>19</v>
      </c>
      <c r="C147" s="1" t="s">
        <v>24</v>
      </c>
      <c r="D147" s="2">
        <v>34967</v>
      </c>
      <c r="E147" s="1" t="s">
        <v>16</v>
      </c>
      <c r="F147" s="1">
        <v>1</v>
      </c>
      <c r="G147" s="1">
        <v>90029</v>
      </c>
      <c r="H147" s="1">
        <v>47000</v>
      </c>
      <c r="I147" s="1">
        <v>274</v>
      </c>
      <c r="J147" s="1">
        <v>517</v>
      </c>
      <c r="K147" s="1">
        <v>10</v>
      </c>
      <c r="L147" s="1">
        <v>345</v>
      </c>
      <c r="M147" s="1" t="s">
        <v>21</v>
      </c>
      <c r="N147" s="1" t="s">
        <v>22</v>
      </c>
    </row>
    <row r="148" spans="1:14">
      <c r="A148" s="1">
        <v>1566110</v>
      </c>
      <c r="B148" s="1" t="s">
        <v>19</v>
      </c>
      <c r="C148" s="1" t="s">
        <v>24</v>
      </c>
      <c r="D148" s="2">
        <v>24291</v>
      </c>
      <c r="E148" s="1" t="s">
        <v>25</v>
      </c>
      <c r="F148" s="1">
        <v>3</v>
      </c>
      <c r="G148" s="1">
        <v>90055</v>
      </c>
      <c r="H148" s="1">
        <v>51000</v>
      </c>
      <c r="I148" s="1">
        <v>683</v>
      </c>
      <c r="J148" s="1">
        <v>1092</v>
      </c>
      <c r="K148" s="1">
        <v>22</v>
      </c>
      <c r="L148" s="1">
        <v>358</v>
      </c>
      <c r="M148" s="1" t="s">
        <v>31</v>
      </c>
      <c r="N148" s="1" t="s">
        <v>26</v>
      </c>
    </row>
    <row r="149" spans="1:14">
      <c r="A149" s="1">
        <v>1566529</v>
      </c>
      <c r="B149" s="1" t="s">
        <v>14</v>
      </c>
      <c r="C149" s="1" t="s">
        <v>20</v>
      </c>
      <c r="D149" s="2">
        <v>33666</v>
      </c>
      <c r="E149" s="1" t="s">
        <v>16</v>
      </c>
      <c r="F149" s="1">
        <v>3</v>
      </c>
      <c r="G149" s="1">
        <v>90016</v>
      </c>
      <c r="H149" s="1">
        <v>78000</v>
      </c>
      <c r="I149" s="1">
        <v>1164</v>
      </c>
      <c r="J149" s="1">
        <v>1105</v>
      </c>
      <c r="K149" s="1">
        <v>13</v>
      </c>
      <c r="L149" s="1">
        <v>280</v>
      </c>
      <c r="M149" s="1" t="s">
        <v>32</v>
      </c>
      <c r="N149" s="1" t="s">
        <v>26</v>
      </c>
    </row>
    <row r="150" spans="1:14">
      <c r="A150" s="1">
        <v>1567124</v>
      </c>
      <c r="B150" s="1" t="s">
        <v>14</v>
      </c>
      <c r="C150" s="1" t="s">
        <v>15</v>
      </c>
      <c r="D150" s="2">
        <v>20798</v>
      </c>
      <c r="E150" s="1" t="s">
        <v>25</v>
      </c>
      <c r="F150" s="1">
        <v>5</v>
      </c>
      <c r="G150" s="1">
        <v>90015</v>
      </c>
      <c r="H150" s="1">
        <v>67000</v>
      </c>
      <c r="I150" s="1">
        <v>610</v>
      </c>
      <c r="J150" s="1">
        <v>1128</v>
      </c>
      <c r="K150" s="1">
        <v>10</v>
      </c>
      <c r="L150" s="1">
        <v>59</v>
      </c>
      <c r="M150" s="1" t="s">
        <v>21</v>
      </c>
      <c r="N150" s="1" t="s">
        <v>26</v>
      </c>
    </row>
    <row r="151" spans="1:14">
      <c r="A151" s="1">
        <v>1567193</v>
      </c>
      <c r="B151" s="1" t="s">
        <v>14</v>
      </c>
      <c r="C151" s="1" t="s">
        <v>20</v>
      </c>
      <c r="D151" s="2">
        <v>23665</v>
      </c>
      <c r="E151" s="1" t="s">
        <v>16</v>
      </c>
      <c r="F151" s="1">
        <v>3</v>
      </c>
      <c r="G151" s="1">
        <v>90010</v>
      </c>
      <c r="H151" s="1">
        <v>61000</v>
      </c>
      <c r="I151" s="1">
        <v>1157</v>
      </c>
      <c r="J151" s="1">
        <v>962</v>
      </c>
      <c r="K151" s="1">
        <v>22</v>
      </c>
      <c r="L151" s="1">
        <v>168</v>
      </c>
      <c r="M151" s="1" t="s">
        <v>32</v>
      </c>
      <c r="N151" s="1" t="s">
        <v>22</v>
      </c>
    </row>
    <row r="152" spans="1:14">
      <c r="A152" s="1">
        <v>1567195</v>
      </c>
      <c r="B152" s="1" t="s">
        <v>19</v>
      </c>
      <c r="C152" s="1" t="s">
        <v>20</v>
      </c>
      <c r="D152" s="2">
        <v>21379</v>
      </c>
      <c r="E152" s="1" t="s">
        <v>16</v>
      </c>
      <c r="F152" s="1">
        <v>2</v>
      </c>
      <c r="G152" s="1">
        <v>90047</v>
      </c>
      <c r="H152" s="1">
        <v>136000</v>
      </c>
      <c r="I152" s="1">
        <v>333</v>
      </c>
      <c r="J152" s="1">
        <v>563</v>
      </c>
      <c r="K152" s="1">
        <v>14</v>
      </c>
      <c r="L152" s="1">
        <v>15</v>
      </c>
      <c r="M152" s="1" t="s">
        <v>31</v>
      </c>
      <c r="N152" s="1" t="s">
        <v>26</v>
      </c>
    </row>
    <row r="153" spans="1:14">
      <c r="A153" s="1">
        <v>1567250</v>
      </c>
      <c r="B153" s="1" t="s">
        <v>19</v>
      </c>
      <c r="C153" s="1" t="s">
        <v>20</v>
      </c>
      <c r="D153" s="2">
        <v>28197</v>
      </c>
      <c r="E153" s="1" t="s">
        <v>16</v>
      </c>
      <c r="F153" s="1">
        <v>4</v>
      </c>
      <c r="G153" s="1">
        <v>90050</v>
      </c>
      <c r="H153" s="1">
        <v>77000</v>
      </c>
      <c r="I153" s="1">
        <v>275</v>
      </c>
      <c r="J153" s="1">
        <v>288</v>
      </c>
      <c r="K153" s="1">
        <v>2</v>
      </c>
      <c r="L153" s="1">
        <v>174</v>
      </c>
      <c r="M153" s="1" t="s">
        <v>31</v>
      </c>
      <c r="N153" s="1" t="s">
        <v>18</v>
      </c>
    </row>
    <row r="154" spans="1:14">
      <c r="A154" s="1">
        <v>1567389</v>
      </c>
      <c r="B154" s="1" t="s">
        <v>14</v>
      </c>
      <c r="C154" s="1" t="s">
        <v>15</v>
      </c>
      <c r="D154" s="2">
        <v>36869</v>
      </c>
      <c r="E154" s="1" t="s">
        <v>16</v>
      </c>
      <c r="F154" s="1">
        <v>2</v>
      </c>
      <c r="G154" s="1">
        <v>90030</v>
      </c>
      <c r="H154" s="1">
        <v>41000</v>
      </c>
      <c r="I154" s="1">
        <v>1344</v>
      </c>
      <c r="J154" s="1">
        <v>979</v>
      </c>
      <c r="K154" s="1">
        <v>9</v>
      </c>
      <c r="L154" s="1">
        <v>213</v>
      </c>
      <c r="M154" s="1" t="s">
        <v>23</v>
      </c>
      <c r="N154" s="1" t="s">
        <v>26</v>
      </c>
    </row>
    <row r="155" spans="1:14">
      <c r="A155" s="1">
        <v>1567469</v>
      </c>
      <c r="B155" s="1" t="s">
        <v>19</v>
      </c>
      <c r="C155" s="1" t="s">
        <v>20</v>
      </c>
      <c r="D155" s="2">
        <v>21964</v>
      </c>
      <c r="E155" s="1" t="s">
        <v>16</v>
      </c>
      <c r="F155" s="1">
        <v>1</v>
      </c>
      <c r="G155" s="1">
        <v>90065</v>
      </c>
      <c r="H155" s="1">
        <v>87000</v>
      </c>
      <c r="I155" s="1">
        <v>157</v>
      </c>
      <c r="J155" s="1">
        <v>247</v>
      </c>
      <c r="K155" s="1">
        <v>4</v>
      </c>
      <c r="L155" s="1">
        <v>129</v>
      </c>
      <c r="M155" s="1" t="s">
        <v>31</v>
      </c>
      <c r="N155" s="1" t="s">
        <v>27</v>
      </c>
    </row>
    <row r="156" spans="1:14">
      <c r="A156" s="1">
        <v>1567597</v>
      </c>
      <c r="B156" s="1" t="s">
        <v>19</v>
      </c>
      <c r="C156" s="1" t="s">
        <v>20</v>
      </c>
      <c r="D156" s="2">
        <v>29834</v>
      </c>
      <c r="E156" s="1" t="s">
        <v>25</v>
      </c>
      <c r="F156" s="1">
        <v>1</v>
      </c>
      <c r="G156" s="1">
        <v>90032</v>
      </c>
      <c r="H156" s="1">
        <v>71000</v>
      </c>
      <c r="I156" s="1">
        <v>882</v>
      </c>
      <c r="J156" s="1">
        <v>659</v>
      </c>
      <c r="K156" s="1">
        <v>11</v>
      </c>
      <c r="L156" s="1">
        <v>121</v>
      </c>
      <c r="M156" s="1" t="s">
        <v>23</v>
      </c>
      <c r="N156" s="1" t="s">
        <v>27</v>
      </c>
    </row>
    <row r="157" spans="1:14">
      <c r="A157" s="1">
        <v>1567998</v>
      </c>
      <c r="B157" s="1" t="s">
        <v>14</v>
      </c>
      <c r="C157" s="1" t="s">
        <v>20</v>
      </c>
      <c r="D157" s="2">
        <v>32290</v>
      </c>
      <c r="E157" s="1" t="s">
        <v>16</v>
      </c>
      <c r="F157" s="1">
        <v>2</v>
      </c>
      <c r="G157" s="1">
        <v>90014</v>
      </c>
      <c r="H157" s="1">
        <v>40000</v>
      </c>
      <c r="I157" s="1">
        <v>653</v>
      </c>
      <c r="J157" s="1">
        <v>556</v>
      </c>
      <c r="K157" s="1">
        <v>5</v>
      </c>
      <c r="L157" s="1">
        <v>100</v>
      </c>
      <c r="M157" s="1" t="s">
        <v>31</v>
      </c>
      <c r="N157" s="1" t="s">
        <v>27</v>
      </c>
    </row>
    <row r="158" spans="1:14">
      <c r="A158" s="1">
        <v>1568380</v>
      </c>
      <c r="B158" s="1" t="s">
        <v>14</v>
      </c>
      <c r="C158" s="1" t="s">
        <v>29</v>
      </c>
      <c r="D158" s="2">
        <v>20686</v>
      </c>
      <c r="E158" s="1" t="s">
        <v>16</v>
      </c>
      <c r="F158" s="1">
        <v>2</v>
      </c>
      <c r="G158" s="1">
        <v>90020</v>
      </c>
      <c r="H158" s="1">
        <v>62000</v>
      </c>
      <c r="I158" s="1">
        <v>1096</v>
      </c>
      <c r="J158" s="1">
        <v>963</v>
      </c>
      <c r="K158" s="1">
        <v>9</v>
      </c>
      <c r="L158" s="1">
        <v>231</v>
      </c>
      <c r="M158" s="1" t="s">
        <v>21</v>
      </c>
      <c r="N158" s="1" t="s">
        <v>22</v>
      </c>
    </row>
    <row r="159" spans="1:14">
      <c r="A159" s="1">
        <v>1568821</v>
      </c>
      <c r="B159" s="1" t="s">
        <v>14</v>
      </c>
      <c r="C159" s="1" t="s">
        <v>20</v>
      </c>
      <c r="D159" s="2">
        <v>27207</v>
      </c>
      <c r="E159" s="1" t="s">
        <v>16</v>
      </c>
      <c r="F159" s="1">
        <v>2</v>
      </c>
      <c r="G159" s="1">
        <v>90034</v>
      </c>
      <c r="H159" s="1">
        <v>52000</v>
      </c>
      <c r="I159" s="1">
        <v>572</v>
      </c>
      <c r="J159" s="1">
        <v>698</v>
      </c>
      <c r="K159" s="1">
        <v>10</v>
      </c>
      <c r="L159" s="1">
        <v>345</v>
      </c>
      <c r="M159" s="1" t="s">
        <v>31</v>
      </c>
      <c r="N159" s="1" t="s">
        <v>22</v>
      </c>
    </row>
    <row r="160" spans="1:14">
      <c r="A160" s="1">
        <v>1569187</v>
      </c>
      <c r="B160" s="1" t="s">
        <v>19</v>
      </c>
      <c r="C160" s="1" t="s">
        <v>15</v>
      </c>
      <c r="D160" s="2">
        <v>20497</v>
      </c>
      <c r="E160" s="1" t="s">
        <v>16</v>
      </c>
      <c r="F160" s="1">
        <v>4</v>
      </c>
      <c r="G160" s="1">
        <v>90054</v>
      </c>
      <c r="H160" s="1">
        <v>68000</v>
      </c>
      <c r="I160" s="1">
        <v>758</v>
      </c>
      <c r="J160" s="1">
        <v>620</v>
      </c>
      <c r="K160" s="1">
        <v>11</v>
      </c>
      <c r="L160" s="1">
        <v>97</v>
      </c>
      <c r="M160" s="1" t="s">
        <v>32</v>
      </c>
      <c r="N160" s="1" t="s">
        <v>26</v>
      </c>
    </row>
    <row r="161" spans="1:14">
      <c r="A161" s="1">
        <v>1569198</v>
      </c>
      <c r="B161" s="1" t="s">
        <v>19</v>
      </c>
      <c r="C161" s="1" t="s">
        <v>24</v>
      </c>
      <c r="D161" s="2">
        <v>19878</v>
      </c>
      <c r="E161" s="1" t="s">
        <v>16</v>
      </c>
      <c r="F161" s="1">
        <v>4</v>
      </c>
      <c r="G161" s="1">
        <v>90064</v>
      </c>
      <c r="H161" s="1">
        <v>54000</v>
      </c>
      <c r="I161" s="1">
        <v>835</v>
      </c>
      <c r="J161" s="1">
        <v>920</v>
      </c>
      <c r="K161" s="1">
        <v>23</v>
      </c>
      <c r="L161" s="1">
        <v>331</v>
      </c>
      <c r="M161" s="1" t="s">
        <v>31</v>
      </c>
      <c r="N161" s="1" t="s">
        <v>26</v>
      </c>
    </row>
    <row r="162" spans="1:14">
      <c r="A162" s="1">
        <v>1569840</v>
      </c>
      <c r="B162" s="1" t="s">
        <v>14</v>
      </c>
      <c r="C162" s="1" t="s">
        <v>20</v>
      </c>
      <c r="D162" s="2">
        <v>32745</v>
      </c>
      <c r="E162" s="1" t="s">
        <v>16</v>
      </c>
      <c r="F162" s="1">
        <v>1</v>
      </c>
      <c r="G162" s="1">
        <v>90007</v>
      </c>
      <c r="H162" s="1">
        <v>44000</v>
      </c>
      <c r="I162" s="1">
        <v>700</v>
      </c>
      <c r="J162" s="1">
        <v>823</v>
      </c>
      <c r="K162" s="1">
        <v>20</v>
      </c>
      <c r="L162" s="1">
        <v>173</v>
      </c>
      <c r="M162" s="1" t="s">
        <v>31</v>
      </c>
      <c r="N162" s="1" t="s">
        <v>26</v>
      </c>
    </row>
    <row r="163" spans="1:14">
      <c r="A163" s="1">
        <v>1570150</v>
      </c>
      <c r="B163" s="1" t="s">
        <v>14</v>
      </c>
      <c r="C163" s="1" t="s">
        <v>20</v>
      </c>
      <c r="D163" s="2">
        <v>23078</v>
      </c>
      <c r="E163" s="1" t="s">
        <v>25</v>
      </c>
      <c r="F163" s="1">
        <v>3</v>
      </c>
      <c r="G163" s="1">
        <v>90054</v>
      </c>
      <c r="H163" s="1">
        <v>53000</v>
      </c>
      <c r="I163" s="1">
        <v>947</v>
      </c>
      <c r="J163" s="1">
        <v>1155</v>
      </c>
      <c r="K163" s="1">
        <v>27</v>
      </c>
      <c r="L163" s="1">
        <v>352</v>
      </c>
      <c r="M163" s="1" t="s">
        <v>23</v>
      </c>
      <c r="N163" s="1" t="s">
        <v>22</v>
      </c>
    </row>
    <row r="164" spans="1:14">
      <c r="A164" s="1">
        <v>1571158</v>
      </c>
      <c r="B164" s="1" t="s">
        <v>19</v>
      </c>
      <c r="C164" s="1" t="s">
        <v>15</v>
      </c>
      <c r="D164" s="2">
        <v>29181</v>
      </c>
      <c r="E164" s="1" t="s">
        <v>16</v>
      </c>
      <c r="F164" s="1">
        <v>1</v>
      </c>
      <c r="G164" s="1">
        <v>90052</v>
      </c>
      <c r="H164" s="1">
        <v>74000</v>
      </c>
      <c r="I164" s="1">
        <v>214</v>
      </c>
      <c r="J164" s="1">
        <v>220</v>
      </c>
      <c r="K164" s="1">
        <v>2</v>
      </c>
      <c r="L164" s="1">
        <v>134</v>
      </c>
      <c r="M164" s="1" t="s">
        <v>31</v>
      </c>
      <c r="N164" s="1" t="s">
        <v>26</v>
      </c>
    </row>
    <row r="165" spans="1:14">
      <c r="A165" s="1">
        <v>1571419</v>
      </c>
      <c r="B165" s="1" t="s">
        <v>14</v>
      </c>
      <c r="C165" s="1" t="s">
        <v>15</v>
      </c>
      <c r="D165" s="2">
        <v>23606</v>
      </c>
      <c r="E165" s="1" t="s">
        <v>16</v>
      </c>
      <c r="F165" s="1">
        <v>5</v>
      </c>
      <c r="G165" s="1">
        <v>90064</v>
      </c>
      <c r="H165" s="1">
        <v>41000</v>
      </c>
      <c r="I165" s="1">
        <v>1285</v>
      </c>
      <c r="J165" s="1">
        <v>1137</v>
      </c>
      <c r="K165" s="1">
        <v>18</v>
      </c>
      <c r="L165" s="1">
        <v>44</v>
      </c>
      <c r="M165" s="1" t="s">
        <v>23</v>
      </c>
      <c r="N165" s="1" t="s">
        <v>26</v>
      </c>
    </row>
    <row r="166" spans="1:14">
      <c r="A166" s="1">
        <v>1571455</v>
      </c>
      <c r="B166" s="1" t="s">
        <v>19</v>
      </c>
      <c r="C166" s="1" t="s">
        <v>28</v>
      </c>
      <c r="D166" s="2">
        <v>21980</v>
      </c>
      <c r="E166" s="1" t="s">
        <v>16</v>
      </c>
      <c r="F166" s="1">
        <v>4</v>
      </c>
      <c r="G166" s="1">
        <v>90043</v>
      </c>
      <c r="H166" s="1">
        <v>95000</v>
      </c>
      <c r="I166" s="1">
        <v>585</v>
      </c>
      <c r="J166" s="1">
        <v>1144</v>
      </c>
      <c r="K166" s="1">
        <v>7</v>
      </c>
      <c r="L166" s="1">
        <v>176</v>
      </c>
      <c r="M166" s="1" t="s">
        <v>23</v>
      </c>
      <c r="N166" s="1" t="s">
        <v>26</v>
      </c>
    </row>
    <row r="167" spans="1:14">
      <c r="A167" s="1">
        <v>1571457</v>
      </c>
      <c r="B167" s="1" t="s">
        <v>19</v>
      </c>
      <c r="C167" s="1" t="s">
        <v>20</v>
      </c>
      <c r="D167" s="2">
        <v>35114</v>
      </c>
      <c r="E167" s="1" t="s">
        <v>16</v>
      </c>
      <c r="F167" s="1">
        <v>1</v>
      </c>
      <c r="G167" s="1">
        <v>90001</v>
      </c>
      <c r="H167" s="1">
        <v>99000</v>
      </c>
      <c r="I167" s="1">
        <v>963</v>
      </c>
      <c r="J167" s="1">
        <v>1099</v>
      </c>
      <c r="K167" s="1">
        <v>13</v>
      </c>
      <c r="L167" s="1">
        <v>248</v>
      </c>
      <c r="M167" s="1" t="s">
        <v>31</v>
      </c>
      <c r="N167" s="1" t="s">
        <v>18</v>
      </c>
    </row>
    <row r="168" spans="1:14">
      <c r="A168" s="1">
        <v>1571887</v>
      </c>
      <c r="B168" s="1" t="s">
        <v>19</v>
      </c>
      <c r="C168" s="1" t="s">
        <v>15</v>
      </c>
      <c r="D168" s="2">
        <v>27983</v>
      </c>
      <c r="E168" s="1" t="s">
        <v>16</v>
      </c>
      <c r="F168" s="1">
        <v>5</v>
      </c>
      <c r="G168" s="1">
        <v>90013</v>
      </c>
      <c r="H168" s="1">
        <v>99000</v>
      </c>
      <c r="I168" s="1">
        <v>610</v>
      </c>
      <c r="J168" s="1">
        <v>520</v>
      </c>
      <c r="K168" s="1">
        <v>7</v>
      </c>
      <c r="L168" s="1">
        <v>68</v>
      </c>
      <c r="M168" s="1" t="s">
        <v>21</v>
      </c>
      <c r="N168" s="1" t="s">
        <v>18</v>
      </c>
    </row>
    <row r="169" spans="1:14">
      <c r="A169" s="1">
        <v>1571944</v>
      </c>
      <c r="B169" s="1" t="s">
        <v>19</v>
      </c>
      <c r="C169" s="1" t="s">
        <v>20</v>
      </c>
      <c r="D169" s="2">
        <v>24796</v>
      </c>
      <c r="E169" s="1" t="s">
        <v>16</v>
      </c>
      <c r="F169" s="1">
        <v>5</v>
      </c>
      <c r="G169" s="1">
        <v>90001</v>
      </c>
      <c r="H169" s="1">
        <v>86000</v>
      </c>
      <c r="I169" s="1">
        <v>312</v>
      </c>
      <c r="J169" s="1">
        <v>226</v>
      </c>
      <c r="K169" s="1">
        <v>2</v>
      </c>
      <c r="L169" s="1">
        <v>100</v>
      </c>
      <c r="M169" s="1" t="s">
        <v>31</v>
      </c>
      <c r="N169" s="1" t="s">
        <v>22</v>
      </c>
    </row>
    <row r="170" spans="1:14">
      <c r="A170" s="1">
        <v>1572715</v>
      </c>
      <c r="B170" s="1" t="s">
        <v>14</v>
      </c>
      <c r="C170" s="1" t="s">
        <v>15</v>
      </c>
      <c r="D170" s="2">
        <v>35545</v>
      </c>
      <c r="E170" s="1" t="s">
        <v>25</v>
      </c>
      <c r="F170" s="1">
        <v>4</v>
      </c>
      <c r="G170" s="1">
        <v>90026</v>
      </c>
      <c r="H170" s="1">
        <v>43000</v>
      </c>
      <c r="I170" s="1">
        <v>93</v>
      </c>
      <c r="J170" s="1">
        <v>69</v>
      </c>
      <c r="K170" s="1">
        <v>1</v>
      </c>
      <c r="L170" s="1">
        <v>223</v>
      </c>
      <c r="M170" s="1" t="s">
        <v>31</v>
      </c>
      <c r="N170" s="1" t="s">
        <v>22</v>
      </c>
    </row>
    <row r="171" spans="1:14">
      <c r="A171" s="1">
        <v>1572877</v>
      </c>
      <c r="B171" s="1" t="s">
        <v>14</v>
      </c>
      <c r="C171" s="1" t="s">
        <v>20</v>
      </c>
      <c r="D171" s="2">
        <v>36369</v>
      </c>
      <c r="E171" s="1" t="s">
        <v>25</v>
      </c>
      <c r="F171" s="1">
        <v>1</v>
      </c>
      <c r="G171" s="1">
        <v>90032</v>
      </c>
      <c r="H171" s="1">
        <v>42000</v>
      </c>
      <c r="I171" s="1">
        <v>245</v>
      </c>
      <c r="J171" s="1">
        <v>183</v>
      </c>
      <c r="K171" s="1">
        <v>4</v>
      </c>
      <c r="L171" s="1">
        <v>60</v>
      </c>
      <c r="M171" s="1" t="s">
        <v>31</v>
      </c>
      <c r="N171" s="1" t="s">
        <v>22</v>
      </c>
    </row>
    <row r="172" spans="1:14">
      <c r="A172" s="1">
        <v>1573196</v>
      </c>
      <c r="B172" s="1" t="s">
        <v>14</v>
      </c>
      <c r="C172" s="1" t="s">
        <v>15</v>
      </c>
      <c r="D172" s="2">
        <v>36834</v>
      </c>
      <c r="E172" s="1" t="s">
        <v>16</v>
      </c>
      <c r="F172" s="1">
        <v>4</v>
      </c>
      <c r="G172" s="1">
        <v>90012</v>
      </c>
      <c r="H172" s="1">
        <v>70000</v>
      </c>
      <c r="I172" s="1">
        <v>127</v>
      </c>
      <c r="J172" s="1">
        <v>104</v>
      </c>
      <c r="K172" s="1">
        <v>3</v>
      </c>
      <c r="L172" s="1">
        <v>137</v>
      </c>
      <c r="M172" s="1" t="s">
        <v>21</v>
      </c>
      <c r="N172" s="1" t="s">
        <v>27</v>
      </c>
    </row>
    <row r="173" spans="1:14">
      <c r="A173" s="1">
        <v>1573273</v>
      </c>
      <c r="B173" s="1" t="s">
        <v>19</v>
      </c>
      <c r="C173" s="1" t="s">
        <v>20</v>
      </c>
      <c r="D173" s="2">
        <v>27646</v>
      </c>
      <c r="E173" s="1" t="s">
        <v>16</v>
      </c>
      <c r="F173" s="1">
        <v>5</v>
      </c>
      <c r="G173" s="1">
        <v>90023</v>
      </c>
      <c r="H173" s="1">
        <v>110000</v>
      </c>
      <c r="I173" s="1">
        <v>1497</v>
      </c>
      <c r="J173" s="1">
        <v>1157</v>
      </c>
      <c r="K173" s="1">
        <v>28</v>
      </c>
      <c r="L173" s="1">
        <v>220</v>
      </c>
      <c r="M173" s="1" t="s">
        <v>31</v>
      </c>
      <c r="N173" s="1" t="s">
        <v>26</v>
      </c>
    </row>
    <row r="174" spans="1:14">
      <c r="A174" s="1">
        <v>1573758</v>
      </c>
      <c r="B174" s="1" t="s">
        <v>14</v>
      </c>
      <c r="C174" s="1" t="s">
        <v>24</v>
      </c>
      <c r="D174" s="2">
        <v>36684</v>
      </c>
      <c r="E174" s="1" t="s">
        <v>25</v>
      </c>
      <c r="F174" s="1">
        <v>3</v>
      </c>
      <c r="G174" s="1">
        <v>90013</v>
      </c>
      <c r="H174" s="1">
        <v>57000</v>
      </c>
      <c r="I174" s="1">
        <v>531</v>
      </c>
      <c r="J174" s="1">
        <v>986</v>
      </c>
      <c r="K174" s="1">
        <v>15</v>
      </c>
      <c r="L174" s="1">
        <v>13</v>
      </c>
      <c r="M174" s="1" t="s">
        <v>31</v>
      </c>
      <c r="N174" s="1" t="s">
        <v>22</v>
      </c>
    </row>
    <row r="175" spans="1:14">
      <c r="A175" s="1">
        <v>1573908</v>
      </c>
      <c r="B175" s="1" t="s">
        <v>19</v>
      </c>
      <c r="C175" s="1" t="s">
        <v>20</v>
      </c>
      <c r="D175" s="2">
        <v>33126</v>
      </c>
      <c r="E175" s="1" t="s">
        <v>25</v>
      </c>
      <c r="F175" s="1">
        <v>4</v>
      </c>
      <c r="G175" s="1">
        <v>90039</v>
      </c>
      <c r="H175" s="1">
        <v>71000</v>
      </c>
      <c r="I175" s="1">
        <v>213</v>
      </c>
      <c r="J175" s="1">
        <v>293</v>
      </c>
      <c r="K175" s="1">
        <v>2</v>
      </c>
      <c r="L175" s="1">
        <v>42</v>
      </c>
      <c r="M175" s="1" t="s">
        <v>23</v>
      </c>
      <c r="N175" s="1" t="s">
        <v>27</v>
      </c>
    </row>
    <row r="176" spans="1:14">
      <c r="A176" s="1">
        <v>1574015</v>
      </c>
      <c r="B176" s="1" t="s">
        <v>19</v>
      </c>
      <c r="C176" s="1" t="s">
        <v>20</v>
      </c>
      <c r="D176" s="2">
        <v>32258</v>
      </c>
      <c r="E176" s="1" t="s">
        <v>25</v>
      </c>
      <c r="F176" s="1">
        <v>2</v>
      </c>
      <c r="G176" s="1">
        <v>90049</v>
      </c>
      <c r="H176" s="1">
        <v>67000</v>
      </c>
      <c r="I176" s="1">
        <v>708</v>
      </c>
      <c r="J176" s="1">
        <v>549</v>
      </c>
      <c r="K176" s="1">
        <v>12</v>
      </c>
      <c r="L176" s="1">
        <v>133</v>
      </c>
      <c r="M176" s="1" t="s">
        <v>21</v>
      </c>
      <c r="N176" s="1" t="s">
        <v>26</v>
      </c>
    </row>
    <row r="177" spans="1:14">
      <c r="A177" s="1">
        <v>1574042</v>
      </c>
      <c r="B177" s="1" t="s">
        <v>14</v>
      </c>
      <c r="C177" s="1" t="s">
        <v>24</v>
      </c>
      <c r="D177" s="2">
        <v>27321</v>
      </c>
      <c r="E177" s="1" t="s">
        <v>16</v>
      </c>
      <c r="F177" s="1">
        <v>3</v>
      </c>
      <c r="G177" s="1">
        <v>90013</v>
      </c>
      <c r="H177" s="1">
        <v>108000</v>
      </c>
      <c r="I177" s="1">
        <v>593</v>
      </c>
      <c r="J177" s="1">
        <v>1044</v>
      </c>
      <c r="K177" s="1">
        <v>9</v>
      </c>
      <c r="L177" s="1">
        <v>213</v>
      </c>
      <c r="M177" s="1" t="s">
        <v>31</v>
      </c>
      <c r="N177" s="1" t="s">
        <v>22</v>
      </c>
    </row>
    <row r="178" spans="1:14">
      <c r="A178" s="1">
        <v>1574047</v>
      </c>
      <c r="B178" s="1" t="s">
        <v>14</v>
      </c>
      <c r="C178" s="1" t="s">
        <v>15</v>
      </c>
      <c r="D178" s="2">
        <v>26333</v>
      </c>
      <c r="E178" s="1" t="s">
        <v>16</v>
      </c>
      <c r="F178" s="1">
        <v>1</v>
      </c>
      <c r="G178" s="1">
        <v>90010</v>
      </c>
      <c r="H178" s="1">
        <v>49000</v>
      </c>
      <c r="I178" s="1">
        <v>298</v>
      </c>
      <c r="J178" s="1">
        <v>202</v>
      </c>
      <c r="K178" s="1">
        <v>2</v>
      </c>
      <c r="L178" s="1">
        <v>248</v>
      </c>
      <c r="M178" s="1" t="s">
        <v>31</v>
      </c>
      <c r="N178" s="1" t="s">
        <v>22</v>
      </c>
    </row>
    <row r="179" spans="1:14">
      <c r="A179" s="1">
        <v>1574098</v>
      </c>
      <c r="B179" s="1" t="s">
        <v>19</v>
      </c>
      <c r="C179" s="1" t="s">
        <v>24</v>
      </c>
      <c r="D179" s="2">
        <v>29183</v>
      </c>
      <c r="E179" s="1" t="s">
        <v>16</v>
      </c>
      <c r="F179" s="1">
        <v>4</v>
      </c>
      <c r="G179" s="1">
        <v>90050</v>
      </c>
      <c r="H179" s="1">
        <v>86000</v>
      </c>
      <c r="I179" s="1">
        <v>75</v>
      </c>
      <c r="J179" s="1">
        <v>68</v>
      </c>
      <c r="K179" s="1">
        <v>1</v>
      </c>
      <c r="L179" s="1">
        <v>176</v>
      </c>
      <c r="M179" s="1" t="s">
        <v>31</v>
      </c>
      <c r="N179" s="1" t="s">
        <v>27</v>
      </c>
    </row>
    <row r="180" spans="1:14">
      <c r="A180" s="1">
        <v>1574151</v>
      </c>
      <c r="B180" s="1" t="s">
        <v>14</v>
      </c>
      <c r="C180" s="1" t="s">
        <v>15</v>
      </c>
      <c r="D180" s="2">
        <v>29248</v>
      </c>
      <c r="E180" s="1" t="s">
        <v>16</v>
      </c>
      <c r="F180" s="1">
        <v>5</v>
      </c>
      <c r="G180" s="1">
        <v>90012</v>
      </c>
      <c r="H180" s="1">
        <v>61000</v>
      </c>
      <c r="I180" s="1">
        <v>778</v>
      </c>
      <c r="J180" s="1">
        <v>1144</v>
      </c>
      <c r="K180" s="1">
        <v>28</v>
      </c>
      <c r="L180" s="1">
        <v>95</v>
      </c>
      <c r="M180" s="1" t="s">
        <v>31</v>
      </c>
      <c r="N180" s="1" t="s">
        <v>22</v>
      </c>
    </row>
    <row r="181" spans="1:14">
      <c r="A181" s="1">
        <v>1574379</v>
      </c>
      <c r="B181" s="1" t="s">
        <v>19</v>
      </c>
      <c r="C181" s="1" t="s">
        <v>15</v>
      </c>
      <c r="D181" s="2">
        <v>29099</v>
      </c>
      <c r="E181" s="1" t="s">
        <v>16</v>
      </c>
      <c r="F181" s="1">
        <v>2</v>
      </c>
      <c r="G181" s="1">
        <v>90047</v>
      </c>
      <c r="H181" s="1">
        <v>60000</v>
      </c>
      <c r="I181" s="1">
        <v>514</v>
      </c>
      <c r="J181" s="1">
        <v>636</v>
      </c>
      <c r="K181" s="1">
        <v>10</v>
      </c>
      <c r="L181" s="1">
        <v>265</v>
      </c>
      <c r="M181" s="1" t="s">
        <v>21</v>
      </c>
      <c r="N181" s="1" t="s">
        <v>27</v>
      </c>
    </row>
    <row r="182" spans="1:14">
      <c r="A182" s="1">
        <v>1574687</v>
      </c>
      <c r="B182" s="1" t="s">
        <v>14</v>
      </c>
      <c r="C182" s="1" t="s">
        <v>15</v>
      </c>
      <c r="D182" s="2">
        <v>25123</v>
      </c>
      <c r="E182" s="1" t="s">
        <v>16</v>
      </c>
      <c r="F182" s="1">
        <v>1</v>
      </c>
      <c r="G182" s="1">
        <v>90030</v>
      </c>
      <c r="H182" s="1">
        <v>54000</v>
      </c>
      <c r="I182" s="1">
        <v>266</v>
      </c>
      <c r="J182" s="1">
        <v>338</v>
      </c>
      <c r="K182" s="1">
        <v>5</v>
      </c>
      <c r="L182" s="1">
        <v>281</v>
      </c>
      <c r="M182" s="1" t="s">
        <v>23</v>
      </c>
      <c r="N182" s="1" t="s">
        <v>27</v>
      </c>
    </row>
    <row r="183" spans="1:14">
      <c r="A183" s="1">
        <v>1574764</v>
      </c>
      <c r="B183" s="1" t="s">
        <v>14</v>
      </c>
      <c r="C183" s="1" t="s">
        <v>20</v>
      </c>
      <c r="D183" s="2">
        <v>29270</v>
      </c>
      <c r="E183" s="1" t="s">
        <v>16</v>
      </c>
      <c r="F183" s="1">
        <v>4</v>
      </c>
      <c r="G183" s="1">
        <v>90041</v>
      </c>
      <c r="H183" s="1">
        <v>87000</v>
      </c>
      <c r="I183" s="1">
        <v>841</v>
      </c>
      <c r="J183" s="1">
        <v>689</v>
      </c>
      <c r="K183" s="1">
        <v>7</v>
      </c>
      <c r="L183" s="1">
        <v>181</v>
      </c>
      <c r="M183" s="1" t="s">
        <v>31</v>
      </c>
      <c r="N183" s="1" t="s">
        <v>22</v>
      </c>
    </row>
    <row r="184" spans="1:14">
      <c r="A184" s="1">
        <v>1574841</v>
      </c>
      <c r="B184" s="1" t="s">
        <v>14</v>
      </c>
      <c r="C184" s="1" t="s">
        <v>20</v>
      </c>
      <c r="D184" s="2">
        <v>29896</v>
      </c>
      <c r="E184" s="1" t="s">
        <v>16</v>
      </c>
      <c r="F184" s="1">
        <v>2</v>
      </c>
      <c r="G184" s="1">
        <v>90037</v>
      </c>
      <c r="H184" s="1">
        <v>57000</v>
      </c>
      <c r="I184" s="1">
        <v>1212</v>
      </c>
      <c r="J184" s="1">
        <v>1122</v>
      </c>
      <c r="K184" s="1">
        <v>28</v>
      </c>
      <c r="L184" s="1">
        <v>228</v>
      </c>
      <c r="M184" s="1" t="s">
        <v>23</v>
      </c>
      <c r="N184" s="1" t="s">
        <v>27</v>
      </c>
    </row>
    <row r="185" spans="1:14">
      <c r="A185" s="1">
        <v>1575294</v>
      </c>
      <c r="B185" s="1" t="s">
        <v>19</v>
      </c>
      <c r="C185" s="1" t="s">
        <v>20</v>
      </c>
      <c r="D185" s="2">
        <v>23248</v>
      </c>
      <c r="E185" s="1" t="s">
        <v>16</v>
      </c>
      <c r="F185" s="1">
        <v>3</v>
      </c>
      <c r="G185" s="1">
        <v>90061</v>
      </c>
      <c r="H185" s="1">
        <v>75000</v>
      </c>
      <c r="I185" s="1">
        <v>175</v>
      </c>
      <c r="J185" s="1">
        <v>172</v>
      </c>
      <c r="K185" s="1">
        <v>2</v>
      </c>
      <c r="L185" s="1">
        <v>211</v>
      </c>
      <c r="M185" s="1" t="s">
        <v>31</v>
      </c>
      <c r="N185" s="1" t="s">
        <v>27</v>
      </c>
    </row>
    <row r="186" spans="1:14">
      <c r="A186" s="1">
        <v>1575448</v>
      </c>
      <c r="B186" s="1" t="s">
        <v>19</v>
      </c>
      <c r="C186" s="1" t="s">
        <v>24</v>
      </c>
      <c r="D186" s="2">
        <v>35965</v>
      </c>
      <c r="E186" s="1" t="s">
        <v>16</v>
      </c>
      <c r="F186" s="1">
        <v>4</v>
      </c>
      <c r="G186" s="1">
        <v>90050</v>
      </c>
      <c r="H186" s="1">
        <v>100000</v>
      </c>
      <c r="I186" s="1">
        <v>486</v>
      </c>
      <c r="J186" s="1">
        <v>437</v>
      </c>
      <c r="K186" s="1">
        <v>5</v>
      </c>
      <c r="L186" s="1">
        <v>223</v>
      </c>
      <c r="M186" s="1" t="s">
        <v>31</v>
      </c>
      <c r="N186" s="1" t="s">
        <v>27</v>
      </c>
    </row>
    <row r="187" spans="1:14">
      <c r="A187" s="1">
        <v>1575538</v>
      </c>
      <c r="B187" s="1" t="s">
        <v>19</v>
      </c>
      <c r="C187" s="1" t="s">
        <v>24</v>
      </c>
      <c r="D187" s="2">
        <v>35371</v>
      </c>
      <c r="E187" s="1" t="s">
        <v>16</v>
      </c>
      <c r="F187" s="1">
        <v>5</v>
      </c>
      <c r="G187" s="1">
        <v>90063</v>
      </c>
      <c r="H187" s="1">
        <v>129000</v>
      </c>
      <c r="I187" s="1">
        <v>813</v>
      </c>
      <c r="J187" s="1">
        <v>949</v>
      </c>
      <c r="K187" s="1">
        <v>24</v>
      </c>
      <c r="L187" s="1">
        <v>140</v>
      </c>
      <c r="M187" s="1" t="s">
        <v>21</v>
      </c>
      <c r="N187" s="1" t="s">
        <v>26</v>
      </c>
    </row>
    <row r="188" spans="1:14">
      <c r="A188" s="1">
        <v>1575993</v>
      </c>
      <c r="B188" s="1" t="s">
        <v>19</v>
      </c>
      <c r="C188" s="1" t="s">
        <v>20</v>
      </c>
      <c r="D188" s="2">
        <v>31726</v>
      </c>
      <c r="E188" s="1" t="s">
        <v>16</v>
      </c>
      <c r="F188" s="1">
        <v>3</v>
      </c>
      <c r="G188" s="1">
        <v>90036</v>
      </c>
      <c r="H188" s="1">
        <v>92000</v>
      </c>
      <c r="I188" s="1">
        <v>406</v>
      </c>
      <c r="J188" s="1">
        <v>409</v>
      </c>
      <c r="K188" s="1">
        <v>3</v>
      </c>
      <c r="L188" s="1">
        <v>294</v>
      </c>
      <c r="M188" s="1" t="s">
        <v>31</v>
      </c>
      <c r="N188" s="1" t="s">
        <v>18</v>
      </c>
    </row>
    <row r="189" spans="1:14">
      <c r="A189" s="1">
        <v>1576211</v>
      </c>
      <c r="B189" s="1" t="s">
        <v>14</v>
      </c>
      <c r="C189" s="1" t="s">
        <v>20</v>
      </c>
      <c r="D189" s="2">
        <v>31273</v>
      </c>
      <c r="E189" s="1" t="s">
        <v>25</v>
      </c>
      <c r="F189" s="1">
        <v>1</v>
      </c>
      <c r="G189" s="1">
        <v>90017</v>
      </c>
      <c r="H189" s="1">
        <v>31000</v>
      </c>
      <c r="I189" s="1">
        <v>1336</v>
      </c>
      <c r="J189" s="1">
        <v>1244</v>
      </c>
      <c r="K189" s="1">
        <v>15</v>
      </c>
      <c r="L189" s="1">
        <v>280</v>
      </c>
      <c r="M189" s="1" t="s">
        <v>23</v>
      </c>
      <c r="N189" s="1" t="s">
        <v>26</v>
      </c>
    </row>
    <row r="190" spans="1:14">
      <c r="A190" s="1">
        <v>1576752</v>
      </c>
      <c r="B190" s="1" t="s">
        <v>19</v>
      </c>
      <c r="C190" s="1" t="s">
        <v>15</v>
      </c>
      <c r="D190" s="2">
        <v>25037</v>
      </c>
      <c r="E190" s="1" t="s">
        <v>16</v>
      </c>
      <c r="F190" s="1">
        <v>4</v>
      </c>
      <c r="G190" s="1">
        <v>90044</v>
      </c>
      <c r="H190" s="1">
        <v>82000</v>
      </c>
      <c r="I190" s="1">
        <v>1322</v>
      </c>
      <c r="J190" s="1">
        <v>1241</v>
      </c>
      <c r="K190" s="1">
        <v>11</v>
      </c>
      <c r="L190" s="1">
        <v>159</v>
      </c>
      <c r="M190" s="1" t="s">
        <v>23</v>
      </c>
      <c r="N190" s="1" t="s">
        <v>22</v>
      </c>
    </row>
    <row r="191" spans="1:14">
      <c r="A191" s="1">
        <v>1576984</v>
      </c>
      <c r="B191" s="1" t="s">
        <v>19</v>
      </c>
      <c r="C191" s="1" t="s">
        <v>15</v>
      </c>
      <c r="D191" s="2">
        <v>24158</v>
      </c>
      <c r="E191" s="1" t="s">
        <v>16</v>
      </c>
      <c r="F191" s="1">
        <v>4</v>
      </c>
      <c r="G191" s="1">
        <v>90050</v>
      </c>
      <c r="H191" s="1">
        <v>87000</v>
      </c>
      <c r="I191" s="1">
        <v>152</v>
      </c>
      <c r="J191" s="1">
        <v>247</v>
      </c>
      <c r="K191" s="1">
        <v>6</v>
      </c>
      <c r="L191" s="1">
        <v>148</v>
      </c>
      <c r="M191" s="1" t="s">
        <v>21</v>
      </c>
      <c r="N191" s="1" t="s">
        <v>26</v>
      </c>
    </row>
    <row r="192" spans="1:14">
      <c r="A192" s="1">
        <v>1577095</v>
      </c>
      <c r="B192" s="1" t="s">
        <v>19</v>
      </c>
      <c r="C192" s="1" t="s">
        <v>20</v>
      </c>
      <c r="D192" s="2">
        <v>35768</v>
      </c>
      <c r="E192" s="1" t="s">
        <v>16</v>
      </c>
      <c r="F192" s="1">
        <v>2</v>
      </c>
      <c r="G192" s="1">
        <v>90030</v>
      </c>
      <c r="H192" s="1">
        <v>58000</v>
      </c>
      <c r="I192" s="1">
        <v>471</v>
      </c>
      <c r="J192" s="1">
        <v>319</v>
      </c>
      <c r="K192" s="1">
        <v>2</v>
      </c>
      <c r="L192" s="1">
        <v>128</v>
      </c>
      <c r="M192" s="1" t="s">
        <v>31</v>
      </c>
      <c r="N192" s="1" t="s">
        <v>18</v>
      </c>
    </row>
    <row r="193" spans="1:14">
      <c r="A193" s="1">
        <v>1577691</v>
      </c>
      <c r="B193" s="1" t="s">
        <v>19</v>
      </c>
      <c r="C193" s="1" t="s">
        <v>24</v>
      </c>
      <c r="D193" s="2">
        <v>27846</v>
      </c>
      <c r="E193" s="1" t="s">
        <v>16</v>
      </c>
      <c r="F193" s="1">
        <v>5</v>
      </c>
      <c r="G193" s="1">
        <v>90001</v>
      </c>
      <c r="H193" s="1">
        <v>97000</v>
      </c>
      <c r="I193" s="1">
        <v>70</v>
      </c>
      <c r="J193" s="1">
        <v>89</v>
      </c>
      <c r="K193" s="1">
        <v>2</v>
      </c>
      <c r="L193" s="1">
        <v>205</v>
      </c>
      <c r="M193" s="1" t="s">
        <v>31</v>
      </c>
      <c r="N193" s="1" t="s">
        <v>22</v>
      </c>
    </row>
    <row r="194" spans="1:14">
      <c r="A194" s="1">
        <v>1577940</v>
      </c>
      <c r="B194" s="1" t="s">
        <v>14</v>
      </c>
      <c r="C194" s="1" t="s">
        <v>15</v>
      </c>
      <c r="D194" s="2">
        <v>26722</v>
      </c>
      <c r="E194" s="1" t="s">
        <v>16</v>
      </c>
      <c r="F194" s="1">
        <v>5</v>
      </c>
      <c r="G194" s="1">
        <v>90019</v>
      </c>
      <c r="H194" s="1">
        <v>94000</v>
      </c>
      <c r="I194" s="1">
        <v>634</v>
      </c>
      <c r="J194" s="1">
        <v>1206</v>
      </c>
      <c r="K194" s="1">
        <v>18</v>
      </c>
      <c r="L194" s="1">
        <v>181</v>
      </c>
      <c r="M194" s="1" t="s">
        <v>31</v>
      </c>
      <c r="N194" s="1" t="s">
        <v>26</v>
      </c>
    </row>
    <row r="195" spans="1:14">
      <c r="A195" s="1">
        <v>1578327</v>
      </c>
      <c r="B195" s="1" t="s">
        <v>19</v>
      </c>
      <c r="C195" s="1" t="s">
        <v>24</v>
      </c>
      <c r="D195" s="2">
        <v>24708</v>
      </c>
      <c r="E195" s="1" t="s">
        <v>16</v>
      </c>
      <c r="F195" s="1">
        <v>1</v>
      </c>
      <c r="G195" s="1">
        <v>90024</v>
      </c>
      <c r="H195" s="1">
        <v>49000</v>
      </c>
      <c r="I195" s="1">
        <v>1015</v>
      </c>
      <c r="J195" s="1">
        <v>760</v>
      </c>
      <c r="K195" s="1">
        <v>11</v>
      </c>
      <c r="L195" s="1">
        <v>136</v>
      </c>
      <c r="M195" s="1" t="s">
        <v>21</v>
      </c>
      <c r="N195" s="1" t="s">
        <v>18</v>
      </c>
    </row>
    <row r="196" spans="1:14">
      <c r="A196" s="1">
        <v>1578472</v>
      </c>
      <c r="B196" s="1" t="s">
        <v>14</v>
      </c>
      <c r="C196" s="1" t="s">
        <v>15</v>
      </c>
      <c r="D196" s="2">
        <v>22831</v>
      </c>
      <c r="E196" s="1" t="s">
        <v>16</v>
      </c>
      <c r="F196" s="1">
        <v>2</v>
      </c>
      <c r="G196" s="1">
        <v>90067</v>
      </c>
      <c r="H196" s="1">
        <v>76000</v>
      </c>
      <c r="I196" s="1">
        <v>385</v>
      </c>
      <c r="J196" s="1">
        <v>322</v>
      </c>
      <c r="K196" s="1">
        <v>7</v>
      </c>
      <c r="L196" s="1">
        <v>344</v>
      </c>
      <c r="M196" s="1" t="s">
        <v>23</v>
      </c>
      <c r="N196" s="1" t="s">
        <v>26</v>
      </c>
    </row>
    <row r="197" spans="1:14">
      <c r="A197" s="1">
        <v>1578525</v>
      </c>
      <c r="B197" s="1" t="s">
        <v>19</v>
      </c>
      <c r="C197" s="1" t="s">
        <v>24</v>
      </c>
      <c r="D197" s="2">
        <v>23357</v>
      </c>
      <c r="E197" s="1" t="s">
        <v>16</v>
      </c>
      <c r="F197" s="1">
        <v>1</v>
      </c>
      <c r="G197" s="1">
        <v>90005</v>
      </c>
      <c r="H197" s="1">
        <v>82000</v>
      </c>
      <c r="I197" s="1">
        <v>1521</v>
      </c>
      <c r="J197" s="1">
        <v>1121</v>
      </c>
      <c r="K197" s="1">
        <v>25</v>
      </c>
      <c r="L197" s="1">
        <v>302</v>
      </c>
      <c r="M197" s="1" t="s">
        <v>31</v>
      </c>
      <c r="N197" s="1" t="s">
        <v>26</v>
      </c>
    </row>
    <row r="198" spans="1:14">
      <c r="A198" s="1">
        <v>1579349</v>
      </c>
      <c r="B198" s="1" t="s">
        <v>19</v>
      </c>
      <c r="C198" s="1" t="s">
        <v>28</v>
      </c>
      <c r="D198" s="2">
        <v>29574</v>
      </c>
      <c r="E198" s="1" t="s">
        <v>16</v>
      </c>
      <c r="F198" s="1">
        <v>1</v>
      </c>
      <c r="G198" s="1">
        <v>90010</v>
      </c>
      <c r="H198" s="1">
        <v>49000</v>
      </c>
      <c r="I198" s="1">
        <v>217</v>
      </c>
      <c r="J198" s="1">
        <v>397</v>
      </c>
      <c r="K198" s="1">
        <v>10</v>
      </c>
      <c r="L198" s="1">
        <v>200</v>
      </c>
      <c r="M198" s="1" t="s">
        <v>31</v>
      </c>
      <c r="N198" s="1" t="s">
        <v>26</v>
      </c>
    </row>
    <row r="199" spans="1:14">
      <c r="A199" s="1">
        <v>1579389</v>
      </c>
      <c r="B199" s="1" t="s">
        <v>14</v>
      </c>
      <c r="C199" s="1" t="s">
        <v>30</v>
      </c>
      <c r="D199" s="2">
        <v>36667</v>
      </c>
      <c r="E199" s="1" t="s">
        <v>16</v>
      </c>
      <c r="F199" s="1">
        <v>1</v>
      </c>
      <c r="G199" s="1">
        <v>90009</v>
      </c>
      <c r="H199" s="1">
        <v>50000</v>
      </c>
      <c r="I199" s="1">
        <v>625</v>
      </c>
      <c r="J199" s="1">
        <v>514</v>
      </c>
      <c r="K199" s="1">
        <v>10</v>
      </c>
      <c r="L199" s="1">
        <v>233</v>
      </c>
      <c r="M199" s="1" t="s">
        <v>32</v>
      </c>
      <c r="N199" s="1" t="s">
        <v>27</v>
      </c>
    </row>
    <row r="200" spans="1:14">
      <c r="A200" s="1">
        <v>1579857</v>
      </c>
      <c r="B200" s="1" t="s">
        <v>14</v>
      </c>
      <c r="C200" s="1" t="s">
        <v>20</v>
      </c>
      <c r="D200" s="2">
        <v>33264</v>
      </c>
      <c r="E200" s="1" t="s">
        <v>16</v>
      </c>
      <c r="F200" s="1">
        <v>1</v>
      </c>
      <c r="G200" s="1">
        <v>90055</v>
      </c>
      <c r="H200" s="1">
        <v>52000</v>
      </c>
      <c r="I200" s="1">
        <v>325</v>
      </c>
      <c r="J200" s="1">
        <v>586</v>
      </c>
      <c r="K200" s="1">
        <v>13</v>
      </c>
      <c r="L200" s="1">
        <v>219</v>
      </c>
      <c r="M200" s="1" t="s">
        <v>32</v>
      </c>
      <c r="N200" s="1" t="s">
        <v>27</v>
      </c>
    </row>
    <row r="201" spans="1:14">
      <c r="A201" s="1">
        <v>1579979</v>
      </c>
      <c r="B201" s="1" t="s">
        <v>19</v>
      </c>
      <c r="C201" s="1" t="s">
        <v>20</v>
      </c>
      <c r="D201" s="2">
        <v>36346</v>
      </c>
      <c r="E201" s="1" t="s">
        <v>16</v>
      </c>
      <c r="F201" s="1">
        <v>5</v>
      </c>
      <c r="G201" s="1">
        <v>90043</v>
      </c>
      <c r="H201" s="1">
        <v>102000</v>
      </c>
      <c r="I201" s="1">
        <v>1080</v>
      </c>
      <c r="J201" s="1">
        <v>926</v>
      </c>
      <c r="K201" s="1">
        <v>10</v>
      </c>
      <c r="L201" s="1">
        <v>113</v>
      </c>
      <c r="M201" s="1" t="s">
        <v>31</v>
      </c>
      <c r="N20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6A99-4B74-D34B-9F67-E5B083E79DC3}">
  <dimension ref="A1:AI201"/>
  <sheetViews>
    <sheetView tabSelected="1" topLeftCell="Q1" workbookViewId="0">
      <selection activeCell="Y25" sqref="Y25"/>
    </sheetView>
  </sheetViews>
  <sheetFormatPr defaultColWidth="9.140625" defaultRowHeight="15"/>
  <cols>
    <col min="1" max="3" width="9.140625" style="1"/>
    <col min="4" max="4" width="12.28515625" style="1" customWidth="1"/>
    <col min="5" max="5" width="9.140625" style="1"/>
    <col min="6" max="6" width="14.42578125" style="1" customWidth="1"/>
    <col min="7" max="7" width="10.42578125" style="1" customWidth="1"/>
    <col min="8" max="8" width="9.140625" style="1"/>
    <col min="9" max="9" width="13.85546875" style="1" customWidth="1"/>
    <col min="10" max="10" width="13.42578125" style="1" customWidth="1"/>
    <col min="11" max="11" width="14" style="1" customWidth="1"/>
    <col min="12" max="12" width="14.28515625" style="1" customWidth="1"/>
    <col min="13" max="13" width="17.42578125" style="1" customWidth="1"/>
    <col min="14" max="14" width="11" style="1" customWidth="1"/>
    <col min="15" max="15" width="17.28515625" style="1" customWidth="1"/>
    <col min="16" max="17" width="11.7109375" style="1" customWidth="1"/>
    <col min="18" max="18" width="13" style="1" customWidth="1"/>
    <col min="19" max="19" width="12.85546875" style="1" customWidth="1"/>
    <col min="20" max="22" width="13.7109375" style="1" customWidth="1"/>
    <col min="23" max="23" width="18.7109375" style="1" customWidth="1"/>
    <col min="24" max="24" width="14.7109375" style="1" customWidth="1"/>
    <col min="25" max="25" width="14" style="1" customWidth="1"/>
    <col min="26" max="26" width="13.42578125" style="1" customWidth="1"/>
    <col min="27" max="28" width="15.42578125" style="1" customWidth="1"/>
    <col min="29" max="16384" width="9.140625" style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7</v>
      </c>
      <c r="U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C1" s="1" t="s">
        <v>43</v>
      </c>
    </row>
    <row r="2" spans="1:31">
      <c r="A2" s="1">
        <v>1530016</v>
      </c>
      <c r="B2" s="1" t="s">
        <v>14</v>
      </c>
      <c r="C2" s="1" t="s">
        <v>15</v>
      </c>
      <c r="D2" s="2">
        <v>31762</v>
      </c>
      <c r="E2" s="1" t="s">
        <v>16</v>
      </c>
      <c r="F2" s="1">
        <v>5</v>
      </c>
      <c r="G2" s="1">
        <v>90047</v>
      </c>
      <c r="H2" s="1">
        <v>53000</v>
      </c>
      <c r="I2" s="1">
        <v>287</v>
      </c>
      <c r="J2" s="1">
        <v>241</v>
      </c>
      <c r="K2" s="1">
        <v>3</v>
      </c>
      <c r="L2" s="1">
        <v>101</v>
      </c>
      <c r="M2" s="1" t="s">
        <v>17</v>
      </c>
      <c r="N2" s="1" t="s">
        <v>18</v>
      </c>
      <c r="O2" s="1">
        <f>L2*-1</f>
        <v>-101</v>
      </c>
      <c r="P2" s="1">
        <f>IF(O2&lt;=X$2,1,IF(O2&lt;=X$3,2,IF(O2&lt;=X$4,3,IF(O2&lt;=X$5,4,5))))</f>
        <v>2</v>
      </c>
      <c r="Q2" s="1">
        <f>IF(K2&lt;=Y$2,1,IF(K2&lt;=Y$3,2,IF(K2&lt;=Y$4,3,IF(K2&lt;=Y$5,4,5))))</f>
        <v>1</v>
      </c>
      <c r="R2" s="1">
        <f>IF(J2&lt;=Z$2,1,IF(J2&lt;=Z$3,2,IF(J2&lt;=Z$4,3,IF(J2&lt;=Z$5,4,5))))</f>
        <v>1</v>
      </c>
      <c r="S2" s="1" t="str">
        <f>CONCATENATE(P2,Q2,R2)</f>
        <v>211</v>
      </c>
      <c r="T2" s="1">
        <f>IF(H2&lt;=AA$2,1,IF(H2&lt;=AA$3,2,IF(H2&lt;=AA$4,3,IF(H2&lt;=AA$5,4,5))))</f>
        <v>1</v>
      </c>
      <c r="U2" s="1" t="str">
        <f>IF(J2&gt;=1000,"Gold",IF(J2&gt;=250,"Silver","Bronze"))</f>
        <v>Bronze</v>
      </c>
      <c r="W2" s="1" t="s">
        <v>44</v>
      </c>
      <c r="X2" s="5">
        <f>PERCENTILE(O$2:O$201,0.2)</f>
        <v>-294.2</v>
      </c>
      <c r="Y2" s="5">
        <f>PERCENTILE(K$2:K$201,0.2)</f>
        <v>4</v>
      </c>
      <c r="Z2" s="5">
        <f>PERCENTILE(J$2:J$201,0.2)</f>
        <v>300</v>
      </c>
      <c r="AA2" s="5">
        <f>MIN(H2:H201)+AD14</f>
        <v>58200</v>
      </c>
      <c r="AB2" s="5"/>
      <c r="AC2" s="3" t="s">
        <v>45</v>
      </c>
    </row>
    <row r="3" spans="1:31">
      <c r="A3" s="1">
        <v>1531136</v>
      </c>
      <c r="B3" s="1" t="s">
        <v>19</v>
      </c>
      <c r="C3" s="1" t="s">
        <v>20</v>
      </c>
      <c r="D3" s="2">
        <v>34098</v>
      </c>
      <c r="E3" s="1" t="s">
        <v>16</v>
      </c>
      <c r="F3" s="1">
        <v>5</v>
      </c>
      <c r="G3" s="1">
        <v>90026</v>
      </c>
      <c r="H3" s="1">
        <v>94000</v>
      </c>
      <c r="I3" s="1">
        <v>1227</v>
      </c>
      <c r="J3" s="1">
        <v>843</v>
      </c>
      <c r="K3" s="1">
        <v>12</v>
      </c>
      <c r="L3" s="1">
        <v>262</v>
      </c>
      <c r="M3" s="1" t="s">
        <v>21</v>
      </c>
      <c r="N3" s="1" t="s">
        <v>22</v>
      </c>
      <c r="O3" s="1">
        <f t="shared" ref="O3:O66" si="0">L3*-1</f>
        <v>-262</v>
      </c>
      <c r="P3" s="1">
        <f>IF(O3&lt;=X$2,1,IF(O3&lt;=X$3,2,IF(O3&lt;=X$4,3,IF(O3&lt;=X$5,4,5))))</f>
        <v>2</v>
      </c>
      <c r="Q3" s="1" t="s">
        <v>46</v>
      </c>
      <c r="R3" s="1" t="s">
        <v>46</v>
      </c>
      <c r="S3" s="1" t="s">
        <v>46</v>
      </c>
      <c r="T3" s="1">
        <f>IF(H3&lt;=AA$2,1,IF(H3&lt;=AA$3,2,IF(H3&lt;=AA$4,3,IF(H3&lt;=AA$5,4,5))))</f>
        <v>3</v>
      </c>
      <c r="U3" s="1" t="str">
        <f t="shared" ref="U3:U66" si="1">IF(J3&gt;=1000,"Gold",IF(J3&gt;=250,"Silver","Bronze"))</f>
        <v>Silver</v>
      </c>
      <c r="W3" s="1" t="s">
        <v>47</v>
      </c>
      <c r="X3" s="5" t="s">
        <v>48</v>
      </c>
      <c r="Y3" s="5" t="s">
        <v>48</v>
      </c>
      <c r="Z3" s="5" t="s">
        <v>48</v>
      </c>
      <c r="AA3" s="5">
        <f>AA2+AD14</f>
        <v>85400</v>
      </c>
      <c r="AB3" s="5"/>
      <c r="AE3" s="3" t="s">
        <v>49</v>
      </c>
    </row>
    <row r="4" spans="1:31">
      <c r="A4" s="1">
        <v>1532160</v>
      </c>
      <c r="B4" s="1" t="s">
        <v>19</v>
      </c>
      <c r="C4" s="1" t="s">
        <v>15</v>
      </c>
      <c r="D4" s="2">
        <v>24249</v>
      </c>
      <c r="E4" s="1" t="s">
        <v>16</v>
      </c>
      <c r="F4" s="1">
        <v>2</v>
      </c>
      <c r="G4" s="1">
        <v>90027</v>
      </c>
      <c r="H4" s="1">
        <v>64000</v>
      </c>
      <c r="I4" s="1">
        <v>523</v>
      </c>
      <c r="J4" s="1">
        <v>719</v>
      </c>
      <c r="K4" s="1">
        <v>9</v>
      </c>
      <c r="L4" s="1">
        <v>122</v>
      </c>
      <c r="M4" s="1" t="s">
        <v>23</v>
      </c>
      <c r="N4" s="1" t="s">
        <v>22</v>
      </c>
      <c r="O4" s="1">
        <f t="shared" si="0"/>
        <v>-122</v>
      </c>
      <c r="P4" s="1" t="s">
        <v>46</v>
      </c>
      <c r="Q4" s="1" t="s">
        <v>46</v>
      </c>
      <c r="R4" s="1" t="s">
        <v>46</v>
      </c>
      <c r="S4" s="1" t="s">
        <v>46</v>
      </c>
      <c r="T4" s="1">
        <f>IF(H4&lt;=AA$2,1,IF(H4&lt;=AA$3,2,IF(H4&lt;=AA$4,3,IF(H4&lt;=AA$5,4,5))))</f>
        <v>2</v>
      </c>
      <c r="U4" s="1" t="str">
        <f t="shared" si="1"/>
        <v>Silver</v>
      </c>
      <c r="W4" s="1" t="s">
        <v>50</v>
      </c>
      <c r="X4" s="5" t="s">
        <v>48</v>
      </c>
      <c r="Y4" s="5" t="s">
        <v>48</v>
      </c>
      <c r="Z4" s="5" t="s">
        <v>48</v>
      </c>
      <c r="AA4" s="5">
        <f>AA3+AD14</f>
        <v>112600</v>
      </c>
      <c r="AB4" s="5"/>
      <c r="AC4" s="3" t="s">
        <v>51</v>
      </c>
    </row>
    <row r="5" spans="1:31">
      <c r="A5" s="1">
        <v>1532307</v>
      </c>
      <c r="B5" s="1" t="s">
        <v>19</v>
      </c>
      <c r="C5" s="1" t="s">
        <v>20</v>
      </c>
      <c r="D5" s="2">
        <v>23636</v>
      </c>
      <c r="E5" s="1" t="s">
        <v>16</v>
      </c>
      <c r="F5" s="1">
        <v>4</v>
      </c>
      <c r="G5" s="1">
        <v>90029</v>
      </c>
      <c r="H5" s="1">
        <v>60000</v>
      </c>
      <c r="I5" s="1">
        <v>516</v>
      </c>
      <c r="J5" s="1">
        <v>582</v>
      </c>
      <c r="K5" s="1">
        <v>13</v>
      </c>
      <c r="L5" s="1">
        <v>129</v>
      </c>
      <c r="M5" s="1" t="s">
        <v>17</v>
      </c>
      <c r="N5" s="1" t="s">
        <v>18</v>
      </c>
      <c r="O5" s="1">
        <f t="shared" si="0"/>
        <v>-129</v>
      </c>
      <c r="P5" s="1" t="s">
        <v>46</v>
      </c>
      <c r="Q5" s="1" t="s">
        <v>46</v>
      </c>
      <c r="R5" s="1" t="s">
        <v>46</v>
      </c>
      <c r="S5" s="1" t="s">
        <v>46</v>
      </c>
      <c r="T5" s="1">
        <f>IF(H5&lt;=AA$2,1,IF(H5&lt;=AA$3,2,IF(H5&lt;=AA$4,3,IF(H5&lt;=AA$5,4,5))))</f>
        <v>2</v>
      </c>
      <c r="U5" s="1" t="str">
        <f t="shared" si="1"/>
        <v>Silver</v>
      </c>
      <c r="W5" s="1" t="s">
        <v>52</v>
      </c>
      <c r="X5" s="5" t="s">
        <v>48</v>
      </c>
      <c r="Y5" s="5" t="s">
        <v>48</v>
      </c>
      <c r="Z5" s="5" t="s">
        <v>48</v>
      </c>
      <c r="AA5" s="5">
        <f>AA4+AD14</f>
        <v>139800</v>
      </c>
      <c r="AB5" s="5"/>
    </row>
    <row r="6" spans="1:31">
      <c r="A6" s="1">
        <v>1532356</v>
      </c>
      <c r="B6" s="1" t="s">
        <v>14</v>
      </c>
      <c r="C6" s="1" t="s">
        <v>24</v>
      </c>
      <c r="D6" s="2">
        <v>23573</v>
      </c>
      <c r="E6" s="1" t="s">
        <v>25</v>
      </c>
      <c r="F6" s="1">
        <v>5</v>
      </c>
      <c r="G6" s="1">
        <v>90017</v>
      </c>
      <c r="H6" s="1">
        <v>47000</v>
      </c>
      <c r="I6" s="1">
        <v>555</v>
      </c>
      <c r="J6" s="1">
        <v>845</v>
      </c>
      <c r="K6" s="1">
        <v>7</v>
      </c>
      <c r="L6" s="1">
        <v>97</v>
      </c>
      <c r="M6" s="1" t="s">
        <v>17</v>
      </c>
      <c r="N6" s="1" t="s">
        <v>26</v>
      </c>
      <c r="O6" s="1">
        <f t="shared" si="0"/>
        <v>-97</v>
      </c>
      <c r="P6" s="1" t="s">
        <v>46</v>
      </c>
      <c r="Q6" s="1" t="s">
        <v>46</v>
      </c>
      <c r="R6" s="1" t="s">
        <v>46</v>
      </c>
      <c r="S6" s="1" t="s">
        <v>46</v>
      </c>
      <c r="T6" s="1">
        <f>IF(H6&lt;=AA$2,1,IF(H6&lt;=AA$3,2,IF(H6&lt;=AA$4,3,IF(H6&lt;=AA$5,4,5))))</f>
        <v>1</v>
      </c>
      <c r="U6" s="1" t="str">
        <f t="shared" si="1"/>
        <v>Silver</v>
      </c>
    </row>
    <row r="7" spans="1:31">
      <c r="A7" s="1">
        <v>1532387</v>
      </c>
      <c r="B7" s="1" t="s">
        <v>19</v>
      </c>
      <c r="C7" s="1" t="s">
        <v>20</v>
      </c>
      <c r="D7" s="2">
        <v>21059</v>
      </c>
      <c r="E7" s="1" t="s">
        <v>16</v>
      </c>
      <c r="F7" s="1">
        <v>2</v>
      </c>
      <c r="G7" s="1">
        <v>90028</v>
      </c>
      <c r="H7" s="1">
        <v>67000</v>
      </c>
      <c r="I7" s="1">
        <v>631</v>
      </c>
      <c r="J7" s="1">
        <v>452</v>
      </c>
      <c r="K7" s="1">
        <v>9</v>
      </c>
      <c r="L7" s="1">
        <v>150</v>
      </c>
      <c r="M7" s="1" t="s">
        <v>21</v>
      </c>
      <c r="N7" s="1" t="s">
        <v>18</v>
      </c>
      <c r="O7" s="1">
        <f t="shared" si="0"/>
        <v>-150</v>
      </c>
      <c r="P7" s="1" t="s">
        <v>46</v>
      </c>
      <c r="Q7" s="1" t="s">
        <v>46</v>
      </c>
      <c r="R7" s="1" t="s">
        <v>46</v>
      </c>
      <c r="S7" s="1" t="s">
        <v>46</v>
      </c>
      <c r="T7" s="1">
        <f>IF(H7&lt;=AA$2,1,IF(H7&lt;=AA$3,2,IF(H7&lt;=AA$4,3,IF(H7&lt;=AA$5,4,5))))</f>
        <v>2</v>
      </c>
      <c r="U7" s="1" t="str">
        <f t="shared" si="1"/>
        <v>Silver</v>
      </c>
      <c r="AC7" s="3" t="s">
        <v>53</v>
      </c>
    </row>
    <row r="8" spans="1:31">
      <c r="A8" s="1">
        <v>1533017</v>
      </c>
      <c r="B8" s="1" t="s">
        <v>14</v>
      </c>
      <c r="C8" s="1" t="s">
        <v>24</v>
      </c>
      <c r="D8" s="2">
        <v>31181</v>
      </c>
      <c r="E8" s="1" t="s">
        <v>16</v>
      </c>
      <c r="F8" s="1">
        <v>3</v>
      </c>
      <c r="G8" s="1">
        <v>90063</v>
      </c>
      <c r="H8" s="1">
        <v>84000</v>
      </c>
      <c r="I8" s="1">
        <v>229</v>
      </c>
      <c r="J8" s="1">
        <v>153</v>
      </c>
      <c r="K8" s="1">
        <v>2</v>
      </c>
      <c r="L8" s="1">
        <v>144</v>
      </c>
      <c r="M8" s="1" t="s">
        <v>23</v>
      </c>
      <c r="N8" s="1" t="s">
        <v>26</v>
      </c>
      <c r="O8" s="1">
        <f t="shared" si="0"/>
        <v>-144</v>
      </c>
      <c r="P8" s="1" t="s">
        <v>46</v>
      </c>
      <c r="Q8" s="1" t="s">
        <v>46</v>
      </c>
      <c r="R8" s="1" t="s">
        <v>46</v>
      </c>
      <c r="S8" s="1" t="s">
        <v>46</v>
      </c>
      <c r="T8" s="1">
        <f>IF(H8&lt;=AA$2,1,IF(H8&lt;=AA$3,2,IF(H8&lt;=AA$4,3,IF(H8&lt;=AA$5,4,5))))</f>
        <v>2</v>
      </c>
      <c r="U8" s="1" t="str">
        <f t="shared" si="1"/>
        <v>Bronze</v>
      </c>
    </row>
    <row r="9" spans="1:31">
      <c r="A9" s="1">
        <v>1533561</v>
      </c>
      <c r="B9" s="1" t="s">
        <v>19</v>
      </c>
      <c r="C9" s="1" t="s">
        <v>24</v>
      </c>
      <c r="D9" s="2">
        <v>29627</v>
      </c>
      <c r="E9" s="1" t="s">
        <v>16</v>
      </c>
      <c r="F9" s="1">
        <v>5</v>
      </c>
      <c r="G9" s="1">
        <v>90050</v>
      </c>
      <c r="H9" s="1">
        <v>76000</v>
      </c>
      <c r="I9" s="1">
        <v>1474</v>
      </c>
      <c r="J9" s="1">
        <v>1079</v>
      </c>
      <c r="K9" s="1">
        <v>23</v>
      </c>
      <c r="L9" s="1">
        <v>122</v>
      </c>
      <c r="M9" s="1" t="s">
        <v>23</v>
      </c>
      <c r="N9" s="1" t="s">
        <v>27</v>
      </c>
      <c r="O9" s="1">
        <f t="shared" si="0"/>
        <v>-122</v>
      </c>
      <c r="P9" s="1" t="s">
        <v>46</v>
      </c>
      <c r="Q9" s="1" t="s">
        <v>46</v>
      </c>
      <c r="R9" s="1" t="s">
        <v>46</v>
      </c>
      <c r="S9" s="1" t="s">
        <v>46</v>
      </c>
      <c r="T9" s="1">
        <f>IF(H9&lt;=AA$2,1,IF(H9&lt;=AA$3,2,IF(H9&lt;=AA$4,3,IF(H9&lt;=AA$5,4,5))))</f>
        <v>2</v>
      </c>
      <c r="U9" s="1" t="str">
        <f t="shared" si="1"/>
        <v>Gold</v>
      </c>
      <c r="AC9" s="3" t="s">
        <v>54</v>
      </c>
    </row>
    <row r="10" spans="1:31">
      <c r="A10" s="1">
        <v>1533697</v>
      </c>
      <c r="B10" s="1" t="s">
        <v>14</v>
      </c>
      <c r="C10" s="1" t="s">
        <v>28</v>
      </c>
      <c r="D10" s="2">
        <v>27310</v>
      </c>
      <c r="E10" s="1" t="s">
        <v>16</v>
      </c>
      <c r="F10" s="1">
        <v>3</v>
      </c>
      <c r="G10" s="1">
        <v>90038</v>
      </c>
      <c r="H10" s="1">
        <v>42000</v>
      </c>
      <c r="I10" s="1">
        <v>300</v>
      </c>
      <c r="J10" s="1">
        <v>247</v>
      </c>
      <c r="K10" s="1">
        <v>3</v>
      </c>
      <c r="L10" s="1">
        <v>238</v>
      </c>
      <c r="M10" s="1" t="s">
        <v>23</v>
      </c>
      <c r="N10" s="1" t="s">
        <v>26</v>
      </c>
      <c r="O10" s="1">
        <f t="shared" si="0"/>
        <v>-238</v>
      </c>
      <c r="P10" s="1" t="s">
        <v>46</v>
      </c>
      <c r="Q10" s="1" t="s">
        <v>46</v>
      </c>
      <c r="R10" s="1" t="s">
        <v>46</v>
      </c>
      <c r="S10" s="1" t="s">
        <v>46</v>
      </c>
      <c r="T10" s="1">
        <f>IF(H10&lt;=AA$2,1,IF(H10&lt;=AA$3,2,IF(H10&lt;=AA$4,3,IF(H10&lt;=AA$5,4,5))))</f>
        <v>1</v>
      </c>
      <c r="U10" s="1" t="str">
        <f t="shared" si="1"/>
        <v>Bronze</v>
      </c>
    </row>
    <row r="11" spans="1:31">
      <c r="A11" s="1">
        <v>1533766</v>
      </c>
      <c r="B11" s="1" t="s">
        <v>19</v>
      </c>
      <c r="C11" s="1" t="s">
        <v>24</v>
      </c>
      <c r="D11" s="2">
        <v>26192</v>
      </c>
      <c r="E11" s="1" t="s">
        <v>16</v>
      </c>
      <c r="F11" s="1">
        <v>2</v>
      </c>
      <c r="G11" s="1">
        <v>90057</v>
      </c>
      <c r="H11" s="1">
        <v>71000</v>
      </c>
      <c r="I11" s="1">
        <v>925</v>
      </c>
      <c r="J11" s="1">
        <v>708</v>
      </c>
      <c r="K11" s="1">
        <v>4</v>
      </c>
      <c r="L11" s="1">
        <v>171</v>
      </c>
      <c r="M11" s="1" t="s">
        <v>21</v>
      </c>
      <c r="N11" s="1" t="s">
        <v>22</v>
      </c>
      <c r="O11" s="1">
        <f t="shared" si="0"/>
        <v>-171</v>
      </c>
      <c r="P11" s="1" t="s">
        <v>46</v>
      </c>
      <c r="Q11" s="1" t="s">
        <v>46</v>
      </c>
      <c r="R11" s="1" t="s">
        <v>46</v>
      </c>
      <c r="S11" s="1" t="s">
        <v>46</v>
      </c>
      <c r="T11" s="1">
        <f>IF(H11&lt;=AA$2,1,IF(H11&lt;=AA$3,2,IF(H11&lt;=AA$4,3,IF(H11&lt;=AA$5,4,5))))</f>
        <v>2</v>
      </c>
      <c r="U11" s="1" t="str">
        <f t="shared" si="1"/>
        <v>Silver</v>
      </c>
      <c r="AC11" s="3" t="s">
        <v>55</v>
      </c>
    </row>
    <row r="12" spans="1:31">
      <c r="A12" s="1">
        <v>1533791</v>
      </c>
      <c r="B12" s="1" t="s">
        <v>19</v>
      </c>
      <c r="C12" s="1" t="s">
        <v>20</v>
      </c>
      <c r="D12" s="2">
        <v>36460</v>
      </c>
      <c r="E12" s="1" t="s">
        <v>16</v>
      </c>
      <c r="F12" s="1">
        <v>1</v>
      </c>
      <c r="G12" s="1">
        <v>90060</v>
      </c>
      <c r="H12" s="1">
        <v>97000</v>
      </c>
      <c r="I12" s="1">
        <v>828</v>
      </c>
      <c r="J12" s="1">
        <v>1028</v>
      </c>
      <c r="K12" s="1">
        <v>17</v>
      </c>
      <c r="L12" s="1">
        <v>110</v>
      </c>
      <c r="M12" s="1" t="s">
        <v>17</v>
      </c>
      <c r="N12" s="1" t="s">
        <v>26</v>
      </c>
      <c r="O12" s="1">
        <f t="shared" si="0"/>
        <v>-110</v>
      </c>
      <c r="P12" s="1" t="s">
        <v>46</v>
      </c>
      <c r="Q12" s="1" t="s">
        <v>46</v>
      </c>
      <c r="R12" s="1" t="s">
        <v>46</v>
      </c>
      <c r="S12" s="1" t="s">
        <v>46</v>
      </c>
      <c r="T12" s="1">
        <f>IF(H12&lt;=AA$2,1,IF(H12&lt;=AA$3,2,IF(H12&lt;=AA$4,3,IF(H12&lt;=AA$5,4,5))))</f>
        <v>3</v>
      </c>
      <c r="U12" s="1" t="str">
        <f t="shared" si="1"/>
        <v>Gold</v>
      </c>
      <c r="AD12" s="3" t="s">
        <v>56</v>
      </c>
    </row>
    <row r="13" spans="1:31">
      <c r="A13" s="1">
        <v>1533917</v>
      </c>
      <c r="B13" s="1" t="s">
        <v>14</v>
      </c>
      <c r="C13" s="1" t="s">
        <v>15</v>
      </c>
      <c r="D13" s="2">
        <v>34031</v>
      </c>
      <c r="E13" s="1" t="s">
        <v>16</v>
      </c>
      <c r="F13" s="1">
        <v>3</v>
      </c>
      <c r="G13" s="1">
        <v>90045</v>
      </c>
      <c r="H13" s="1">
        <v>64000</v>
      </c>
      <c r="I13" s="1">
        <v>768</v>
      </c>
      <c r="J13" s="1">
        <v>915</v>
      </c>
      <c r="K13" s="1">
        <v>15</v>
      </c>
      <c r="L13" s="1">
        <v>19</v>
      </c>
      <c r="M13" s="1" t="s">
        <v>23</v>
      </c>
      <c r="N13" s="1" t="s">
        <v>27</v>
      </c>
      <c r="O13" s="1">
        <f t="shared" si="0"/>
        <v>-19</v>
      </c>
      <c r="P13" s="1" t="s">
        <v>46</v>
      </c>
      <c r="Q13" s="1" t="s">
        <v>46</v>
      </c>
      <c r="R13" s="1" t="s">
        <v>46</v>
      </c>
      <c r="S13" s="1" t="s">
        <v>46</v>
      </c>
      <c r="T13" s="1">
        <f>IF(H13&lt;=AA$2,1,IF(H13&lt;=AA$3,2,IF(H13&lt;=AA$4,3,IF(H13&lt;=AA$5,4,5))))</f>
        <v>2</v>
      </c>
      <c r="U13" s="1" t="str">
        <f t="shared" si="1"/>
        <v>Silver</v>
      </c>
      <c r="AD13" s="4" t="s">
        <v>57</v>
      </c>
    </row>
    <row r="14" spans="1:31">
      <c r="A14" s="1">
        <v>1534502</v>
      </c>
      <c r="B14" s="1" t="s">
        <v>19</v>
      </c>
      <c r="C14" s="1" t="s">
        <v>24</v>
      </c>
      <c r="D14" s="2">
        <v>32868</v>
      </c>
      <c r="E14" s="1" t="s">
        <v>16</v>
      </c>
      <c r="F14" s="1">
        <v>2</v>
      </c>
      <c r="G14" s="1">
        <v>90056</v>
      </c>
      <c r="H14" s="1">
        <v>114000</v>
      </c>
      <c r="I14" s="1">
        <v>938</v>
      </c>
      <c r="J14" s="1">
        <v>665</v>
      </c>
      <c r="K14" s="1">
        <v>7</v>
      </c>
      <c r="L14" s="1">
        <v>262</v>
      </c>
      <c r="M14" s="1" t="s">
        <v>17</v>
      </c>
      <c r="N14" s="1" t="s">
        <v>22</v>
      </c>
      <c r="O14" s="1">
        <f t="shared" si="0"/>
        <v>-262</v>
      </c>
      <c r="P14" s="1" t="s">
        <v>46</v>
      </c>
      <c r="Q14" s="1" t="s">
        <v>46</v>
      </c>
      <c r="R14" s="1" t="s">
        <v>46</v>
      </c>
      <c r="S14" s="1" t="s">
        <v>46</v>
      </c>
      <c r="T14" s="1">
        <f>IF(H14&lt;=AA$2,1,IF(H14&lt;=AA$3,2,IF(H14&lt;=AA$4,3,IF(H14&lt;=AA$5,4,5))))</f>
        <v>4</v>
      </c>
      <c r="U14" s="1" t="str">
        <f t="shared" si="1"/>
        <v>Silver</v>
      </c>
      <c r="AD14" s="4">
        <f>(MAX(H2:H201)-MIN(H2:H201))/5</f>
        <v>27200</v>
      </c>
    </row>
    <row r="15" spans="1:31">
      <c r="A15" s="1">
        <v>1534928</v>
      </c>
      <c r="B15" s="1" t="s">
        <v>19</v>
      </c>
      <c r="C15" s="1" t="s">
        <v>24</v>
      </c>
      <c r="D15" s="2">
        <v>21568</v>
      </c>
      <c r="E15" s="1" t="s">
        <v>16</v>
      </c>
      <c r="F15" s="1">
        <v>5</v>
      </c>
      <c r="G15" s="1">
        <v>90033</v>
      </c>
      <c r="H15" s="1">
        <v>96000</v>
      </c>
      <c r="I15" s="1">
        <v>631</v>
      </c>
      <c r="J15" s="1">
        <v>796</v>
      </c>
      <c r="K15" s="1">
        <v>13</v>
      </c>
      <c r="L15" s="1">
        <v>68</v>
      </c>
      <c r="M15" s="1" t="s">
        <v>21</v>
      </c>
      <c r="N15" s="1" t="s">
        <v>27</v>
      </c>
      <c r="O15" s="1">
        <f t="shared" si="0"/>
        <v>-68</v>
      </c>
      <c r="P15" s="1" t="s">
        <v>46</v>
      </c>
      <c r="Q15" s="1" t="s">
        <v>46</v>
      </c>
      <c r="R15" s="1" t="s">
        <v>46</v>
      </c>
      <c r="S15" s="1" t="s">
        <v>46</v>
      </c>
      <c r="T15" s="1">
        <f>IF(H15&lt;=AA$2,1,IF(H15&lt;=AA$3,2,IF(H15&lt;=AA$4,3,IF(H15&lt;=AA$5,4,5))))</f>
        <v>3</v>
      </c>
      <c r="U15" s="1" t="str">
        <f t="shared" si="1"/>
        <v>Silver</v>
      </c>
      <c r="AD15" s="3" t="s">
        <v>58</v>
      </c>
    </row>
    <row r="16" spans="1:31">
      <c r="A16" s="1">
        <v>1535063</v>
      </c>
      <c r="B16" s="1" t="s">
        <v>14</v>
      </c>
      <c r="C16" s="1" t="s">
        <v>20</v>
      </c>
      <c r="D16" s="2">
        <v>30302</v>
      </c>
      <c r="E16" s="1" t="s">
        <v>16</v>
      </c>
      <c r="F16" s="1">
        <v>3</v>
      </c>
      <c r="G16" s="1">
        <v>90024</v>
      </c>
      <c r="H16" s="1">
        <v>42000</v>
      </c>
      <c r="I16" s="1">
        <v>341</v>
      </c>
      <c r="J16" s="1">
        <v>313</v>
      </c>
      <c r="K16" s="1">
        <v>4</v>
      </c>
      <c r="L16" s="1">
        <v>300</v>
      </c>
      <c r="M16" s="1" t="s">
        <v>17</v>
      </c>
      <c r="N16" s="1" t="s">
        <v>22</v>
      </c>
      <c r="O16" s="1">
        <f t="shared" si="0"/>
        <v>-300</v>
      </c>
      <c r="P16" s="1" t="s">
        <v>46</v>
      </c>
      <c r="Q16" s="1" t="s">
        <v>46</v>
      </c>
      <c r="R16" s="1" t="s">
        <v>46</v>
      </c>
      <c r="S16" s="1" t="s">
        <v>46</v>
      </c>
      <c r="T16" s="1">
        <f>IF(H16&lt;=AA$2,1,IF(H16&lt;=AA$3,2,IF(H16&lt;=AA$4,3,IF(H16&lt;=AA$5,4,5))))</f>
        <v>1</v>
      </c>
      <c r="U16" s="1" t="str">
        <f t="shared" si="1"/>
        <v>Silver</v>
      </c>
      <c r="W16" s="3"/>
    </row>
    <row r="17" spans="1:35">
      <c r="A17" s="1">
        <v>1535406</v>
      </c>
      <c r="B17" s="1" t="s">
        <v>19</v>
      </c>
      <c r="C17" s="1" t="s">
        <v>20</v>
      </c>
      <c r="D17" s="2">
        <v>30716</v>
      </c>
      <c r="E17" s="1" t="s">
        <v>25</v>
      </c>
      <c r="F17" s="1">
        <v>5</v>
      </c>
      <c r="G17" s="1">
        <v>90051</v>
      </c>
      <c r="H17" s="1">
        <v>55000</v>
      </c>
      <c r="I17" s="1">
        <v>129</v>
      </c>
      <c r="J17" s="1">
        <v>100</v>
      </c>
      <c r="K17" s="1">
        <v>1</v>
      </c>
      <c r="L17" s="1">
        <v>80</v>
      </c>
      <c r="M17" s="1" t="s">
        <v>17</v>
      </c>
      <c r="N17" s="1" t="s">
        <v>26</v>
      </c>
      <c r="O17" s="1">
        <f t="shared" si="0"/>
        <v>-80</v>
      </c>
      <c r="P17" s="1" t="s">
        <v>46</v>
      </c>
      <c r="Q17" s="1" t="s">
        <v>46</v>
      </c>
      <c r="R17" s="1" t="s">
        <v>46</v>
      </c>
      <c r="S17" s="1" t="s">
        <v>46</v>
      </c>
      <c r="T17" s="1">
        <f>IF(H17&lt;=AA$2,1,IF(H17&lt;=AA$3,2,IF(H17&lt;=AA$4,3,IF(H17&lt;=AA$5,4,5))))</f>
        <v>1</v>
      </c>
      <c r="U17" s="1" t="str">
        <f t="shared" si="1"/>
        <v>Bronze</v>
      </c>
      <c r="X17" s="9"/>
      <c r="Y17" s="9"/>
      <c r="Z17" s="9"/>
      <c r="AC17" s="3" t="s">
        <v>59</v>
      </c>
    </row>
    <row r="18" spans="1:35">
      <c r="A18" s="1">
        <v>1535449</v>
      </c>
      <c r="B18" s="1" t="s">
        <v>19</v>
      </c>
      <c r="C18" s="1" t="s">
        <v>15</v>
      </c>
      <c r="D18" s="2">
        <v>21449</v>
      </c>
      <c r="E18" s="1" t="s">
        <v>25</v>
      </c>
      <c r="F18" s="1">
        <v>2</v>
      </c>
      <c r="G18" s="1">
        <v>90062</v>
      </c>
      <c r="H18" s="1">
        <v>56000</v>
      </c>
      <c r="I18" s="1">
        <v>435</v>
      </c>
      <c r="J18" s="1">
        <v>384</v>
      </c>
      <c r="K18" s="1">
        <v>6</v>
      </c>
      <c r="L18" s="1">
        <v>180</v>
      </c>
      <c r="M18" s="1" t="s">
        <v>17</v>
      </c>
      <c r="N18" s="1" t="s">
        <v>22</v>
      </c>
      <c r="O18" s="1">
        <f t="shared" si="0"/>
        <v>-180</v>
      </c>
      <c r="P18" s="1" t="s">
        <v>46</v>
      </c>
      <c r="Q18" s="1" t="s">
        <v>46</v>
      </c>
      <c r="R18" s="1" t="s">
        <v>46</v>
      </c>
      <c r="S18" s="1" t="s">
        <v>46</v>
      </c>
      <c r="T18" s="1">
        <f>IF(H18&lt;=AA$2,1,IF(H18&lt;=AA$3,2,IF(H18&lt;=AA$4,3,IF(H18&lt;=AA$5,4,5))))</f>
        <v>1</v>
      </c>
      <c r="U18" s="1" t="str">
        <f t="shared" si="1"/>
        <v>Silver</v>
      </c>
    </row>
    <row r="19" spans="1:35">
      <c r="A19" s="1">
        <v>1535927</v>
      </c>
      <c r="B19" s="1" t="s">
        <v>19</v>
      </c>
      <c r="C19" s="1" t="s">
        <v>20</v>
      </c>
      <c r="D19" s="2">
        <v>28867</v>
      </c>
      <c r="E19" s="1" t="s">
        <v>16</v>
      </c>
      <c r="F19" s="1">
        <v>1</v>
      </c>
      <c r="G19" s="1">
        <v>90003</v>
      </c>
      <c r="H19" s="1">
        <v>66000</v>
      </c>
      <c r="I19" s="1">
        <v>1283</v>
      </c>
      <c r="J19" s="1">
        <v>879</v>
      </c>
      <c r="K19" s="1">
        <v>10</v>
      </c>
      <c r="L19" s="1">
        <v>35</v>
      </c>
      <c r="M19" s="1" t="s">
        <v>23</v>
      </c>
      <c r="N19" s="1" t="s">
        <v>27</v>
      </c>
      <c r="O19" s="1">
        <f t="shared" si="0"/>
        <v>-35</v>
      </c>
      <c r="T19" s="1">
        <f>IF(H19&lt;=AA$2,1,IF(H19&lt;=AA$3,2,IF(H19&lt;=AA$4,3,IF(H19&lt;=AA$5,4,5))))</f>
        <v>2</v>
      </c>
      <c r="U19" s="1" t="str">
        <f t="shared" si="1"/>
        <v>Silver</v>
      </c>
      <c r="AC19" s="3" t="s">
        <v>60</v>
      </c>
    </row>
    <row r="20" spans="1:35">
      <c r="A20" s="1">
        <v>1536475</v>
      </c>
      <c r="B20" s="1" t="s">
        <v>19</v>
      </c>
      <c r="C20" s="1" t="s">
        <v>29</v>
      </c>
      <c r="D20" s="2">
        <v>21322</v>
      </c>
      <c r="E20" s="1" t="s">
        <v>16</v>
      </c>
      <c r="F20" s="1">
        <v>2</v>
      </c>
      <c r="G20" s="1">
        <v>90019</v>
      </c>
      <c r="H20" s="1">
        <v>73000</v>
      </c>
      <c r="I20" s="1">
        <v>1276</v>
      </c>
      <c r="J20" s="1">
        <v>1108</v>
      </c>
      <c r="K20" s="1">
        <v>20</v>
      </c>
      <c r="L20" s="1">
        <v>56</v>
      </c>
      <c r="M20" s="1" t="s">
        <v>21</v>
      </c>
      <c r="N20" s="1" t="s">
        <v>26</v>
      </c>
      <c r="O20" s="1">
        <f t="shared" si="0"/>
        <v>-56</v>
      </c>
      <c r="T20" s="1">
        <f>IF(H20&lt;=AA$2,1,IF(H20&lt;=AA$3,2,IF(H20&lt;=AA$4,3,IF(H20&lt;=AA$5,4,5))))</f>
        <v>2</v>
      </c>
      <c r="U20" s="1" t="str">
        <f t="shared" si="1"/>
        <v>Gold</v>
      </c>
      <c r="AC20" s="3"/>
      <c r="AD20" s="4"/>
    </row>
    <row r="21" spans="1:35">
      <c r="A21" s="1">
        <v>1536814</v>
      </c>
      <c r="B21" s="1" t="s">
        <v>19</v>
      </c>
      <c r="C21" s="1" t="s">
        <v>15</v>
      </c>
      <c r="D21" s="2">
        <v>22852</v>
      </c>
      <c r="E21" s="1" t="s">
        <v>16</v>
      </c>
      <c r="F21" s="1">
        <v>5</v>
      </c>
      <c r="G21" s="1">
        <v>90036</v>
      </c>
      <c r="H21" s="1">
        <v>86000</v>
      </c>
      <c r="I21" s="1">
        <v>478</v>
      </c>
      <c r="J21" s="1">
        <v>401</v>
      </c>
      <c r="K21" s="1">
        <v>3</v>
      </c>
      <c r="L21" s="1">
        <v>80</v>
      </c>
      <c r="M21" s="1" t="s">
        <v>17</v>
      </c>
      <c r="N21" s="1" t="s">
        <v>26</v>
      </c>
      <c r="O21" s="1">
        <f t="shared" si="0"/>
        <v>-80</v>
      </c>
      <c r="T21" s="1">
        <f>IF(H21&lt;=AA$2,1,IF(H21&lt;=AA$3,2,IF(H21&lt;=AA$4,3,IF(H21&lt;=AA$5,4,5))))</f>
        <v>3</v>
      </c>
      <c r="U21" s="1" t="str">
        <f t="shared" si="1"/>
        <v>Silver</v>
      </c>
      <c r="X21" s="1" t="s">
        <v>61</v>
      </c>
      <c r="AD21" s="7" t="s">
        <v>62</v>
      </c>
      <c r="AE21" s="7" t="s">
        <v>63</v>
      </c>
      <c r="AF21" s="3"/>
    </row>
    <row r="22" spans="1:35">
      <c r="A22" s="1">
        <v>1537373</v>
      </c>
      <c r="B22" s="1" t="s">
        <v>14</v>
      </c>
      <c r="C22" s="1" t="s">
        <v>15</v>
      </c>
      <c r="D22" s="2">
        <v>26318</v>
      </c>
      <c r="E22" s="1" t="s">
        <v>25</v>
      </c>
      <c r="F22" s="1">
        <v>5</v>
      </c>
      <c r="G22" s="1">
        <v>90035</v>
      </c>
      <c r="H22" s="1">
        <v>44000</v>
      </c>
      <c r="I22" s="1">
        <v>615</v>
      </c>
      <c r="J22" s="1">
        <v>748</v>
      </c>
      <c r="K22" s="1">
        <v>15</v>
      </c>
      <c r="L22" s="1">
        <v>295</v>
      </c>
      <c r="M22" s="1" t="s">
        <v>23</v>
      </c>
      <c r="N22" s="1" t="s">
        <v>26</v>
      </c>
      <c r="O22" s="1">
        <f t="shared" si="0"/>
        <v>-295</v>
      </c>
      <c r="T22" s="1">
        <f>IF(H22&lt;=AA$2,1,IF(H22&lt;=AA$3,2,IF(H22&lt;=AA$4,3,IF(H22&lt;=AA$5,4,5))))</f>
        <v>1</v>
      </c>
      <c r="U22" s="1" t="str">
        <f t="shared" si="1"/>
        <v>Silver</v>
      </c>
      <c r="AD22" s="6">
        <v>0</v>
      </c>
      <c r="AE22" s="6" t="s">
        <v>64</v>
      </c>
      <c r="AI22" s="3" t="s">
        <v>61</v>
      </c>
    </row>
    <row r="23" spans="1:35">
      <c r="A23" s="1">
        <v>1537553</v>
      </c>
      <c r="B23" s="1" t="s">
        <v>14</v>
      </c>
      <c r="C23" s="1" t="s">
        <v>20</v>
      </c>
      <c r="D23" s="2">
        <v>22469</v>
      </c>
      <c r="E23" s="1" t="s">
        <v>25</v>
      </c>
      <c r="F23" s="1">
        <v>4</v>
      </c>
      <c r="G23" s="1">
        <v>90060</v>
      </c>
      <c r="H23" s="1">
        <v>36000</v>
      </c>
      <c r="I23" s="1">
        <v>153</v>
      </c>
      <c r="J23" s="1">
        <v>141</v>
      </c>
      <c r="K23" s="1">
        <v>2</v>
      </c>
      <c r="L23" s="1">
        <v>360</v>
      </c>
      <c r="M23" s="1" t="s">
        <v>23</v>
      </c>
      <c r="N23" s="1" t="s">
        <v>22</v>
      </c>
      <c r="O23" s="1">
        <f t="shared" si="0"/>
        <v>-360</v>
      </c>
      <c r="T23" s="1">
        <f>IF(H23&lt;=AA$2,1,IF(H23&lt;=AA$3,2,IF(H23&lt;=AA$4,3,IF(H23&lt;=AA$5,4,5))))</f>
        <v>1</v>
      </c>
      <c r="U23" s="1" t="str">
        <f t="shared" si="1"/>
        <v>Bronze</v>
      </c>
      <c r="AD23" s="6">
        <v>250</v>
      </c>
      <c r="AE23" s="6" t="s">
        <v>65</v>
      </c>
    </row>
    <row r="24" spans="1:35">
      <c r="A24" s="1">
        <v>1538886</v>
      </c>
      <c r="B24" s="1" t="s">
        <v>19</v>
      </c>
      <c r="C24" s="1" t="s">
        <v>30</v>
      </c>
      <c r="D24" s="2">
        <v>35323</v>
      </c>
      <c r="E24" s="1" t="s">
        <v>16</v>
      </c>
      <c r="F24" s="1">
        <v>2</v>
      </c>
      <c r="G24" s="1">
        <v>90014</v>
      </c>
      <c r="H24" s="1">
        <v>94000</v>
      </c>
      <c r="I24" s="1">
        <v>590</v>
      </c>
      <c r="J24" s="1">
        <v>524</v>
      </c>
      <c r="K24" s="1">
        <v>7</v>
      </c>
      <c r="L24" s="1">
        <v>177</v>
      </c>
      <c r="M24" s="1" t="s">
        <v>31</v>
      </c>
      <c r="N24" s="1" t="s">
        <v>27</v>
      </c>
      <c r="O24" s="1">
        <f t="shared" si="0"/>
        <v>-177</v>
      </c>
      <c r="T24" s="1">
        <f>IF(H24&lt;=AA$2,1,IF(H24&lt;=AA$3,2,IF(H24&lt;=AA$4,3,IF(H24&lt;=AA$5,4,5))))</f>
        <v>3</v>
      </c>
      <c r="U24" s="1" t="str">
        <f t="shared" si="1"/>
        <v>Silver</v>
      </c>
      <c r="AD24" s="6">
        <v>1000</v>
      </c>
      <c r="AE24" s="6" t="s">
        <v>66</v>
      </c>
    </row>
    <row r="25" spans="1:35">
      <c r="A25" s="1">
        <v>1539494</v>
      </c>
      <c r="B25" s="1" t="s">
        <v>19</v>
      </c>
      <c r="C25" s="1" t="s">
        <v>20</v>
      </c>
      <c r="D25" s="2">
        <v>26985</v>
      </c>
      <c r="E25" s="1" t="s">
        <v>16</v>
      </c>
      <c r="F25" s="1">
        <v>4</v>
      </c>
      <c r="G25" s="1">
        <v>90038</v>
      </c>
      <c r="H25" s="1">
        <v>54000</v>
      </c>
      <c r="I25" s="1">
        <v>451</v>
      </c>
      <c r="J25" s="1">
        <v>307</v>
      </c>
      <c r="K25" s="1">
        <v>6</v>
      </c>
      <c r="L25" s="1">
        <v>35</v>
      </c>
      <c r="M25" s="1" t="s">
        <v>21</v>
      </c>
      <c r="N25" s="1" t="s">
        <v>26</v>
      </c>
      <c r="O25" s="1">
        <f t="shared" si="0"/>
        <v>-35</v>
      </c>
      <c r="T25" s="1">
        <f>IF(H25&lt;=AA$2,1,IF(H25&lt;=AA$3,2,IF(H25&lt;=AA$4,3,IF(H25&lt;=AA$5,4,5))))</f>
        <v>1</v>
      </c>
      <c r="U25" s="1" t="str">
        <f t="shared" si="1"/>
        <v>Silver</v>
      </c>
    </row>
    <row r="26" spans="1:35">
      <c r="A26" s="1">
        <v>1539808</v>
      </c>
      <c r="B26" s="1" t="s">
        <v>19</v>
      </c>
      <c r="C26" s="1" t="s">
        <v>15</v>
      </c>
      <c r="D26" s="2">
        <v>19938</v>
      </c>
      <c r="E26" s="1" t="s">
        <v>16</v>
      </c>
      <c r="F26" s="1">
        <v>5</v>
      </c>
      <c r="G26" s="1">
        <v>90024</v>
      </c>
      <c r="H26" s="1">
        <v>82000</v>
      </c>
      <c r="I26" s="1">
        <v>389</v>
      </c>
      <c r="J26" s="1">
        <v>486</v>
      </c>
      <c r="K26" s="1">
        <v>6</v>
      </c>
      <c r="L26" s="1">
        <v>167</v>
      </c>
      <c r="M26" s="1" t="s">
        <v>21</v>
      </c>
      <c r="N26" s="1" t="s">
        <v>26</v>
      </c>
      <c r="O26" s="1">
        <f t="shared" si="0"/>
        <v>-167</v>
      </c>
      <c r="T26" s="1">
        <f>IF(H26&lt;=AA$2,1,IF(H26&lt;=AA$3,2,IF(H26&lt;=AA$4,3,IF(H26&lt;=AA$5,4,5))))</f>
        <v>2</v>
      </c>
      <c r="U26" s="1" t="str">
        <f t="shared" si="1"/>
        <v>Silver</v>
      </c>
    </row>
    <row r="27" spans="1:35">
      <c r="A27" s="1">
        <v>1539941</v>
      </c>
      <c r="B27" s="1" t="s">
        <v>19</v>
      </c>
      <c r="C27" s="1" t="s">
        <v>24</v>
      </c>
      <c r="D27" s="2">
        <v>34507</v>
      </c>
      <c r="E27" s="1" t="s">
        <v>25</v>
      </c>
      <c r="F27" s="1">
        <v>1</v>
      </c>
      <c r="G27" s="1">
        <v>90033</v>
      </c>
      <c r="H27" s="1">
        <v>42000</v>
      </c>
      <c r="I27" s="1">
        <v>697</v>
      </c>
      <c r="J27" s="1">
        <v>1150</v>
      </c>
      <c r="K27" s="1">
        <v>22</v>
      </c>
      <c r="L27" s="1">
        <v>267</v>
      </c>
      <c r="M27" s="1" t="s">
        <v>23</v>
      </c>
      <c r="N27" s="1" t="s">
        <v>27</v>
      </c>
      <c r="O27" s="1">
        <f t="shared" si="0"/>
        <v>-267</v>
      </c>
      <c r="T27" s="1">
        <f>IF(H27&lt;=AA$2,1,IF(H27&lt;=AA$3,2,IF(H27&lt;=AA$4,3,IF(H27&lt;=AA$5,4,5))))</f>
        <v>1</v>
      </c>
      <c r="U27" s="1" t="str">
        <f t="shared" si="1"/>
        <v>Gold</v>
      </c>
    </row>
    <row r="28" spans="1:35">
      <c r="A28" s="1">
        <v>1539995</v>
      </c>
      <c r="B28" s="1" t="s">
        <v>14</v>
      </c>
      <c r="C28" s="1" t="s">
        <v>24</v>
      </c>
      <c r="D28" s="2">
        <v>20740</v>
      </c>
      <c r="E28" s="1" t="s">
        <v>16</v>
      </c>
      <c r="F28" s="1">
        <v>2</v>
      </c>
      <c r="G28" s="1">
        <v>90067</v>
      </c>
      <c r="H28" s="1">
        <v>96000</v>
      </c>
      <c r="I28" s="1">
        <v>631</v>
      </c>
      <c r="J28" s="1">
        <v>802</v>
      </c>
      <c r="K28" s="1">
        <v>17</v>
      </c>
      <c r="L28" s="1">
        <v>354</v>
      </c>
      <c r="M28" s="1" t="s">
        <v>31</v>
      </c>
      <c r="N28" s="1" t="s">
        <v>22</v>
      </c>
      <c r="O28" s="1">
        <f t="shared" si="0"/>
        <v>-354</v>
      </c>
      <c r="T28" s="1">
        <f>IF(H28&lt;=AA$2,1,IF(H28&lt;=AA$3,2,IF(H28&lt;=AA$4,3,IF(H28&lt;=AA$5,4,5))))</f>
        <v>3</v>
      </c>
      <c r="U28" s="1" t="str">
        <f t="shared" si="1"/>
        <v>Silver</v>
      </c>
    </row>
    <row r="29" spans="1:35">
      <c r="A29" s="1">
        <v>1540076</v>
      </c>
      <c r="B29" s="1" t="s">
        <v>19</v>
      </c>
      <c r="C29" s="1" t="s">
        <v>30</v>
      </c>
      <c r="D29" s="2">
        <v>28514</v>
      </c>
      <c r="E29" s="1" t="s">
        <v>16</v>
      </c>
      <c r="F29" s="1">
        <v>5</v>
      </c>
      <c r="G29" s="1">
        <v>90012</v>
      </c>
      <c r="H29" s="1">
        <v>60000</v>
      </c>
      <c r="I29" s="1">
        <v>63</v>
      </c>
      <c r="J29" s="1">
        <v>113</v>
      </c>
      <c r="K29" s="1">
        <v>1</v>
      </c>
      <c r="L29" s="1">
        <v>178</v>
      </c>
      <c r="M29" s="1" t="s">
        <v>23</v>
      </c>
      <c r="N29" s="1" t="s">
        <v>22</v>
      </c>
      <c r="O29" s="1">
        <f t="shared" si="0"/>
        <v>-178</v>
      </c>
      <c r="T29" s="1">
        <f>IF(H29&lt;=AA$2,1,IF(H29&lt;=AA$3,2,IF(H29&lt;=AA$4,3,IF(H29&lt;=AA$5,4,5))))</f>
        <v>2</v>
      </c>
      <c r="U29" s="1" t="str">
        <f t="shared" si="1"/>
        <v>Bronze</v>
      </c>
    </row>
    <row r="30" spans="1:35">
      <c r="A30" s="1">
        <v>1540183</v>
      </c>
      <c r="B30" s="1" t="s">
        <v>19</v>
      </c>
      <c r="C30" s="1" t="s">
        <v>20</v>
      </c>
      <c r="D30" s="2">
        <v>33296</v>
      </c>
      <c r="E30" s="1" t="s">
        <v>16</v>
      </c>
      <c r="F30" s="1">
        <v>1</v>
      </c>
      <c r="G30" s="1">
        <v>90066</v>
      </c>
      <c r="H30" s="1">
        <v>91000</v>
      </c>
      <c r="I30" s="1">
        <v>1018</v>
      </c>
      <c r="J30" s="1">
        <v>800</v>
      </c>
      <c r="K30" s="1">
        <v>10</v>
      </c>
      <c r="L30" s="1">
        <v>6</v>
      </c>
      <c r="M30" s="1" t="s">
        <v>31</v>
      </c>
      <c r="N30" s="1" t="s">
        <v>26</v>
      </c>
      <c r="O30" s="1">
        <f t="shared" si="0"/>
        <v>-6</v>
      </c>
      <c r="T30" s="1">
        <f>IF(H30&lt;=AA$2,1,IF(H30&lt;=AA$3,2,IF(H30&lt;=AA$4,3,IF(H30&lt;=AA$5,4,5))))</f>
        <v>3</v>
      </c>
      <c r="U30" s="1" t="str">
        <f t="shared" si="1"/>
        <v>Silver</v>
      </c>
    </row>
    <row r="31" spans="1:35">
      <c r="A31" s="1">
        <v>1540217</v>
      </c>
      <c r="B31" s="1" t="s">
        <v>19</v>
      </c>
      <c r="C31" s="1" t="s">
        <v>24</v>
      </c>
      <c r="D31" s="2">
        <v>25498</v>
      </c>
      <c r="E31" s="1" t="s">
        <v>16</v>
      </c>
      <c r="F31" s="1">
        <v>1</v>
      </c>
      <c r="G31" s="1">
        <v>90011</v>
      </c>
      <c r="H31" s="1">
        <v>76000</v>
      </c>
      <c r="I31" s="1">
        <v>546</v>
      </c>
      <c r="J31" s="1">
        <v>1037</v>
      </c>
      <c r="K31" s="1">
        <v>26</v>
      </c>
      <c r="L31" s="1">
        <v>271</v>
      </c>
      <c r="M31" s="1" t="s">
        <v>31</v>
      </c>
      <c r="N31" s="1" t="s">
        <v>18</v>
      </c>
      <c r="O31" s="1">
        <f t="shared" si="0"/>
        <v>-271</v>
      </c>
      <c r="T31" s="1">
        <f>IF(H31&lt;=AA$2,1,IF(H31&lt;=AA$3,2,IF(H31&lt;=AA$4,3,IF(H31&lt;=AA$5,4,5))))</f>
        <v>2</v>
      </c>
      <c r="U31" s="1" t="str">
        <f t="shared" si="1"/>
        <v>Gold</v>
      </c>
    </row>
    <row r="32" spans="1:35">
      <c r="A32" s="1">
        <v>1540539</v>
      </c>
      <c r="B32" s="1" t="s">
        <v>19</v>
      </c>
      <c r="C32" s="1" t="s">
        <v>20</v>
      </c>
      <c r="D32" s="2">
        <v>22064</v>
      </c>
      <c r="E32" s="1" t="s">
        <v>16</v>
      </c>
      <c r="F32" s="1">
        <v>5</v>
      </c>
      <c r="G32" s="1">
        <v>90049</v>
      </c>
      <c r="H32" s="1">
        <v>100000</v>
      </c>
      <c r="I32" s="1">
        <v>50</v>
      </c>
      <c r="J32" s="1">
        <v>50</v>
      </c>
      <c r="K32" s="1">
        <v>1</v>
      </c>
      <c r="L32" s="1">
        <v>240</v>
      </c>
      <c r="M32" s="1" t="s">
        <v>31</v>
      </c>
      <c r="N32" s="1" t="s">
        <v>26</v>
      </c>
      <c r="O32" s="1">
        <f t="shared" si="0"/>
        <v>-240</v>
      </c>
      <c r="T32" s="1">
        <f>IF(H32&lt;=AA$2,1,IF(H32&lt;=AA$3,2,IF(H32&lt;=AA$4,3,IF(H32&lt;=AA$5,4,5))))</f>
        <v>3</v>
      </c>
      <c r="U32" s="1" t="str">
        <f t="shared" si="1"/>
        <v>Bronze</v>
      </c>
    </row>
    <row r="33" spans="1:21">
      <c r="A33" s="1">
        <v>1540604</v>
      </c>
      <c r="B33" s="1" t="s">
        <v>14</v>
      </c>
      <c r="C33" s="1" t="s">
        <v>20</v>
      </c>
      <c r="D33" s="2">
        <v>25680</v>
      </c>
      <c r="E33" s="1" t="s">
        <v>16</v>
      </c>
      <c r="F33" s="1">
        <v>3</v>
      </c>
      <c r="G33" s="1">
        <v>90011</v>
      </c>
      <c r="H33" s="1">
        <v>73000</v>
      </c>
      <c r="I33" s="1">
        <v>428</v>
      </c>
      <c r="J33" s="1">
        <v>539</v>
      </c>
      <c r="K33" s="1">
        <v>5</v>
      </c>
      <c r="L33" s="1">
        <v>12</v>
      </c>
      <c r="M33" s="1" t="s">
        <v>23</v>
      </c>
      <c r="N33" s="1" t="s">
        <v>26</v>
      </c>
      <c r="O33" s="1">
        <f t="shared" si="0"/>
        <v>-12</v>
      </c>
      <c r="T33" s="1">
        <f>IF(H33&lt;=AA$2,1,IF(H33&lt;=AA$3,2,IF(H33&lt;=AA$4,3,IF(H33&lt;=AA$5,4,5))))</f>
        <v>2</v>
      </c>
      <c r="U33" s="1" t="str">
        <f t="shared" si="1"/>
        <v>Silver</v>
      </c>
    </row>
    <row r="34" spans="1:21">
      <c r="A34" s="1">
        <v>1541742</v>
      </c>
      <c r="B34" s="1" t="s">
        <v>19</v>
      </c>
      <c r="C34" s="1" t="s">
        <v>15</v>
      </c>
      <c r="D34" s="2">
        <v>21990</v>
      </c>
      <c r="E34" s="1" t="s">
        <v>16</v>
      </c>
      <c r="F34" s="1">
        <v>2</v>
      </c>
      <c r="G34" s="1">
        <v>90052</v>
      </c>
      <c r="H34" s="1">
        <v>106000</v>
      </c>
      <c r="I34" s="1">
        <v>775</v>
      </c>
      <c r="J34" s="1">
        <v>536</v>
      </c>
      <c r="K34" s="1">
        <v>12</v>
      </c>
      <c r="L34" s="1">
        <v>140</v>
      </c>
      <c r="M34" s="1" t="s">
        <v>32</v>
      </c>
      <c r="N34" s="1" t="s">
        <v>27</v>
      </c>
      <c r="O34" s="1">
        <f t="shared" si="0"/>
        <v>-140</v>
      </c>
      <c r="T34" s="1">
        <f>IF(H34&lt;=AA$2,1,IF(H34&lt;=AA$3,2,IF(H34&lt;=AA$4,3,IF(H34&lt;=AA$5,4,5))))</f>
        <v>3</v>
      </c>
      <c r="U34" s="1" t="str">
        <f t="shared" si="1"/>
        <v>Silver</v>
      </c>
    </row>
    <row r="35" spans="1:21">
      <c r="A35" s="1">
        <v>1541931</v>
      </c>
      <c r="B35" s="1" t="s">
        <v>19</v>
      </c>
      <c r="C35" s="1" t="s">
        <v>15</v>
      </c>
      <c r="D35" s="2">
        <v>20458</v>
      </c>
      <c r="E35" s="1" t="s">
        <v>16</v>
      </c>
      <c r="F35" s="1">
        <v>3</v>
      </c>
      <c r="G35" s="1">
        <v>90011</v>
      </c>
      <c r="H35" s="1">
        <v>55000</v>
      </c>
      <c r="I35" s="1">
        <v>561</v>
      </c>
      <c r="J35" s="1">
        <v>587</v>
      </c>
      <c r="K35" s="1">
        <v>11</v>
      </c>
      <c r="L35" s="1">
        <v>302</v>
      </c>
      <c r="M35" s="1" t="s">
        <v>31</v>
      </c>
      <c r="N35" s="1" t="s">
        <v>22</v>
      </c>
      <c r="O35" s="1">
        <f t="shared" si="0"/>
        <v>-302</v>
      </c>
      <c r="T35" s="1">
        <f>IF(H35&lt;=AA$2,1,IF(H35&lt;=AA$3,2,IF(H35&lt;=AA$4,3,IF(H35&lt;=AA$5,4,5))))</f>
        <v>1</v>
      </c>
      <c r="U35" s="1" t="str">
        <f t="shared" si="1"/>
        <v>Silver</v>
      </c>
    </row>
    <row r="36" spans="1:21">
      <c r="A36" s="1">
        <v>1542099</v>
      </c>
      <c r="B36" s="1" t="s">
        <v>19</v>
      </c>
      <c r="C36" s="1" t="s">
        <v>28</v>
      </c>
      <c r="D36" s="2">
        <v>30869</v>
      </c>
      <c r="E36" s="1" t="s">
        <v>16</v>
      </c>
      <c r="F36" s="1">
        <v>2</v>
      </c>
      <c r="G36" s="1">
        <v>90038</v>
      </c>
      <c r="H36" s="1">
        <v>86000</v>
      </c>
      <c r="I36" s="1">
        <v>234</v>
      </c>
      <c r="J36" s="1">
        <v>314</v>
      </c>
      <c r="K36" s="1">
        <v>7</v>
      </c>
      <c r="L36" s="1">
        <v>96</v>
      </c>
      <c r="M36" s="1" t="s">
        <v>32</v>
      </c>
      <c r="N36" s="1" t="s">
        <v>18</v>
      </c>
      <c r="O36" s="1">
        <f t="shared" si="0"/>
        <v>-96</v>
      </c>
      <c r="T36" s="1">
        <f>IF(H36&lt;=AA$2,1,IF(H36&lt;=AA$3,2,IF(H36&lt;=AA$4,3,IF(H36&lt;=AA$5,4,5))))</f>
        <v>3</v>
      </c>
      <c r="U36" s="1" t="str">
        <f t="shared" si="1"/>
        <v>Silver</v>
      </c>
    </row>
    <row r="37" spans="1:21">
      <c r="A37" s="1">
        <v>1542147</v>
      </c>
      <c r="B37" s="1" t="s">
        <v>19</v>
      </c>
      <c r="C37" s="1" t="s">
        <v>15</v>
      </c>
      <c r="D37" s="2">
        <v>32594</v>
      </c>
      <c r="E37" s="1" t="s">
        <v>16</v>
      </c>
      <c r="F37" s="1">
        <v>5</v>
      </c>
      <c r="G37" s="1">
        <v>90030</v>
      </c>
      <c r="H37" s="1">
        <v>51000</v>
      </c>
      <c r="I37" s="1">
        <v>398</v>
      </c>
      <c r="J37" s="1">
        <v>573</v>
      </c>
      <c r="K37" s="1">
        <v>8</v>
      </c>
      <c r="L37" s="1">
        <v>218</v>
      </c>
      <c r="M37" s="1" t="s">
        <v>31</v>
      </c>
      <c r="N37" s="1" t="s">
        <v>18</v>
      </c>
      <c r="O37" s="1">
        <f t="shared" si="0"/>
        <v>-218</v>
      </c>
      <c r="T37" s="1">
        <f>IF(H37&lt;=AA$2,1,IF(H37&lt;=AA$3,2,IF(H37&lt;=AA$4,3,IF(H37&lt;=AA$5,4,5))))</f>
        <v>1</v>
      </c>
      <c r="U37" s="1" t="str">
        <f t="shared" si="1"/>
        <v>Silver</v>
      </c>
    </row>
    <row r="38" spans="1:21">
      <c r="A38" s="1">
        <v>1542352</v>
      </c>
      <c r="B38" s="1" t="s">
        <v>19</v>
      </c>
      <c r="C38" s="1" t="s">
        <v>20</v>
      </c>
      <c r="D38" s="2">
        <v>28583</v>
      </c>
      <c r="E38" s="1" t="s">
        <v>16</v>
      </c>
      <c r="F38" s="1">
        <v>4</v>
      </c>
      <c r="G38" s="1">
        <v>90048</v>
      </c>
      <c r="H38" s="1">
        <v>60000</v>
      </c>
      <c r="I38" s="1">
        <v>84</v>
      </c>
      <c r="J38" s="1">
        <v>132</v>
      </c>
      <c r="K38" s="1">
        <v>3</v>
      </c>
      <c r="L38" s="1">
        <v>349</v>
      </c>
      <c r="M38" s="1" t="s">
        <v>21</v>
      </c>
      <c r="N38" s="1" t="s">
        <v>18</v>
      </c>
      <c r="O38" s="1">
        <f t="shared" si="0"/>
        <v>-349</v>
      </c>
      <c r="T38" s="1">
        <f>IF(H38&lt;=AA$2,1,IF(H38&lt;=AA$3,2,IF(H38&lt;=AA$4,3,IF(H38&lt;=AA$5,4,5))))</f>
        <v>2</v>
      </c>
      <c r="U38" s="1" t="str">
        <f t="shared" si="1"/>
        <v>Bronze</v>
      </c>
    </row>
    <row r="39" spans="1:21">
      <c r="A39" s="1">
        <v>1542818</v>
      </c>
      <c r="B39" s="1" t="s">
        <v>14</v>
      </c>
      <c r="C39" s="1" t="s">
        <v>20</v>
      </c>
      <c r="D39" s="2">
        <v>22260</v>
      </c>
      <c r="E39" s="1" t="s">
        <v>16</v>
      </c>
      <c r="F39" s="1">
        <v>1</v>
      </c>
      <c r="G39" s="1">
        <v>90048</v>
      </c>
      <c r="H39" s="1">
        <v>63000</v>
      </c>
      <c r="I39" s="1">
        <v>969</v>
      </c>
      <c r="J39" s="1">
        <v>814</v>
      </c>
      <c r="K39" s="1">
        <v>14</v>
      </c>
      <c r="L39" s="1">
        <v>58</v>
      </c>
      <c r="M39" s="1" t="s">
        <v>21</v>
      </c>
      <c r="N39" s="1" t="s">
        <v>22</v>
      </c>
      <c r="O39" s="1">
        <f t="shared" si="0"/>
        <v>-58</v>
      </c>
      <c r="T39" s="1">
        <f>IF(H39&lt;=AA$2,1,IF(H39&lt;=AA$3,2,IF(H39&lt;=AA$4,3,IF(H39&lt;=AA$5,4,5))))</f>
        <v>2</v>
      </c>
      <c r="U39" s="1" t="str">
        <f t="shared" si="1"/>
        <v>Silver</v>
      </c>
    </row>
    <row r="40" spans="1:21">
      <c r="A40" s="1">
        <v>1543502</v>
      </c>
      <c r="B40" s="1" t="s">
        <v>19</v>
      </c>
      <c r="C40" s="1" t="s">
        <v>24</v>
      </c>
      <c r="D40" s="2">
        <v>30047</v>
      </c>
      <c r="E40" s="1" t="s">
        <v>16</v>
      </c>
      <c r="F40" s="1">
        <v>2</v>
      </c>
      <c r="G40" s="1">
        <v>90007</v>
      </c>
      <c r="H40" s="1">
        <v>55000</v>
      </c>
      <c r="I40" s="1">
        <v>461</v>
      </c>
      <c r="J40" s="1">
        <v>563</v>
      </c>
      <c r="K40" s="1">
        <v>12</v>
      </c>
      <c r="L40" s="1">
        <v>17</v>
      </c>
      <c r="M40" s="1" t="s">
        <v>31</v>
      </c>
      <c r="N40" s="1" t="s">
        <v>18</v>
      </c>
      <c r="O40" s="1">
        <f t="shared" si="0"/>
        <v>-17</v>
      </c>
      <c r="T40" s="1">
        <f>IF(H40&lt;=AA$2,1,IF(H40&lt;=AA$3,2,IF(H40&lt;=AA$4,3,IF(H40&lt;=AA$5,4,5))))</f>
        <v>1</v>
      </c>
      <c r="U40" s="1" t="str">
        <f t="shared" si="1"/>
        <v>Silver</v>
      </c>
    </row>
    <row r="41" spans="1:21">
      <c r="A41" s="1">
        <v>1543582</v>
      </c>
      <c r="B41" s="1" t="s">
        <v>19</v>
      </c>
      <c r="C41" s="1" t="s">
        <v>20</v>
      </c>
      <c r="D41" s="2">
        <v>26777</v>
      </c>
      <c r="E41" s="1" t="s">
        <v>16</v>
      </c>
      <c r="F41" s="1">
        <v>3</v>
      </c>
      <c r="G41" s="1">
        <v>90047</v>
      </c>
      <c r="H41" s="1">
        <v>101000</v>
      </c>
      <c r="I41" s="1">
        <v>1166</v>
      </c>
      <c r="J41" s="1">
        <v>1064</v>
      </c>
      <c r="K41" s="1">
        <v>13</v>
      </c>
      <c r="L41" s="1">
        <v>108</v>
      </c>
      <c r="M41" s="1" t="s">
        <v>32</v>
      </c>
      <c r="N41" s="1" t="s">
        <v>26</v>
      </c>
      <c r="O41" s="1">
        <f t="shared" si="0"/>
        <v>-108</v>
      </c>
      <c r="T41" s="1">
        <f>IF(H41&lt;=AA$2,1,IF(H41&lt;=AA$3,2,IF(H41&lt;=AA$4,3,IF(H41&lt;=AA$5,4,5))))</f>
        <v>3</v>
      </c>
      <c r="U41" s="1" t="str">
        <f t="shared" si="1"/>
        <v>Gold</v>
      </c>
    </row>
    <row r="42" spans="1:21">
      <c r="A42" s="1">
        <v>1543734</v>
      </c>
      <c r="B42" s="1" t="s">
        <v>19</v>
      </c>
      <c r="C42" s="1" t="s">
        <v>29</v>
      </c>
      <c r="D42" s="2">
        <v>32938</v>
      </c>
      <c r="E42" s="1" t="s">
        <v>16</v>
      </c>
      <c r="F42" s="1">
        <v>5</v>
      </c>
      <c r="G42" s="1">
        <v>90042</v>
      </c>
      <c r="H42" s="1">
        <v>69000</v>
      </c>
      <c r="I42" s="1">
        <v>390</v>
      </c>
      <c r="J42" s="1">
        <v>442</v>
      </c>
      <c r="K42" s="1">
        <v>3</v>
      </c>
      <c r="L42" s="1">
        <v>265</v>
      </c>
      <c r="M42" s="1" t="s">
        <v>31</v>
      </c>
      <c r="N42" s="1" t="s">
        <v>22</v>
      </c>
      <c r="O42" s="1">
        <f t="shared" si="0"/>
        <v>-265</v>
      </c>
      <c r="T42" s="1">
        <f>IF(H42&lt;=AA$2,1,IF(H42&lt;=AA$3,2,IF(H42&lt;=AA$4,3,IF(H42&lt;=AA$5,4,5))))</f>
        <v>2</v>
      </c>
      <c r="U42" s="1" t="str">
        <f t="shared" si="1"/>
        <v>Silver</v>
      </c>
    </row>
    <row r="43" spans="1:21">
      <c r="A43" s="1">
        <v>1543850</v>
      </c>
      <c r="B43" s="1" t="s">
        <v>19</v>
      </c>
      <c r="C43" s="1" t="s">
        <v>20</v>
      </c>
      <c r="D43" s="2">
        <v>19700</v>
      </c>
      <c r="E43" s="1" t="s">
        <v>16</v>
      </c>
      <c r="F43" s="1">
        <v>1</v>
      </c>
      <c r="G43" s="1">
        <v>90008</v>
      </c>
      <c r="H43" s="1">
        <v>66000</v>
      </c>
      <c r="I43" s="1">
        <v>1851</v>
      </c>
      <c r="J43" s="1">
        <v>1241</v>
      </c>
      <c r="K43" s="1">
        <v>21</v>
      </c>
      <c r="L43" s="1">
        <v>315</v>
      </c>
      <c r="M43" s="1" t="s">
        <v>23</v>
      </c>
      <c r="N43" s="1" t="s">
        <v>18</v>
      </c>
      <c r="O43" s="1">
        <f t="shared" si="0"/>
        <v>-315</v>
      </c>
      <c r="T43" s="1">
        <f>IF(H43&lt;=AA$2,1,IF(H43&lt;=AA$3,2,IF(H43&lt;=AA$4,3,IF(H43&lt;=AA$5,4,5))))</f>
        <v>2</v>
      </c>
      <c r="U43" s="1" t="str">
        <f t="shared" si="1"/>
        <v>Gold</v>
      </c>
    </row>
    <row r="44" spans="1:21">
      <c r="A44" s="1">
        <v>1543988</v>
      </c>
      <c r="B44" s="1" t="s">
        <v>19</v>
      </c>
      <c r="C44" s="1" t="s">
        <v>24</v>
      </c>
      <c r="D44" s="2">
        <v>23181</v>
      </c>
      <c r="E44" s="1" t="s">
        <v>16</v>
      </c>
      <c r="F44" s="1">
        <v>3</v>
      </c>
      <c r="G44" s="1">
        <v>90060</v>
      </c>
      <c r="H44" s="1">
        <v>83000</v>
      </c>
      <c r="I44" s="1">
        <v>449</v>
      </c>
      <c r="J44" s="1">
        <v>813</v>
      </c>
      <c r="K44" s="1">
        <v>11</v>
      </c>
      <c r="L44" s="1">
        <v>263</v>
      </c>
      <c r="M44" s="1" t="s">
        <v>31</v>
      </c>
      <c r="N44" s="1" t="s">
        <v>26</v>
      </c>
      <c r="O44" s="1">
        <f t="shared" si="0"/>
        <v>-263</v>
      </c>
      <c r="T44" s="1">
        <f>IF(H44&lt;=AA$2,1,IF(H44&lt;=AA$3,2,IF(H44&lt;=AA$4,3,IF(H44&lt;=AA$5,4,5))))</f>
        <v>2</v>
      </c>
      <c r="U44" s="1" t="str">
        <f t="shared" si="1"/>
        <v>Silver</v>
      </c>
    </row>
    <row r="45" spans="1:21">
      <c r="A45" s="1">
        <v>1544003</v>
      </c>
      <c r="B45" s="1" t="s">
        <v>19</v>
      </c>
      <c r="C45" s="1" t="s">
        <v>24</v>
      </c>
      <c r="D45" s="2">
        <v>30810</v>
      </c>
      <c r="E45" s="1" t="s">
        <v>16</v>
      </c>
      <c r="F45" s="1">
        <v>4</v>
      </c>
      <c r="G45" s="1">
        <v>90010</v>
      </c>
      <c r="H45" s="1">
        <v>68000</v>
      </c>
      <c r="I45" s="1">
        <v>1357</v>
      </c>
      <c r="J45" s="1">
        <v>1214</v>
      </c>
      <c r="K45" s="1">
        <v>31</v>
      </c>
      <c r="L45" s="1">
        <v>95</v>
      </c>
      <c r="M45" s="1" t="s">
        <v>31</v>
      </c>
      <c r="N45" s="1" t="s">
        <v>27</v>
      </c>
      <c r="O45" s="1">
        <f t="shared" si="0"/>
        <v>-95</v>
      </c>
      <c r="T45" s="1">
        <f>IF(H45&lt;=AA$2,1,IF(H45&lt;=AA$3,2,IF(H45&lt;=AA$4,3,IF(H45&lt;=AA$5,4,5))))</f>
        <v>2</v>
      </c>
      <c r="U45" s="1" t="str">
        <f t="shared" si="1"/>
        <v>Gold</v>
      </c>
    </row>
    <row r="46" spans="1:21">
      <c r="A46" s="1">
        <v>1544391</v>
      </c>
      <c r="B46" s="1" t="s">
        <v>19</v>
      </c>
      <c r="C46" s="1" t="s">
        <v>20</v>
      </c>
      <c r="D46" s="2">
        <v>35662</v>
      </c>
      <c r="E46" s="1" t="s">
        <v>16</v>
      </c>
      <c r="F46" s="1">
        <v>2</v>
      </c>
      <c r="G46" s="1">
        <v>90005</v>
      </c>
      <c r="H46" s="1">
        <v>68000</v>
      </c>
      <c r="I46" s="1">
        <v>1314</v>
      </c>
      <c r="J46" s="1">
        <v>1027</v>
      </c>
      <c r="K46" s="1">
        <v>25</v>
      </c>
      <c r="L46" s="1">
        <v>92</v>
      </c>
      <c r="M46" s="1" t="s">
        <v>31</v>
      </c>
      <c r="N46" s="1" t="s">
        <v>22</v>
      </c>
      <c r="O46" s="1">
        <f t="shared" si="0"/>
        <v>-92</v>
      </c>
      <c r="T46" s="1">
        <f>IF(H46&lt;=AA$2,1,IF(H46&lt;=AA$3,2,IF(H46&lt;=AA$4,3,IF(H46&lt;=AA$5,4,5))))</f>
        <v>2</v>
      </c>
      <c r="U46" s="1" t="str">
        <f t="shared" si="1"/>
        <v>Gold</v>
      </c>
    </row>
    <row r="47" spans="1:21">
      <c r="A47" s="1">
        <v>1544417</v>
      </c>
      <c r="B47" s="1" t="s">
        <v>19</v>
      </c>
      <c r="C47" s="1" t="s">
        <v>24</v>
      </c>
      <c r="D47" s="2">
        <v>29294</v>
      </c>
      <c r="E47" s="1" t="s">
        <v>16</v>
      </c>
      <c r="F47" s="1">
        <v>4</v>
      </c>
      <c r="G47" s="1">
        <v>90040</v>
      </c>
      <c r="H47" s="1">
        <v>46000</v>
      </c>
      <c r="I47" s="1">
        <v>299</v>
      </c>
      <c r="J47" s="1">
        <v>369</v>
      </c>
      <c r="K47" s="1">
        <v>3</v>
      </c>
      <c r="L47" s="1">
        <v>281</v>
      </c>
      <c r="M47" s="1" t="s">
        <v>31</v>
      </c>
      <c r="N47" s="1" t="s">
        <v>22</v>
      </c>
      <c r="O47" s="1">
        <f t="shared" si="0"/>
        <v>-281</v>
      </c>
      <c r="T47" s="1">
        <f>IF(H47&lt;=AA$2,1,IF(H47&lt;=AA$3,2,IF(H47&lt;=AA$4,3,IF(H47&lt;=AA$5,4,5))))</f>
        <v>1</v>
      </c>
      <c r="U47" s="1" t="str">
        <f t="shared" si="1"/>
        <v>Silver</v>
      </c>
    </row>
    <row r="48" spans="1:21">
      <c r="A48" s="1">
        <v>1544461</v>
      </c>
      <c r="B48" s="1" t="s">
        <v>14</v>
      </c>
      <c r="C48" s="1" t="s">
        <v>15</v>
      </c>
      <c r="D48" s="2">
        <v>26514</v>
      </c>
      <c r="E48" s="1" t="s">
        <v>25</v>
      </c>
      <c r="F48" s="1">
        <v>5</v>
      </c>
      <c r="G48" s="1">
        <v>90033</v>
      </c>
      <c r="H48" s="1">
        <v>47000</v>
      </c>
      <c r="I48" s="1">
        <v>328</v>
      </c>
      <c r="J48" s="1">
        <v>300</v>
      </c>
      <c r="K48" s="1">
        <v>4</v>
      </c>
      <c r="L48" s="1">
        <v>66</v>
      </c>
      <c r="M48" s="1" t="s">
        <v>21</v>
      </c>
      <c r="N48" s="1" t="s">
        <v>18</v>
      </c>
      <c r="O48" s="1">
        <f t="shared" si="0"/>
        <v>-66</v>
      </c>
      <c r="T48" s="1">
        <f>IF(H48&lt;=AA$2,1,IF(H48&lt;=AA$3,2,IF(H48&lt;=AA$4,3,IF(H48&lt;=AA$5,4,5))))</f>
        <v>1</v>
      </c>
      <c r="U48" s="1" t="str">
        <f t="shared" si="1"/>
        <v>Silver</v>
      </c>
    </row>
    <row r="49" spans="1:21">
      <c r="A49" s="1">
        <v>1544588</v>
      </c>
      <c r="B49" s="1" t="s">
        <v>19</v>
      </c>
      <c r="C49" s="1" t="s">
        <v>20</v>
      </c>
      <c r="D49" s="2">
        <v>34943</v>
      </c>
      <c r="E49" s="1" t="s">
        <v>16</v>
      </c>
      <c r="F49" s="1">
        <v>3</v>
      </c>
      <c r="G49" s="1">
        <v>90028</v>
      </c>
      <c r="H49" s="1">
        <v>78000</v>
      </c>
      <c r="I49" s="1">
        <v>562</v>
      </c>
      <c r="J49" s="1">
        <v>1057</v>
      </c>
      <c r="K49" s="1">
        <v>16</v>
      </c>
      <c r="L49" s="1">
        <v>224</v>
      </c>
      <c r="M49" s="1" t="s">
        <v>21</v>
      </c>
      <c r="N49" s="1" t="s">
        <v>18</v>
      </c>
      <c r="O49" s="1">
        <f t="shared" si="0"/>
        <v>-224</v>
      </c>
      <c r="T49" s="1">
        <f>IF(H49&lt;=AA$2,1,IF(H49&lt;=AA$3,2,IF(H49&lt;=AA$4,3,IF(H49&lt;=AA$5,4,5))))</f>
        <v>2</v>
      </c>
      <c r="U49" s="1" t="str">
        <f t="shared" si="1"/>
        <v>Gold</v>
      </c>
    </row>
    <row r="50" spans="1:21">
      <c r="A50" s="1">
        <v>1544628</v>
      </c>
      <c r="B50" s="1" t="s">
        <v>19</v>
      </c>
      <c r="C50" s="1" t="s">
        <v>20</v>
      </c>
      <c r="D50" s="2">
        <v>30574</v>
      </c>
      <c r="E50" s="1" t="s">
        <v>16</v>
      </c>
      <c r="F50" s="1">
        <v>3</v>
      </c>
      <c r="G50" s="1">
        <v>90021</v>
      </c>
      <c r="H50" s="1">
        <v>69000</v>
      </c>
      <c r="I50" s="1">
        <v>215</v>
      </c>
      <c r="J50" s="1">
        <v>173</v>
      </c>
      <c r="K50" s="1">
        <v>3</v>
      </c>
      <c r="L50" s="1">
        <v>11</v>
      </c>
      <c r="M50" s="1" t="s">
        <v>31</v>
      </c>
      <c r="N50" s="1" t="s">
        <v>26</v>
      </c>
      <c r="O50" s="1">
        <f t="shared" si="0"/>
        <v>-11</v>
      </c>
      <c r="T50" s="1">
        <f>IF(H50&lt;=AA$2,1,IF(H50&lt;=AA$3,2,IF(H50&lt;=AA$4,3,IF(H50&lt;=AA$5,4,5))))</f>
        <v>2</v>
      </c>
      <c r="U50" s="1" t="str">
        <f t="shared" si="1"/>
        <v>Bronze</v>
      </c>
    </row>
    <row r="51" spans="1:21">
      <c r="A51" s="1">
        <v>1544649</v>
      </c>
      <c r="B51" s="1" t="s">
        <v>19</v>
      </c>
      <c r="C51" s="1" t="s">
        <v>20</v>
      </c>
      <c r="D51" s="2">
        <v>22969</v>
      </c>
      <c r="E51" s="1" t="s">
        <v>25</v>
      </c>
      <c r="F51" s="1">
        <v>4</v>
      </c>
      <c r="G51" s="1">
        <v>90055</v>
      </c>
      <c r="H51" s="1">
        <v>55000</v>
      </c>
      <c r="I51" s="1">
        <v>1081</v>
      </c>
      <c r="J51" s="1">
        <v>1116</v>
      </c>
      <c r="K51" s="1">
        <v>28</v>
      </c>
      <c r="L51" s="1">
        <v>328</v>
      </c>
      <c r="M51" s="1" t="s">
        <v>32</v>
      </c>
      <c r="N51" s="1" t="s">
        <v>22</v>
      </c>
      <c r="O51" s="1">
        <f t="shared" si="0"/>
        <v>-328</v>
      </c>
      <c r="T51" s="1">
        <f>IF(H51&lt;=AA$2,1,IF(H51&lt;=AA$3,2,IF(H51&lt;=AA$4,3,IF(H51&lt;=AA$5,4,5))))</f>
        <v>1</v>
      </c>
      <c r="U51" s="1" t="str">
        <f t="shared" si="1"/>
        <v>Gold</v>
      </c>
    </row>
    <row r="52" spans="1:21">
      <c r="A52" s="1">
        <v>1544764</v>
      </c>
      <c r="B52" s="1" t="s">
        <v>14</v>
      </c>
      <c r="C52" s="1" t="s">
        <v>15</v>
      </c>
      <c r="D52" s="2">
        <v>35049</v>
      </c>
      <c r="E52" s="1" t="s">
        <v>16</v>
      </c>
      <c r="F52" s="1">
        <v>5</v>
      </c>
      <c r="G52" s="1">
        <v>90045</v>
      </c>
      <c r="H52" s="1">
        <v>97000</v>
      </c>
      <c r="I52" s="1">
        <v>1272</v>
      </c>
      <c r="J52" s="1">
        <v>911</v>
      </c>
      <c r="K52" s="1">
        <v>16</v>
      </c>
      <c r="L52" s="1">
        <v>59</v>
      </c>
      <c r="M52" s="1" t="s">
        <v>31</v>
      </c>
      <c r="N52" s="1" t="s">
        <v>26</v>
      </c>
      <c r="O52" s="1">
        <f t="shared" si="0"/>
        <v>-59</v>
      </c>
      <c r="T52" s="1">
        <f>IF(H52&lt;=AA$2,1,IF(H52&lt;=AA$3,2,IF(H52&lt;=AA$4,3,IF(H52&lt;=AA$5,4,5))))</f>
        <v>3</v>
      </c>
      <c r="U52" s="1" t="str">
        <f t="shared" si="1"/>
        <v>Silver</v>
      </c>
    </row>
    <row r="53" spans="1:21">
      <c r="A53" s="1">
        <v>1545054</v>
      </c>
      <c r="B53" s="1" t="s">
        <v>19</v>
      </c>
      <c r="C53" s="1" t="s">
        <v>24</v>
      </c>
      <c r="D53" s="2">
        <v>30813</v>
      </c>
      <c r="E53" s="1" t="s">
        <v>16</v>
      </c>
      <c r="F53" s="1">
        <v>5</v>
      </c>
      <c r="G53" s="1">
        <v>90014</v>
      </c>
      <c r="H53" s="1">
        <v>102000</v>
      </c>
      <c r="I53" s="1">
        <v>356</v>
      </c>
      <c r="J53" s="1">
        <v>626</v>
      </c>
      <c r="K53" s="1">
        <v>9</v>
      </c>
      <c r="L53" s="1">
        <v>320</v>
      </c>
      <c r="M53" s="1" t="s">
        <v>23</v>
      </c>
      <c r="N53" s="1" t="s">
        <v>27</v>
      </c>
      <c r="O53" s="1">
        <f t="shared" si="0"/>
        <v>-320</v>
      </c>
      <c r="T53" s="1">
        <f>IF(H53&lt;=AA$2,1,IF(H53&lt;=AA$3,2,IF(H53&lt;=AA$4,3,IF(H53&lt;=AA$5,4,5))))</f>
        <v>3</v>
      </c>
      <c r="U53" s="1" t="str">
        <f t="shared" si="1"/>
        <v>Silver</v>
      </c>
    </row>
    <row r="54" spans="1:21">
      <c r="A54" s="1">
        <v>1545822</v>
      </c>
      <c r="B54" s="1" t="s">
        <v>19</v>
      </c>
      <c r="C54" s="1" t="s">
        <v>24</v>
      </c>
      <c r="D54" s="2">
        <v>23667</v>
      </c>
      <c r="E54" s="1" t="s">
        <v>16</v>
      </c>
      <c r="F54" s="1">
        <v>4</v>
      </c>
      <c r="G54" s="1">
        <v>90023</v>
      </c>
      <c r="H54" s="1">
        <v>96000</v>
      </c>
      <c r="I54" s="1">
        <v>613</v>
      </c>
      <c r="J54" s="1">
        <v>1196</v>
      </c>
      <c r="K54" s="1">
        <v>9</v>
      </c>
      <c r="L54" s="1">
        <v>240</v>
      </c>
      <c r="M54" s="1" t="s">
        <v>23</v>
      </c>
      <c r="N54" s="1" t="s">
        <v>26</v>
      </c>
      <c r="O54" s="1">
        <f t="shared" si="0"/>
        <v>-240</v>
      </c>
      <c r="T54" s="1">
        <f>IF(H54&lt;=AA$2,1,IF(H54&lt;=AA$3,2,IF(H54&lt;=AA$4,3,IF(H54&lt;=AA$5,4,5))))</f>
        <v>3</v>
      </c>
      <c r="U54" s="1" t="str">
        <f t="shared" si="1"/>
        <v>Gold</v>
      </c>
    </row>
    <row r="55" spans="1:21">
      <c r="A55" s="1">
        <v>1546050</v>
      </c>
      <c r="B55" s="1" t="s">
        <v>19</v>
      </c>
      <c r="C55" s="1" t="s">
        <v>15</v>
      </c>
      <c r="D55" s="2">
        <v>23804</v>
      </c>
      <c r="E55" s="1" t="s">
        <v>16</v>
      </c>
      <c r="F55" s="1">
        <v>2</v>
      </c>
      <c r="G55" s="1">
        <v>90050</v>
      </c>
      <c r="H55" s="1">
        <v>148000</v>
      </c>
      <c r="I55" s="1">
        <v>1172</v>
      </c>
      <c r="J55" s="1">
        <v>892</v>
      </c>
      <c r="K55" s="1">
        <v>19</v>
      </c>
      <c r="L55" s="1">
        <v>9</v>
      </c>
      <c r="M55" s="1" t="s">
        <v>31</v>
      </c>
      <c r="N55" s="1" t="s">
        <v>22</v>
      </c>
      <c r="O55" s="1">
        <f t="shared" si="0"/>
        <v>-9</v>
      </c>
      <c r="T55" s="1">
        <f>IF(H55&lt;=AA$2,1,IF(H55&lt;=AA$3,2,IF(H55&lt;=AA$4,3,IF(H55&lt;=AA$5,4,5))))</f>
        <v>5</v>
      </c>
      <c r="U55" s="1" t="str">
        <f t="shared" si="1"/>
        <v>Silver</v>
      </c>
    </row>
    <row r="56" spans="1:21">
      <c r="A56" s="1">
        <v>1546105</v>
      </c>
      <c r="B56" s="1" t="s">
        <v>19</v>
      </c>
      <c r="C56" s="1" t="s">
        <v>15</v>
      </c>
      <c r="D56" s="2">
        <v>22110</v>
      </c>
      <c r="E56" s="1" t="s">
        <v>16</v>
      </c>
      <c r="F56" s="1">
        <v>2</v>
      </c>
      <c r="G56" s="1">
        <v>90033</v>
      </c>
      <c r="H56" s="1">
        <v>123000</v>
      </c>
      <c r="I56" s="1">
        <v>1000</v>
      </c>
      <c r="J56" s="1">
        <v>799</v>
      </c>
      <c r="K56" s="1">
        <v>8</v>
      </c>
      <c r="L56" s="1">
        <v>360</v>
      </c>
      <c r="M56" s="1" t="s">
        <v>31</v>
      </c>
      <c r="N56" s="1" t="s">
        <v>27</v>
      </c>
      <c r="O56" s="1">
        <f t="shared" si="0"/>
        <v>-360</v>
      </c>
      <c r="T56" s="1">
        <f>IF(H56&lt;=AA$2,1,IF(H56&lt;=AA$3,2,IF(H56&lt;=AA$4,3,IF(H56&lt;=AA$5,4,5))))</f>
        <v>4</v>
      </c>
      <c r="U56" s="1" t="str">
        <f t="shared" si="1"/>
        <v>Silver</v>
      </c>
    </row>
    <row r="57" spans="1:21">
      <c r="A57" s="1">
        <v>1546138</v>
      </c>
      <c r="B57" s="1" t="s">
        <v>14</v>
      </c>
      <c r="C57" s="1" t="s">
        <v>15</v>
      </c>
      <c r="D57" s="2">
        <v>29653</v>
      </c>
      <c r="E57" s="1" t="s">
        <v>16</v>
      </c>
      <c r="F57" s="1">
        <v>1</v>
      </c>
      <c r="G57" s="1">
        <v>90024</v>
      </c>
      <c r="H57" s="1">
        <v>72000</v>
      </c>
      <c r="I57" s="1">
        <v>1170</v>
      </c>
      <c r="J57" s="1">
        <v>1125</v>
      </c>
      <c r="K57" s="1">
        <v>26</v>
      </c>
      <c r="L57" s="1">
        <v>100</v>
      </c>
      <c r="M57" s="1" t="s">
        <v>31</v>
      </c>
      <c r="N57" s="1" t="s">
        <v>18</v>
      </c>
      <c r="O57" s="1">
        <f t="shared" si="0"/>
        <v>-100</v>
      </c>
      <c r="T57" s="1">
        <f>IF(H57&lt;=AA$2,1,IF(H57&lt;=AA$3,2,IF(H57&lt;=AA$4,3,IF(H57&lt;=AA$5,4,5))))</f>
        <v>2</v>
      </c>
      <c r="U57" s="1" t="str">
        <f t="shared" si="1"/>
        <v>Gold</v>
      </c>
    </row>
    <row r="58" spans="1:21">
      <c r="A58" s="1">
        <v>1546179</v>
      </c>
      <c r="B58" s="1" t="s">
        <v>14</v>
      </c>
      <c r="C58" s="1" t="s">
        <v>15</v>
      </c>
      <c r="D58" s="2">
        <v>27294</v>
      </c>
      <c r="E58" s="1" t="s">
        <v>16</v>
      </c>
      <c r="F58" s="1">
        <v>4</v>
      </c>
      <c r="G58" s="1">
        <v>90034</v>
      </c>
      <c r="H58" s="1">
        <v>50000</v>
      </c>
      <c r="I58" s="1">
        <v>911</v>
      </c>
      <c r="J58" s="1">
        <v>850</v>
      </c>
      <c r="K58" s="1">
        <v>10</v>
      </c>
      <c r="L58" s="1">
        <v>47</v>
      </c>
      <c r="M58" s="1" t="s">
        <v>31</v>
      </c>
      <c r="N58" s="1" t="s">
        <v>18</v>
      </c>
      <c r="O58" s="1">
        <f t="shared" si="0"/>
        <v>-47</v>
      </c>
      <c r="T58" s="1">
        <f>IF(H58&lt;=AA$2,1,IF(H58&lt;=AA$3,2,IF(H58&lt;=AA$4,3,IF(H58&lt;=AA$5,4,5))))</f>
        <v>1</v>
      </c>
      <c r="U58" s="1" t="str">
        <f t="shared" si="1"/>
        <v>Silver</v>
      </c>
    </row>
    <row r="59" spans="1:21">
      <c r="A59" s="1">
        <v>1546224</v>
      </c>
      <c r="B59" s="1" t="s">
        <v>14</v>
      </c>
      <c r="C59" s="1" t="s">
        <v>28</v>
      </c>
      <c r="D59" s="2">
        <v>29489</v>
      </c>
      <c r="E59" s="1" t="s">
        <v>16</v>
      </c>
      <c r="F59" s="1">
        <v>5</v>
      </c>
      <c r="G59" s="1">
        <v>90043</v>
      </c>
      <c r="H59" s="1">
        <v>99000</v>
      </c>
      <c r="I59" s="1">
        <v>228</v>
      </c>
      <c r="J59" s="1">
        <v>417</v>
      </c>
      <c r="K59" s="1">
        <v>9</v>
      </c>
      <c r="L59" s="1">
        <v>76</v>
      </c>
      <c r="M59" s="1" t="s">
        <v>31</v>
      </c>
      <c r="N59" s="1" t="s">
        <v>26</v>
      </c>
      <c r="O59" s="1">
        <f t="shared" si="0"/>
        <v>-76</v>
      </c>
      <c r="T59" s="1">
        <f>IF(H59&lt;=AA$2,1,IF(H59&lt;=AA$3,2,IF(H59&lt;=AA$4,3,IF(H59&lt;=AA$5,4,5))))</f>
        <v>3</v>
      </c>
      <c r="U59" s="1" t="str">
        <f t="shared" si="1"/>
        <v>Silver</v>
      </c>
    </row>
    <row r="60" spans="1:21">
      <c r="A60" s="1">
        <v>1546623</v>
      </c>
      <c r="B60" s="1" t="s">
        <v>14</v>
      </c>
      <c r="C60" s="1" t="s">
        <v>24</v>
      </c>
      <c r="D60" s="2">
        <v>29365</v>
      </c>
      <c r="E60" s="1" t="s">
        <v>16</v>
      </c>
      <c r="F60" s="1">
        <v>2</v>
      </c>
      <c r="G60" s="1">
        <v>90029</v>
      </c>
      <c r="H60" s="1">
        <v>56000</v>
      </c>
      <c r="I60" s="1">
        <v>723</v>
      </c>
      <c r="J60" s="1">
        <v>1038</v>
      </c>
      <c r="K60" s="1">
        <v>22</v>
      </c>
      <c r="L60" s="1">
        <v>188</v>
      </c>
      <c r="M60" s="1" t="s">
        <v>31</v>
      </c>
      <c r="N60" s="1" t="s">
        <v>27</v>
      </c>
      <c r="O60" s="1">
        <f t="shared" si="0"/>
        <v>-188</v>
      </c>
      <c r="T60" s="1">
        <f>IF(H60&lt;=AA$2,1,IF(H60&lt;=AA$3,2,IF(H60&lt;=AA$4,3,IF(H60&lt;=AA$5,4,5))))</f>
        <v>1</v>
      </c>
      <c r="U60" s="1" t="str">
        <f t="shared" si="1"/>
        <v>Gold</v>
      </c>
    </row>
    <row r="61" spans="1:21">
      <c r="A61" s="1">
        <v>1546870</v>
      </c>
      <c r="B61" s="1" t="s">
        <v>14</v>
      </c>
      <c r="C61" s="1" t="s">
        <v>15</v>
      </c>
      <c r="D61" s="2">
        <v>23155</v>
      </c>
      <c r="E61" s="1" t="s">
        <v>16</v>
      </c>
      <c r="F61" s="1">
        <v>4</v>
      </c>
      <c r="G61" s="1">
        <v>90062</v>
      </c>
      <c r="H61" s="1">
        <v>71000</v>
      </c>
      <c r="I61" s="1">
        <v>870</v>
      </c>
      <c r="J61" s="1">
        <v>1127</v>
      </c>
      <c r="K61" s="1">
        <v>19</v>
      </c>
      <c r="L61" s="1">
        <v>40</v>
      </c>
      <c r="M61" s="1" t="s">
        <v>23</v>
      </c>
      <c r="N61" s="1" t="s">
        <v>27</v>
      </c>
      <c r="O61" s="1">
        <f t="shared" si="0"/>
        <v>-40</v>
      </c>
      <c r="T61" s="1">
        <f>IF(H61&lt;=AA$2,1,IF(H61&lt;=AA$3,2,IF(H61&lt;=AA$4,3,IF(H61&lt;=AA$5,4,5))))</f>
        <v>2</v>
      </c>
      <c r="U61" s="1" t="str">
        <f t="shared" si="1"/>
        <v>Gold</v>
      </c>
    </row>
    <row r="62" spans="1:21">
      <c r="A62" s="1">
        <v>1547473</v>
      </c>
      <c r="B62" s="1" t="s">
        <v>19</v>
      </c>
      <c r="C62" s="1" t="s">
        <v>20</v>
      </c>
      <c r="D62" s="2">
        <v>33934</v>
      </c>
      <c r="E62" s="1" t="s">
        <v>16</v>
      </c>
      <c r="F62" s="1">
        <v>4</v>
      </c>
      <c r="G62" s="1">
        <v>90027</v>
      </c>
      <c r="H62" s="1">
        <v>65000</v>
      </c>
      <c r="I62" s="1">
        <v>42</v>
      </c>
      <c r="J62" s="1">
        <v>78</v>
      </c>
      <c r="K62" s="1">
        <v>2</v>
      </c>
      <c r="L62" s="1">
        <v>11</v>
      </c>
      <c r="M62" s="1" t="s">
        <v>31</v>
      </c>
      <c r="N62" s="1" t="s">
        <v>27</v>
      </c>
      <c r="O62" s="1">
        <f t="shared" si="0"/>
        <v>-11</v>
      </c>
      <c r="T62" s="1">
        <f>IF(H62&lt;=AA$2,1,IF(H62&lt;=AA$3,2,IF(H62&lt;=AA$4,3,IF(H62&lt;=AA$5,4,5))))</f>
        <v>2</v>
      </c>
      <c r="U62" s="1" t="str">
        <f t="shared" si="1"/>
        <v>Bronze</v>
      </c>
    </row>
    <row r="63" spans="1:21">
      <c r="A63" s="1">
        <v>1547620</v>
      </c>
      <c r="B63" s="1" t="s">
        <v>19</v>
      </c>
      <c r="C63" s="1" t="s">
        <v>20</v>
      </c>
      <c r="D63" s="2">
        <v>22955</v>
      </c>
      <c r="E63" s="1" t="s">
        <v>16</v>
      </c>
      <c r="F63" s="1">
        <v>2</v>
      </c>
      <c r="G63" s="1">
        <v>90001</v>
      </c>
      <c r="H63" s="1">
        <v>63000</v>
      </c>
      <c r="I63" s="1">
        <v>95</v>
      </c>
      <c r="J63" s="1">
        <v>113</v>
      </c>
      <c r="K63" s="1">
        <v>2</v>
      </c>
      <c r="L63" s="1">
        <v>241</v>
      </c>
      <c r="M63" s="1" t="s">
        <v>31</v>
      </c>
      <c r="N63" s="1" t="s">
        <v>22</v>
      </c>
      <c r="O63" s="1">
        <f t="shared" si="0"/>
        <v>-241</v>
      </c>
      <c r="T63" s="1">
        <f>IF(H63&lt;=AA$2,1,IF(H63&lt;=AA$3,2,IF(H63&lt;=AA$4,3,IF(H63&lt;=AA$5,4,5))))</f>
        <v>2</v>
      </c>
      <c r="U63" s="1" t="str">
        <f t="shared" si="1"/>
        <v>Bronze</v>
      </c>
    </row>
    <row r="64" spans="1:21">
      <c r="A64" s="1">
        <v>1547771</v>
      </c>
      <c r="B64" s="1" t="s">
        <v>19</v>
      </c>
      <c r="C64" s="1" t="s">
        <v>28</v>
      </c>
      <c r="D64" s="2">
        <v>35134</v>
      </c>
      <c r="E64" s="1" t="s">
        <v>16</v>
      </c>
      <c r="F64" s="1">
        <v>3</v>
      </c>
      <c r="G64" s="1">
        <v>90023</v>
      </c>
      <c r="H64" s="1">
        <v>56000</v>
      </c>
      <c r="I64" s="1">
        <v>679</v>
      </c>
      <c r="J64" s="1">
        <v>790</v>
      </c>
      <c r="K64" s="1">
        <v>10</v>
      </c>
      <c r="L64" s="1">
        <v>352</v>
      </c>
      <c r="M64" s="1" t="s">
        <v>21</v>
      </c>
      <c r="N64" s="1" t="s">
        <v>26</v>
      </c>
      <c r="O64" s="1">
        <f t="shared" si="0"/>
        <v>-352</v>
      </c>
      <c r="T64" s="1">
        <f>IF(H64&lt;=AA$2,1,IF(H64&lt;=AA$3,2,IF(H64&lt;=AA$4,3,IF(H64&lt;=AA$5,4,5))))</f>
        <v>1</v>
      </c>
      <c r="U64" s="1" t="str">
        <f t="shared" si="1"/>
        <v>Silver</v>
      </c>
    </row>
    <row r="65" spans="1:21">
      <c r="A65" s="1">
        <v>1547864</v>
      </c>
      <c r="B65" s="1" t="s">
        <v>14</v>
      </c>
      <c r="C65" s="1" t="s">
        <v>24</v>
      </c>
      <c r="D65" s="2">
        <v>31943</v>
      </c>
      <c r="E65" s="1" t="s">
        <v>16</v>
      </c>
      <c r="F65" s="1">
        <v>2</v>
      </c>
      <c r="G65" s="1">
        <v>90050</v>
      </c>
      <c r="H65" s="1">
        <v>44000</v>
      </c>
      <c r="I65" s="1">
        <v>397</v>
      </c>
      <c r="J65" s="1">
        <v>500</v>
      </c>
      <c r="K65" s="1">
        <v>5</v>
      </c>
      <c r="L65" s="1">
        <v>333</v>
      </c>
      <c r="M65" s="1" t="s">
        <v>31</v>
      </c>
      <c r="N65" s="1" t="s">
        <v>22</v>
      </c>
      <c r="O65" s="1">
        <f t="shared" si="0"/>
        <v>-333</v>
      </c>
      <c r="T65" s="1">
        <f>IF(H65&lt;=AA$2,1,IF(H65&lt;=AA$3,2,IF(H65&lt;=AA$4,3,IF(H65&lt;=AA$5,4,5))))</f>
        <v>1</v>
      </c>
      <c r="U65" s="1" t="str">
        <f t="shared" si="1"/>
        <v>Silver</v>
      </c>
    </row>
    <row r="66" spans="1:21">
      <c r="A66" s="1">
        <v>1548038</v>
      </c>
      <c r="B66" s="1" t="s">
        <v>19</v>
      </c>
      <c r="C66" s="1" t="s">
        <v>24</v>
      </c>
      <c r="D66" s="2">
        <v>35351</v>
      </c>
      <c r="E66" s="1" t="s">
        <v>25</v>
      </c>
      <c r="F66" s="1">
        <v>3</v>
      </c>
      <c r="G66" s="1">
        <v>90014</v>
      </c>
      <c r="H66" s="1">
        <v>72000</v>
      </c>
      <c r="I66" s="1">
        <v>182</v>
      </c>
      <c r="J66" s="1">
        <v>163</v>
      </c>
      <c r="K66" s="1">
        <v>1</v>
      </c>
      <c r="L66" s="1">
        <v>52</v>
      </c>
      <c r="M66" s="1" t="s">
        <v>31</v>
      </c>
      <c r="N66" s="1" t="s">
        <v>26</v>
      </c>
      <c r="O66" s="1">
        <f t="shared" si="0"/>
        <v>-52</v>
      </c>
      <c r="T66" s="1">
        <f>IF(H66&lt;=AA$2,1,IF(H66&lt;=AA$3,2,IF(H66&lt;=AA$4,3,IF(H66&lt;=AA$5,4,5))))</f>
        <v>2</v>
      </c>
      <c r="U66" s="1" t="str">
        <f t="shared" si="1"/>
        <v>Bronze</v>
      </c>
    </row>
    <row r="67" spans="1:21">
      <c r="A67" s="1">
        <v>1548419</v>
      </c>
      <c r="B67" s="1" t="s">
        <v>14</v>
      </c>
      <c r="C67" s="1" t="s">
        <v>24</v>
      </c>
      <c r="D67" s="2">
        <v>19871</v>
      </c>
      <c r="E67" s="1" t="s">
        <v>25</v>
      </c>
      <c r="F67" s="1">
        <v>4</v>
      </c>
      <c r="G67" s="1">
        <v>90067</v>
      </c>
      <c r="H67" s="1">
        <v>42000</v>
      </c>
      <c r="I67" s="1">
        <v>476</v>
      </c>
      <c r="J67" s="1">
        <v>453</v>
      </c>
      <c r="K67" s="1">
        <v>4</v>
      </c>
      <c r="L67" s="1">
        <v>26</v>
      </c>
      <c r="M67" s="1" t="s">
        <v>23</v>
      </c>
      <c r="N67" s="1" t="s">
        <v>27</v>
      </c>
      <c r="O67" s="1">
        <f t="shared" ref="O67:O130" si="2">L67*-1</f>
        <v>-26</v>
      </c>
      <c r="T67" s="1">
        <f>IF(H67&lt;=AA$2,1,IF(H67&lt;=AA$3,2,IF(H67&lt;=AA$4,3,IF(H67&lt;=AA$5,4,5))))</f>
        <v>1</v>
      </c>
      <c r="U67" s="1" t="str">
        <f t="shared" ref="U67:U130" si="3">IF(J67&gt;=1000,"Gold",IF(J67&gt;=250,"Silver","Bronze"))</f>
        <v>Silver</v>
      </c>
    </row>
    <row r="68" spans="1:21">
      <c r="A68" s="1">
        <v>1549186</v>
      </c>
      <c r="B68" s="1" t="s">
        <v>19</v>
      </c>
      <c r="C68" s="1" t="s">
        <v>24</v>
      </c>
      <c r="D68" s="2">
        <v>20897</v>
      </c>
      <c r="E68" s="1" t="s">
        <v>16</v>
      </c>
      <c r="F68" s="1">
        <v>2</v>
      </c>
      <c r="G68" s="1">
        <v>90045</v>
      </c>
      <c r="H68" s="1">
        <v>94000</v>
      </c>
      <c r="I68" s="1">
        <v>967</v>
      </c>
      <c r="J68" s="1">
        <v>764</v>
      </c>
      <c r="K68" s="1">
        <v>7</v>
      </c>
      <c r="L68" s="1">
        <v>262</v>
      </c>
      <c r="M68" s="1" t="s">
        <v>21</v>
      </c>
      <c r="N68" s="1" t="s">
        <v>22</v>
      </c>
      <c r="O68" s="1">
        <f t="shared" si="2"/>
        <v>-262</v>
      </c>
      <c r="T68" s="1">
        <f>IF(H68&lt;=AA$2,1,IF(H68&lt;=AA$3,2,IF(H68&lt;=AA$4,3,IF(H68&lt;=AA$5,4,5))))</f>
        <v>3</v>
      </c>
      <c r="U68" s="1" t="str">
        <f t="shared" si="3"/>
        <v>Silver</v>
      </c>
    </row>
    <row r="69" spans="1:21">
      <c r="A69" s="1">
        <v>1549239</v>
      </c>
      <c r="B69" s="1" t="s">
        <v>19</v>
      </c>
      <c r="C69" s="1" t="s">
        <v>15</v>
      </c>
      <c r="D69" s="2">
        <v>33062</v>
      </c>
      <c r="E69" s="1" t="s">
        <v>16</v>
      </c>
      <c r="F69" s="1">
        <v>1</v>
      </c>
      <c r="G69" s="1">
        <v>90010</v>
      </c>
      <c r="H69" s="1">
        <v>151000</v>
      </c>
      <c r="I69" s="1">
        <v>667</v>
      </c>
      <c r="J69" s="1">
        <v>688</v>
      </c>
      <c r="K69" s="1">
        <v>17</v>
      </c>
      <c r="L69" s="1">
        <v>296</v>
      </c>
      <c r="M69" s="1" t="s">
        <v>23</v>
      </c>
      <c r="N69" s="1" t="s">
        <v>18</v>
      </c>
      <c r="O69" s="1">
        <f t="shared" si="2"/>
        <v>-296</v>
      </c>
      <c r="T69" s="1">
        <f>IF(H69&lt;=AA$2,1,IF(H69&lt;=AA$3,2,IF(H69&lt;=AA$4,3,IF(H69&lt;=AA$5,4,5))))</f>
        <v>5</v>
      </c>
      <c r="U69" s="1" t="str">
        <f t="shared" si="3"/>
        <v>Silver</v>
      </c>
    </row>
    <row r="70" spans="1:21">
      <c r="A70" s="1">
        <v>1549430</v>
      </c>
      <c r="B70" s="1" t="s">
        <v>19</v>
      </c>
      <c r="C70" s="1" t="s">
        <v>20</v>
      </c>
      <c r="D70" s="2">
        <v>35880</v>
      </c>
      <c r="E70" s="1" t="s">
        <v>16</v>
      </c>
      <c r="F70" s="1">
        <v>2</v>
      </c>
      <c r="G70" s="1">
        <v>90066</v>
      </c>
      <c r="H70" s="1">
        <v>97000</v>
      </c>
      <c r="I70" s="1">
        <v>1334</v>
      </c>
      <c r="J70" s="1">
        <v>1020</v>
      </c>
      <c r="K70" s="1">
        <v>24</v>
      </c>
      <c r="L70" s="1">
        <v>176</v>
      </c>
      <c r="M70" s="1" t="s">
        <v>31</v>
      </c>
      <c r="N70" s="1" t="s">
        <v>22</v>
      </c>
      <c r="O70" s="1">
        <f t="shared" si="2"/>
        <v>-176</v>
      </c>
      <c r="T70" s="1">
        <f>IF(H70&lt;=AA$2,1,IF(H70&lt;=AA$3,2,IF(H70&lt;=AA$4,3,IF(H70&lt;=AA$5,4,5))))</f>
        <v>3</v>
      </c>
      <c r="U70" s="1" t="str">
        <f t="shared" si="3"/>
        <v>Gold</v>
      </c>
    </row>
    <row r="71" spans="1:21">
      <c r="A71" s="1">
        <v>1549535</v>
      </c>
      <c r="B71" s="1" t="s">
        <v>19</v>
      </c>
      <c r="C71" s="1" t="s">
        <v>24</v>
      </c>
      <c r="D71" s="2">
        <v>22559</v>
      </c>
      <c r="E71" s="1" t="s">
        <v>16</v>
      </c>
      <c r="F71" s="1">
        <v>4</v>
      </c>
      <c r="G71" s="1">
        <v>90008</v>
      </c>
      <c r="H71" s="1">
        <v>87000</v>
      </c>
      <c r="I71" s="1">
        <v>438</v>
      </c>
      <c r="J71" s="1">
        <v>538</v>
      </c>
      <c r="K71" s="1">
        <v>8</v>
      </c>
      <c r="L71" s="1">
        <v>320</v>
      </c>
      <c r="M71" s="1" t="s">
        <v>31</v>
      </c>
      <c r="N71" s="1" t="s">
        <v>26</v>
      </c>
      <c r="O71" s="1">
        <f t="shared" si="2"/>
        <v>-320</v>
      </c>
      <c r="T71" s="1">
        <f>IF(H71&lt;=AA$2,1,IF(H71&lt;=AA$3,2,IF(H71&lt;=AA$4,3,IF(H71&lt;=AA$5,4,5))))</f>
        <v>3</v>
      </c>
      <c r="U71" s="1" t="str">
        <f t="shared" si="3"/>
        <v>Silver</v>
      </c>
    </row>
    <row r="72" spans="1:21">
      <c r="A72" s="1">
        <v>1549652</v>
      </c>
      <c r="B72" s="1" t="s">
        <v>14</v>
      </c>
      <c r="C72" s="1" t="s">
        <v>15</v>
      </c>
      <c r="D72" s="2">
        <v>21157</v>
      </c>
      <c r="E72" s="1" t="s">
        <v>16</v>
      </c>
      <c r="F72" s="1">
        <v>4</v>
      </c>
      <c r="G72" s="1">
        <v>90025</v>
      </c>
      <c r="H72" s="1">
        <v>94000</v>
      </c>
      <c r="I72" s="1">
        <v>572</v>
      </c>
      <c r="J72" s="1">
        <v>767</v>
      </c>
      <c r="K72" s="1">
        <v>7</v>
      </c>
      <c r="L72" s="1">
        <v>227</v>
      </c>
      <c r="M72" s="1" t="s">
        <v>32</v>
      </c>
      <c r="N72" s="1" t="s">
        <v>22</v>
      </c>
      <c r="O72" s="1">
        <f t="shared" si="2"/>
        <v>-227</v>
      </c>
      <c r="T72" s="1">
        <f>IF(H72&lt;=AA$2,1,IF(H72&lt;=AA$3,2,IF(H72&lt;=AA$4,3,IF(H72&lt;=AA$5,4,5))))</f>
        <v>3</v>
      </c>
      <c r="U72" s="1" t="str">
        <f t="shared" si="3"/>
        <v>Silver</v>
      </c>
    </row>
    <row r="73" spans="1:21">
      <c r="A73" s="1">
        <v>1549708</v>
      </c>
      <c r="B73" s="1" t="s">
        <v>19</v>
      </c>
      <c r="C73" s="1" t="s">
        <v>20</v>
      </c>
      <c r="D73" s="2">
        <v>23529</v>
      </c>
      <c r="E73" s="1" t="s">
        <v>16</v>
      </c>
      <c r="F73" s="1">
        <v>3</v>
      </c>
      <c r="G73" s="1">
        <v>90032</v>
      </c>
      <c r="H73" s="1">
        <v>78000</v>
      </c>
      <c r="I73" s="1">
        <v>516</v>
      </c>
      <c r="J73" s="1">
        <v>388</v>
      </c>
      <c r="K73" s="1">
        <v>8</v>
      </c>
      <c r="L73" s="1">
        <v>330</v>
      </c>
      <c r="M73" s="1" t="s">
        <v>23</v>
      </c>
      <c r="N73" s="1" t="s">
        <v>26</v>
      </c>
      <c r="O73" s="1">
        <f t="shared" si="2"/>
        <v>-330</v>
      </c>
      <c r="T73" s="1">
        <f>IF(H73&lt;=AA$2,1,IF(H73&lt;=AA$3,2,IF(H73&lt;=AA$4,3,IF(H73&lt;=AA$5,4,5))))</f>
        <v>2</v>
      </c>
      <c r="U73" s="1" t="str">
        <f t="shared" si="3"/>
        <v>Silver</v>
      </c>
    </row>
    <row r="74" spans="1:21">
      <c r="A74" s="1">
        <v>1550134</v>
      </c>
      <c r="B74" s="1" t="s">
        <v>19</v>
      </c>
      <c r="C74" s="1" t="s">
        <v>28</v>
      </c>
      <c r="D74" s="2">
        <v>35437</v>
      </c>
      <c r="E74" s="1" t="s">
        <v>16</v>
      </c>
      <c r="F74" s="1">
        <v>4</v>
      </c>
      <c r="G74" s="1">
        <v>90021</v>
      </c>
      <c r="H74" s="1">
        <v>91000</v>
      </c>
      <c r="I74" s="1">
        <v>571</v>
      </c>
      <c r="J74" s="1">
        <v>423</v>
      </c>
      <c r="K74" s="1">
        <v>6</v>
      </c>
      <c r="L74" s="1">
        <v>18</v>
      </c>
      <c r="M74" s="1" t="s">
        <v>31</v>
      </c>
      <c r="N74" s="1" t="s">
        <v>22</v>
      </c>
      <c r="O74" s="1">
        <f t="shared" si="2"/>
        <v>-18</v>
      </c>
      <c r="T74" s="1">
        <f>IF(H74&lt;=AA$2,1,IF(H74&lt;=AA$3,2,IF(H74&lt;=AA$4,3,IF(H74&lt;=AA$5,4,5))))</f>
        <v>3</v>
      </c>
      <c r="U74" s="1" t="str">
        <f t="shared" si="3"/>
        <v>Silver</v>
      </c>
    </row>
    <row r="75" spans="1:21">
      <c r="A75" s="1">
        <v>1550268</v>
      </c>
      <c r="B75" s="1" t="s">
        <v>14</v>
      </c>
      <c r="C75" s="1" t="s">
        <v>20</v>
      </c>
      <c r="D75" s="2">
        <v>33520</v>
      </c>
      <c r="E75" s="1" t="s">
        <v>16</v>
      </c>
      <c r="F75" s="1">
        <v>5</v>
      </c>
      <c r="G75" s="1">
        <v>90010</v>
      </c>
      <c r="H75" s="1">
        <v>62000</v>
      </c>
      <c r="I75" s="1">
        <v>986</v>
      </c>
      <c r="J75" s="1">
        <v>862</v>
      </c>
      <c r="K75" s="1">
        <v>19</v>
      </c>
      <c r="L75" s="1">
        <v>273</v>
      </c>
      <c r="M75" s="1" t="s">
        <v>23</v>
      </c>
      <c r="N75" s="1" t="s">
        <v>26</v>
      </c>
      <c r="O75" s="1">
        <f t="shared" si="2"/>
        <v>-273</v>
      </c>
      <c r="T75" s="1">
        <f>IF(H75&lt;=AA$2,1,IF(H75&lt;=AA$3,2,IF(H75&lt;=AA$4,3,IF(H75&lt;=AA$5,4,5))))</f>
        <v>2</v>
      </c>
      <c r="U75" s="1" t="str">
        <f t="shared" si="3"/>
        <v>Silver</v>
      </c>
    </row>
    <row r="76" spans="1:21">
      <c r="A76" s="1">
        <v>1550307</v>
      </c>
      <c r="B76" s="1" t="s">
        <v>19</v>
      </c>
      <c r="C76" s="1" t="s">
        <v>28</v>
      </c>
      <c r="D76" s="2">
        <v>20054</v>
      </c>
      <c r="E76" s="1" t="s">
        <v>16</v>
      </c>
      <c r="F76" s="1">
        <v>1</v>
      </c>
      <c r="G76" s="1">
        <v>90013</v>
      </c>
      <c r="H76" s="1">
        <v>97000</v>
      </c>
      <c r="I76" s="1">
        <v>887</v>
      </c>
      <c r="J76" s="1">
        <v>1195</v>
      </c>
      <c r="K76" s="1">
        <v>12</v>
      </c>
      <c r="L76" s="1">
        <v>49</v>
      </c>
      <c r="M76" s="1" t="s">
        <v>32</v>
      </c>
      <c r="N76" s="1" t="s">
        <v>27</v>
      </c>
      <c r="O76" s="1">
        <f t="shared" si="2"/>
        <v>-49</v>
      </c>
      <c r="T76" s="1">
        <f>IF(H76&lt;=AA$2,1,IF(H76&lt;=AA$3,2,IF(H76&lt;=AA$4,3,IF(H76&lt;=AA$5,4,5))))</f>
        <v>3</v>
      </c>
      <c r="U76" s="1" t="str">
        <f t="shared" si="3"/>
        <v>Gold</v>
      </c>
    </row>
    <row r="77" spans="1:21">
      <c r="A77" s="1">
        <v>1550486</v>
      </c>
      <c r="B77" s="1" t="s">
        <v>19</v>
      </c>
      <c r="C77" s="1" t="s">
        <v>20</v>
      </c>
      <c r="D77" s="2">
        <v>20207</v>
      </c>
      <c r="E77" s="1" t="s">
        <v>25</v>
      </c>
      <c r="F77" s="1">
        <v>3</v>
      </c>
      <c r="G77" s="1">
        <v>90001</v>
      </c>
      <c r="H77" s="1">
        <v>122000</v>
      </c>
      <c r="I77" s="1">
        <v>124</v>
      </c>
      <c r="J77" s="1">
        <v>130</v>
      </c>
      <c r="K77" s="1">
        <v>1</v>
      </c>
      <c r="L77" s="1">
        <v>205</v>
      </c>
      <c r="M77" s="1" t="s">
        <v>23</v>
      </c>
      <c r="N77" s="1" t="s">
        <v>22</v>
      </c>
      <c r="O77" s="1">
        <f t="shared" si="2"/>
        <v>-205</v>
      </c>
      <c r="T77" s="1">
        <f>IF(H77&lt;=AA$2,1,IF(H77&lt;=AA$3,2,IF(H77&lt;=AA$4,3,IF(H77&lt;=AA$5,4,5))))</f>
        <v>4</v>
      </c>
      <c r="U77" s="1" t="str">
        <f t="shared" si="3"/>
        <v>Bronze</v>
      </c>
    </row>
    <row r="78" spans="1:21">
      <c r="A78" s="1">
        <v>1550596</v>
      </c>
      <c r="B78" s="1" t="s">
        <v>14</v>
      </c>
      <c r="C78" s="1" t="s">
        <v>15</v>
      </c>
      <c r="D78" s="2">
        <v>31948</v>
      </c>
      <c r="E78" s="1" t="s">
        <v>16</v>
      </c>
      <c r="F78" s="1">
        <v>5</v>
      </c>
      <c r="G78" s="1">
        <v>90038</v>
      </c>
      <c r="H78" s="1">
        <v>92000</v>
      </c>
      <c r="I78" s="1">
        <v>125</v>
      </c>
      <c r="J78" s="1">
        <v>183</v>
      </c>
      <c r="K78" s="1">
        <v>1</v>
      </c>
      <c r="L78" s="1">
        <v>26</v>
      </c>
      <c r="M78" s="1" t="s">
        <v>21</v>
      </c>
      <c r="N78" s="1" t="s">
        <v>27</v>
      </c>
      <c r="O78" s="1">
        <f t="shared" si="2"/>
        <v>-26</v>
      </c>
      <c r="T78" s="1">
        <f>IF(H78&lt;=AA$2,1,IF(H78&lt;=AA$3,2,IF(H78&lt;=AA$4,3,IF(H78&lt;=AA$5,4,5))))</f>
        <v>3</v>
      </c>
      <c r="U78" s="1" t="str">
        <f t="shared" si="3"/>
        <v>Bronze</v>
      </c>
    </row>
    <row r="79" spans="1:21">
      <c r="A79" s="1">
        <v>1550597</v>
      </c>
      <c r="B79" s="1" t="s">
        <v>19</v>
      </c>
      <c r="C79" s="1" t="s">
        <v>20</v>
      </c>
      <c r="D79" s="2">
        <v>23135</v>
      </c>
      <c r="E79" s="1" t="s">
        <v>16</v>
      </c>
      <c r="F79" s="1">
        <v>1</v>
      </c>
      <c r="G79" s="1">
        <v>90020</v>
      </c>
      <c r="H79" s="1">
        <v>93000</v>
      </c>
      <c r="I79" s="1">
        <v>618</v>
      </c>
      <c r="J79" s="1">
        <v>489</v>
      </c>
      <c r="K79" s="1">
        <v>7</v>
      </c>
      <c r="L79" s="1">
        <v>308</v>
      </c>
      <c r="M79" s="1" t="s">
        <v>31</v>
      </c>
      <c r="N79" s="1" t="s">
        <v>22</v>
      </c>
      <c r="O79" s="1">
        <f t="shared" si="2"/>
        <v>-308</v>
      </c>
      <c r="T79" s="1">
        <f>IF(H79&lt;=AA$2,1,IF(H79&lt;=AA$3,2,IF(H79&lt;=AA$4,3,IF(H79&lt;=AA$5,4,5))))</f>
        <v>3</v>
      </c>
      <c r="U79" s="1" t="str">
        <f t="shared" si="3"/>
        <v>Silver</v>
      </c>
    </row>
    <row r="80" spans="1:21">
      <c r="A80" s="1">
        <v>1550751</v>
      </c>
      <c r="B80" s="1" t="s">
        <v>19</v>
      </c>
      <c r="C80" s="1" t="s">
        <v>24</v>
      </c>
      <c r="D80" s="2">
        <v>19374</v>
      </c>
      <c r="E80" s="1" t="s">
        <v>16</v>
      </c>
      <c r="F80" s="1">
        <v>3</v>
      </c>
      <c r="G80" s="1">
        <v>90013</v>
      </c>
      <c r="H80" s="1">
        <v>56000</v>
      </c>
      <c r="I80" s="1">
        <v>65</v>
      </c>
      <c r="J80" s="1">
        <v>87</v>
      </c>
      <c r="K80" s="1">
        <v>1</v>
      </c>
      <c r="L80" s="1">
        <v>341</v>
      </c>
      <c r="M80" s="1" t="s">
        <v>31</v>
      </c>
      <c r="N80" s="1" t="s">
        <v>26</v>
      </c>
      <c r="O80" s="1">
        <f t="shared" si="2"/>
        <v>-341</v>
      </c>
      <c r="T80" s="1">
        <f>IF(H80&lt;=AA$2,1,IF(H80&lt;=AA$3,2,IF(H80&lt;=AA$4,3,IF(H80&lt;=AA$5,4,5))))</f>
        <v>1</v>
      </c>
      <c r="U80" s="1" t="str">
        <f t="shared" si="3"/>
        <v>Bronze</v>
      </c>
    </row>
    <row r="81" spans="1:21">
      <c r="A81" s="1">
        <v>1550842</v>
      </c>
      <c r="B81" s="1" t="s">
        <v>19</v>
      </c>
      <c r="C81" s="1" t="s">
        <v>20</v>
      </c>
      <c r="D81" s="2">
        <v>30989</v>
      </c>
      <c r="E81" s="1" t="s">
        <v>16</v>
      </c>
      <c r="F81" s="1">
        <v>4</v>
      </c>
      <c r="G81" s="1">
        <v>90053</v>
      </c>
      <c r="H81" s="1">
        <v>60000</v>
      </c>
      <c r="I81" s="1">
        <v>403</v>
      </c>
      <c r="J81" s="1">
        <v>684</v>
      </c>
      <c r="K81" s="1">
        <v>14</v>
      </c>
      <c r="L81" s="1">
        <v>195</v>
      </c>
      <c r="M81" s="1" t="s">
        <v>23</v>
      </c>
      <c r="N81" s="1" t="s">
        <v>22</v>
      </c>
      <c r="O81" s="1">
        <f t="shared" si="2"/>
        <v>-195</v>
      </c>
      <c r="T81" s="1">
        <f>IF(H81&lt;=AA$2,1,IF(H81&lt;=AA$3,2,IF(H81&lt;=AA$4,3,IF(H81&lt;=AA$5,4,5))))</f>
        <v>2</v>
      </c>
      <c r="U81" s="1" t="str">
        <f t="shared" si="3"/>
        <v>Silver</v>
      </c>
    </row>
    <row r="82" spans="1:21">
      <c r="A82" s="1">
        <v>1550969</v>
      </c>
      <c r="B82" s="1" t="s">
        <v>14</v>
      </c>
      <c r="C82" s="1" t="s">
        <v>20</v>
      </c>
      <c r="D82" s="2">
        <v>28588</v>
      </c>
      <c r="E82" s="1" t="s">
        <v>16</v>
      </c>
      <c r="F82" s="1">
        <v>4</v>
      </c>
      <c r="G82" s="1">
        <v>90030</v>
      </c>
      <c r="H82" s="1">
        <v>47000</v>
      </c>
      <c r="I82" s="1">
        <v>1045</v>
      </c>
      <c r="J82" s="1">
        <v>774</v>
      </c>
      <c r="K82" s="1">
        <v>16</v>
      </c>
      <c r="L82" s="1">
        <v>76</v>
      </c>
      <c r="M82" s="1" t="s">
        <v>21</v>
      </c>
      <c r="N82" s="1" t="s">
        <v>22</v>
      </c>
      <c r="O82" s="1">
        <f t="shared" si="2"/>
        <v>-76</v>
      </c>
      <c r="T82" s="1">
        <f>IF(H82&lt;=AA$2,1,IF(H82&lt;=AA$3,2,IF(H82&lt;=AA$4,3,IF(H82&lt;=AA$5,4,5))))</f>
        <v>1</v>
      </c>
      <c r="U82" s="1" t="str">
        <f t="shared" si="3"/>
        <v>Silver</v>
      </c>
    </row>
    <row r="83" spans="1:21">
      <c r="A83" s="1">
        <v>1551391</v>
      </c>
      <c r="B83" s="1" t="s">
        <v>14</v>
      </c>
      <c r="C83" s="1" t="s">
        <v>15</v>
      </c>
      <c r="D83" s="2">
        <v>31938</v>
      </c>
      <c r="E83" s="1" t="s">
        <v>16</v>
      </c>
      <c r="F83" s="1">
        <v>5</v>
      </c>
      <c r="G83" s="1">
        <v>90051</v>
      </c>
      <c r="H83" s="1">
        <v>63000</v>
      </c>
      <c r="I83" s="1">
        <v>105</v>
      </c>
      <c r="J83" s="1">
        <v>188</v>
      </c>
      <c r="K83" s="1">
        <v>4</v>
      </c>
      <c r="L83" s="1">
        <v>183</v>
      </c>
      <c r="M83" s="1" t="s">
        <v>31</v>
      </c>
      <c r="N83" s="1" t="s">
        <v>26</v>
      </c>
      <c r="O83" s="1">
        <f t="shared" si="2"/>
        <v>-183</v>
      </c>
      <c r="T83" s="1">
        <f>IF(H83&lt;=AA$2,1,IF(H83&lt;=AA$3,2,IF(H83&lt;=AA$4,3,IF(H83&lt;=AA$5,4,5))))</f>
        <v>2</v>
      </c>
      <c r="U83" s="1" t="str">
        <f t="shared" si="3"/>
        <v>Bronze</v>
      </c>
    </row>
    <row r="84" spans="1:21">
      <c r="A84" s="1">
        <v>1551454</v>
      </c>
      <c r="B84" s="1" t="s">
        <v>19</v>
      </c>
      <c r="C84" s="1" t="s">
        <v>15</v>
      </c>
      <c r="D84" s="2">
        <v>36377</v>
      </c>
      <c r="E84" s="1" t="s">
        <v>16</v>
      </c>
      <c r="F84" s="1">
        <v>3</v>
      </c>
      <c r="G84" s="1">
        <v>90034</v>
      </c>
      <c r="H84" s="1">
        <v>94000</v>
      </c>
      <c r="I84" s="1">
        <v>675</v>
      </c>
      <c r="J84" s="1">
        <v>580</v>
      </c>
      <c r="K84" s="1">
        <v>15</v>
      </c>
      <c r="L84" s="1">
        <v>342</v>
      </c>
      <c r="M84" s="1" t="s">
        <v>23</v>
      </c>
      <c r="N84" s="1" t="s">
        <v>26</v>
      </c>
      <c r="O84" s="1">
        <f t="shared" si="2"/>
        <v>-342</v>
      </c>
      <c r="T84" s="1">
        <f>IF(H84&lt;=AA$2,1,IF(H84&lt;=AA$3,2,IF(H84&lt;=AA$4,3,IF(H84&lt;=AA$5,4,5))))</f>
        <v>3</v>
      </c>
      <c r="U84" s="1" t="str">
        <f t="shared" si="3"/>
        <v>Silver</v>
      </c>
    </row>
    <row r="85" spans="1:21">
      <c r="A85" s="1">
        <v>1551735</v>
      </c>
      <c r="B85" s="1" t="s">
        <v>19</v>
      </c>
      <c r="C85" s="1" t="s">
        <v>28</v>
      </c>
      <c r="D85" s="2">
        <v>28030</v>
      </c>
      <c r="E85" s="1" t="s">
        <v>16</v>
      </c>
      <c r="F85" s="1">
        <v>4</v>
      </c>
      <c r="G85" s="1">
        <v>90028</v>
      </c>
      <c r="H85" s="1">
        <v>73000</v>
      </c>
      <c r="I85" s="1">
        <v>107</v>
      </c>
      <c r="J85" s="1">
        <v>148</v>
      </c>
      <c r="K85" s="1">
        <v>4</v>
      </c>
      <c r="L85" s="1">
        <v>214</v>
      </c>
      <c r="M85" s="1" t="s">
        <v>21</v>
      </c>
      <c r="N85" s="1" t="s">
        <v>26</v>
      </c>
      <c r="O85" s="1">
        <f t="shared" si="2"/>
        <v>-214</v>
      </c>
      <c r="T85" s="1">
        <f>IF(H85&lt;=AA$2,1,IF(H85&lt;=AA$3,2,IF(H85&lt;=AA$4,3,IF(H85&lt;=AA$5,4,5))))</f>
        <v>2</v>
      </c>
      <c r="U85" s="1" t="str">
        <f t="shared" si="3"/>
        <v>Bronze</v>
      </c>
    </row>
    <row r="86" spans="1:21">
      <c r="A86" s="1">
        <v>1551796</v>
      </c>
      <c r="B86" s="1" t="s">
        <v>19</v>
      </c>
      <c r="C86" s="1" t="s">
        <v>15</v>
      </c>
      <c r="D86" s="2">
        <v>22599</v>
      </c>
      <c r="E86" s="1" t="s">
        <v>25</v>
      </c>
      <c r="F86" s="1">
        <v>4</v>
      </c>
      <c r="G86" s="1">
        <v>90045</v>
      </c>
      <c r="H86" s="1">
        <v>46000</v>
      </c>
      <c r="I86" s="1">
        <v>1730</v>
      </c>
      <c r="J86" s="1">
        <v>1206</v>
      </c>
      <c r="K86" s="1">
        <v>19</v>
      </c>
      <c r="L86" s="1">
        <v>159</v>
      </c>
      <c r="M86" s="1" t="s">
        <v>23</v>
      </c>
      <c r="N86" s="1" t="s">
        <v>26</v>
      </c>
      <c r="O86" s="1">
        <f t="shared" si="2"/>
        <v>-159</v>
      </c>
      <c r="T86" s="1">
        <f>IF(H86&lt;=AA$2,1,IF(H86&lt;=AA$3,2,IF(H86&lt;=AA$4,3,IF(H86&lt;=AA$5,4,5))))</f>
        <v>1</v>
      </c>
      <c r="U86" s="1" t="str">
        <f t="shared" si="3"/>
        <v>Gold</v>
      </c>
    </row>
    <row r="87" spans="1:21">
      <c r="A87" s="1">
        <v>1552447</v>
      </c>
      <c r="B87" s="1" t="s">
        <v>14</v>
      </c>
      <c r="C87" s="1" t="s">
        <v>20</v>
      </c>
      <c r="D87" s="2">
        <v>35247</v>
      </c>
      <c r="E87" s="1" t="s">
        <v>16</v>
      </c>
      <c r="F87" s="1">
        <v>1</v>
      </c>
      <c r="G87" s="1">
        <v>90010</v>
      </c>
      <c r="H87" s="1">
        <v>55000</v>
      </c>
      <c r="I87" s="1">
        <v>312</v>
      </c>
      <c r="J87" s="1">
        <v>602</v>
      </c>
      <c r="K87" s="1">
        <v>5</v>
      </c>
      <c r="L87" s="1">
        <v>200</v>
      </c>
      <c r="M87" s="1" t="s">
        <v>32</v>
      </c>
      <c r="N87" s="1" t="s">
        <v>26</v>
      </c>
      <c r="O87" s="1">
        <f t="shared" si="2"/>
        <v>-200</v>
      </c>
      <c r="T87" s="1">
        <f>IF(H87&lt;=AA$2,1,IF(H87&lt;=AA$3,2,IF(H87&lt;=AA$4,3,IF(H87&lt;=AA$5,4,5))))</f>
        <v>1</v>
      </c>
      <c r="U87" s="1" t="str">
        <f t="shared" si="3"/>
        <v>Silver</v>
      </c>
    </row>
    <row r="88" spans="1:21">
      <c r="A88" s="1">
        <v>1552841</v>
      </c>
      <c r="B88" s="1" t="s">
        <v>14</v>
      </c>
      <c r="C88" s="1" t="s">
        <v>20</v>
      </c>
      <c r="D88" s="2">
        <v>28017</v>
      </c>
      <c r="E88" s="1" t="s">
        <v>16</v>
      </c>
      <c r="F88" s="1">
        <v>3</v>
      </c>
      <c r="G88" s="1">
        <v>90068</v>
      </c>
      <c r="H88" s="1">
        <v>52000</v>
      </c>
      <c r="I88" s="1">
        <v>860</v>
      </c>
      <c r="J88" s="1">
        <v>582</v>
      </c>
      <c r="K88" s="1">
        <v>12</v>
      </c>
      <c r="L88" s="1">
        <v>218</v>
      </c>
      <c r="M88" s="1" t="s">
        <v>31</v>
      </c>
      <c r="N88" s="1" t="s">
        <v>27</v>
      </c>
      <c r="O88" s="1">
        <f t="shared" si="2"/>
        <v>-218</v>
      </c>
      <c r="T88" s="1">
        <f>IF(H88&lt;=AA$2,1,IF(H88&lt;=AA$3,2,IF(H88&lt;=AA$4,3,IF(H88&lt;=AA$5,4,5))))</f>
        <v>1</v>
      </c>
      <c r="U88" s="1" t="str">
        <f t="shared" si="3"/>
        <v>Silver</v>
      </c>
    </row>
    <row r="89" spans="1:21">
      <c r="A89" s="1">
        <v>1553405</v>
      </c>
      <c r="B89" s="1" t="s">
        <v>14</v>
      </c>
      <c r="C89" s="1" t="s">
        <v>28</v>
      </c>
      <c r="D89" s="2">
        <v>23385</v>
      </c>
      <c r="E89" s="1" t="s">
        <v>16</v>
      </c>
      <c r="F89" s="1">
        <v>1</v>
      </c>
      <c r="G89" s="1">
        <v>90042</v>
      </c>
      <c r="H89" s="1">
        <v>50000</v>
      </c>
      <c r="I89" s="1">
        <v>1566</v>
      </c>
      <c r="J89" s="1">
        <v>1193</v>
      </c>
      <c r="K89" s="1">
        <v>27</v>
      </c>
      <c r="L89" s="1">
        <v>251</v>
      </c>
      <c r="M89" s="1" t="s">
        <v>31</v>
      </c>
      <c r="N89" s="1" t="s">
        <v>18</v>
      </c>
      <c r="O89" s="1">
        <f t="shared" si="2"/>
        <v>-251</v>
      </c>
      <c r="T89" s="1">
        <f>IF(H89&lt;=AA$2,1,IF(H89&lt;=AA$3,2,IF(H89&lt;=AA$4,3,IF(H89&lt;=AA$5,4,5))))</f>
        <v>1</v>
      </c>
      <c r="U89" s="1" t="str">
        <f t="shared" si="3"/>
        <v>Gold</v>
      </c>
    </row>
    <row r="90" spans="1:21">
      <c r="A90" s="1">
        <v>1553430</v>
      </c>
      <c r="B90" s="1" t="s">
        <v>19</v>
      </c>
      <c r="C90" s="1" t="s">
        <v>20</v>
      </c>
      <c r="D90" s="2">
        <v>19308</v>
      </c>
      <c r="E90" s="1" t="s">
        <v>16</v>
      </c>
      <c r="F90" s="1">
        <v>4</v>
      </c>
      <c r="G90" s="1">
        <v>90044</v>
      </c>
      <c r="H90" s="1">
        <v>77000</v>
      </c>
      <c r="I90" s="1">
        <v>707</v>
      </c>
      <c r="J90" s="1">
        <v>587</v>
      </c>
      <c r="K90" s="1">
        <v>5</v>
      </c>
      <c r="L90" s="1">
        <v>180</v>
      </c>
      <c r="M90" s="1" t="s">
        <v>23</v>
      </c>
      <c r="N90" s="1" t="s">
        <v>27</v>
      </c>
      <c r="O90" s="1">
        <f t="shared" si="2"/>
        <v>-180</v>
      </c>
      <c r="T90" s="1">
        <f>IF(H90&lt;=AA$2,1,IF(H90&lt;=AA$3,2,IF(H90&lt;=AA$4,3,IF(H90&lt;=AA$5,4,5))))</f>
        <v>2</v>
      </c>
      <c r="U90" s="1" t="str">
        <f t="shared" si="3"/>
        <v>Silver</v>
      </c>
    </row>
    <row r="91" spans="1:21">
      <c r="A91" s="1">
        <v>1553530</v>
      </c>
      <c r="B91" s="1" t="s">
        <v>19</v>
      </c>
      <c r="C91" s="1" t="s">
        <v>15</v>
      </c>
      <c r="D91" s="2">
        <v>36784</v>
      </c>
      <c r="E91" s="1" t="s">
        <v>16</v>
      </c>
      <c r="F91" s="1">
        <v>5</v>
      </c>
      <c r="G91" s="1">
        <v>90033</v>
      </c>
      <c r="H91" s="1">
        <v>109000</v>
      </c>
      <c r="I91" s="1">
        <v>1028</v>
      </c>
      <c r="J91" s="1">
        <v>1113</v>
      </c>
      <c r="K91" s="1">
        <v>13</v>
      </c>
      <c r="L91" s="1">
        <v>29</v>
      </c>
      <c r="M91" s="1" t="s">
        <v>31</v>
      </c>
      <c r="N91" s="1" t="s">
        <v>26</v>
      </c>
      <c r="O91" s="1">
        <f t="shared" si="2"/>
        <v>-29</v>
      </c>
      <c r="T91" s="1">
        <f>IF(H91&lt;=AA$2,1,IF(H91&lt;=AA$3,2,IF(H91&lt;=AA$4,3,IF(H91&lt;=AA$5,4,5))))</f>
        <v>3</v>
      </c>
      <c r="U91" s="1" t="str">
        <f t="shared" si="3"/>
        <v>Gold</v>
      </c>
    </row>
    <row r="92" spans="1:21">
      <c r="A92" s="1">
        <v>1553559</v>
      </c>
      <c r="B92" s="1" t="s">
        <v>19</v>
      </c>
      <c r="C92" s="1" t="s">
        <v>20</v>
      </c>
      <c r="D92" s="2">
        <v>35668</v>
      </c>
      <c r="E92" s="1" t="s">
        <v>16</v>
      </c>
      <c r="F92" s="1">
        <v>4</v>
      </c>
      <c r="G92" s="1">
        <v>90065</v>
      </c>
      <c r="H92" s="1">
        <v>68000</v>
      </c>
      <c r="I92" s="1">
        <v>87</v>
      </c>
      <c r="J92" s="1">
        <v>82</v>
      </c>
      <c r="K92" s="1">
        <v>2</v>
      </c>
      <c r="L92" s="1">
        <v>149</v>
      </c>
      <c r="M92" s="1" t="s">
        <v>32</v>
      </c>
      <c r="N92" s="1" t="s">
        <v>18</v>
      </c>
      <c r="O92" s="1">
        <f t="shared" si="2"/>
        <v>-149</v>
      </c>
      <c r="T92" s="1">
        <f>IF(H92&lt;=AA$2,1,IF(H92&lt;=AA$3,2,IF(H92&lt;=AA$4,3,IF(H92&lt;=AA$5,4,5))))</f>
        <v>2</v>
      </c>
      <c r="U92" s="1" t="str">
        <f t="shared" si="3"/>
        <v>Bronze</v>
      </c>
    </row>
    <row r="93" spans="1:21">
      <c r="A93" s="1">
        <v>1553637</v>
      </c>
      <c r="B93" s="1" t="s">
        <v>19</v>
      </c>
      <c r="C93" s="1" t="s">
        <v>15</v>
      </c>
      <c r="D93" s="2">
        <v>21424</v>
      </c>
      <c r="E93" s="1" t="s">
        <v>16</v>
      </c>
      <c r="F93" s="1">
        <v>5</v>
      </c>
      <c r="G93" s="1">
        <v>90002</v>
      </c>
      <c r="H93" s="1">
        <v>57000</v>
      </c>
      <c r="I93" s="1">
        <v>547</v>
      </c>
      <c r="J93" s="1">
        <v>900</v>
      </c>
      <c r="K93" s="1">
        <v>15</v>
      </c>
      <c r="L93" s="1">
        <v>158</v>
      </c>
      <c r="M93" s="1" t="s">
        <v>31</v>
      </c>
      <c r="N93" s="1" t="s">
        <v>18</v>
      </c>
      <c r="O93" s="1">
        <f t="shared" si="2"/>
        <v>-158</v>
      </c>
      <c r="T93" s="1">
        <f>IF(H93&lt;=AA$2,1,IF(H93&lt;=AA$3,2,IF(H93&lt;=AA$4,3,IF(H93&lt;=AA$5,4,5))))</f>
        <v>1</v>
      </c>
      <c r="U93" s="1" t="str">
        <f t="shared" si="3"/>
        <v>Silver</v>
      </c>
    </row>
    <row r="94" spans="1:21">
      <c r="A94" s="1">
        <v>1553660</v>
      </c>
      <c r="B94" s="1" t="s">
        <v>14</v>
      </c>
      <c r="C94" s="1" t="s">
        <v>20</v>
      </c>
      <c r="D94" s="2">
        <v>32357</v>
      </c>
      <c r="E94" s="1" t="s">
        <v>16</v>
      </c>
      <c r="F94" s="1">
        <v>2</v>
      </c>
      <c r="G94" s="1">
        <v>90023</v>
      </c>
      <c r="H94" s="1">
        <v>47000</v>
      </c>
      <c r="I94" s="1">
        <v>698</v>
      </c>
      <c r="J94" s="1">
        <v>745</v>
      </c>
      <c r="K94" s="1">
        <v>5</v>
      </c>
      <c r="L94" s="1">
        <v>160</v>
      </c>
      <c r="M94" s="1" t="s">
        <v>31</v>
      </c>
      <c r="N94" s="1" t="s">
        <v>18</v>
      </c>
      <c r="O94" s="1">
        <f t="shared" si="2"/>
        <v>-160</v>
      </c>
      <c r="T94" s="1">
        <f>IF(H94&lt;=AA$2,1,IF(H94&lt;=AA$3,2,IF(H94&lt;=AA$4,3,IF(H94&lt;=AA$5,4,5))))</f>
        <v>1</v>
      </c>
      <c r="U94" s="1" t="str">
        <f t="shared" si="3"/>
        <v>Silver</v>
      </c>
    </row>
    <row r="95" spans="1:21">
      <c r="A95" s="1">
        <v>1553692</v>
      </c>
      <c r="B95" s="1" t="s">
        <v>19</v>
      </c>
      <c r="C95" s="1" t="s">
        <v>24</v>
      </c>
      <c r="D95" s="2">
        <v>34812</v>
      </c>
      <c r="E95" s="1" t="s">
        <v>25</v>
      </c>
      <c r="F95" s="1">
        <v>4</v>
      </c>
      <c r="G95" s="1">
        <v>90019</v>
      </c>
      <c r="H95" s="1">
        <v>70000</v>
      </c>
      <c r="I95" s="1">
        <v>63</v>
      </c>
      <c r="J95" s="1">
        <v>60</v>
      </c>
      <c r="K95" s="1">
        <v>1</v>
      </c>
      <c r="L95" s="1">
        <v>288</v>
      </c>
      <c r="M95" s="1" t="s">
        <v>23</v>
      </c>
      <c r="N95" s="1" t="s">
        <v>26</v>
      </c>
      <c r="O95" s="1">
        <f t="shared" si="2"/>
        <v>-288</v>
      </c>
      <c r="T95" s="1">
        <f>IF(H95&lt;=AA$2,1,IF(H95&lt;=AA$3,2,IF(H95&lt;=AA$4,3,IF(H95&lt;=AA$5,4,5))))</f>
        <v>2</v>
      </c>
      <c r="U95" s="1" t="str">
        <f t="shared" si="3"/>
        <v>Bronze</v>
      </c>
    </row>
    <row r="96" spans="1:21">
      <c r="A96" s="1">
        <v>1553737</v>
      </c>
      <c r="B96" s="1" t="s">
        <v>14</v>
      </c>
      <c r="C96" s="1" t="s">
        <v>24</v>
      </c>
      <c r="D96" s="2">
        <v>29087</v>
      </c>
      <c r="E96" s="1" t="s">
        <v>16</v>
      </c>
      <c r="F96" s="1">
        <v>5</v>
      </c>
      <c r="G96" s="1">
        <v>90052</v>
      </c>
      <c r="H96" s="1">
        <v>83000</v>
      </c>
      <c r="I96" s="1">
        <v>1210</v>
      </c>
      <c r="J96" s="1">
        <v>867</v>
      </c>
      <c r="K96" s="1">
        <v>16</v>
      </c>
      <c r="L96" s="1">
        <v>95</v>
      </c>
      <c r="M96" s="1" t="s">
        <v>21</v>
      </c>
      <c r="N96" s="1" t="s">
        <v>22</v>
      </c>
      <c r="O96" s="1">
        <f t="shared" si="2"/>
        <v>-95</v>
      </c>
      <c r="T96" s="1">
        <f>IF(H96&lt;=AA$2,1,IF(H96&lt;=AA$3,2,IF(H96&lt;=AA$4,3,IF(H96&lt;=AA$5,4,5))))</f>
        <v>2</v>
      </c>
      <c r="U96" s="1" t="str">
        <f t="shared" si="3"/>
        <v>Silver</v>
      </c>
    </row>
    <row r="97" spans="1:21">
      <c r="A97" s="1">
        <v>1553843</v>
      </c>
      <c r="B97" s="1" t="s">
        <v>19</v>
      </c>
      <c r="C97" s="1" t="s">
        <v>20</v>
      </c>
      <c r="D97" s="2">
        <v>29538</v>
      </c>
      <c r="E97" s="1" t="s">
        <v>16</v>
      </c>
      <c r="F97" s="1">
        <v>5</v>
      </c>
      <c r="G97" s="1">
        <v>90014</v>
      </c>
      <c r="H97" s="1">
        <v>136000</v>
      </c>
      <c r="I97" s="1">
        <v>363</v>
      </c>
      <c r="J97" s="1">
        <v>289</v>
      </c>
      <c r="K97" s="1">
        <v>4</v>
      </c>
      <c r="L97" s="1">
        <v>89</v>
      </c>
      <c r="M97" s="1" t="s">
        <v>31</v>
      </c>
      <c r="N97" s="1" t="s">
        <v>26</v>
      </c>
      <c r="O97" s="1">
        <f t="shared" si="2"/>
        <v>-89</v>
      </c>
      <c r="T97" s="1">
        <f>IF(H97&lt;=AA$2,1,IF(H97&lt;=AA$3,2,IF(H97&lt;=AA$4,3,IF(H97&lt;=AA$5,4,5))))</f>
        <v>4</v>
      </c>
      <c r="U97" s="1" t="str">
        <f t="shared" si="3"/>
        <v>Silver</v>
      </c>
    </row>
    <row r="98" spans="1:21">
      <c r="A98" s="1">
        <v>1553952</v>
      </c>
      <c r="B98" s="1" t="s">
        <v>19</v>
      </c>
      <c r="C98" s="1" t="s">
        <v>15</v>
      </c>
      <c r="D98" s="2">
        <v>30920</v>
      </c>
      <c r="E98" s="1" t="s">
        <v>25</v>
      </c>
      <c r="F98" s="1">
        <v>5</v>
      </c>
      <c r="G98" s="1">
        <v>90060</v>
      </c>
      <c r="H98" s="1">
        <v>43000</v>
      </c>
      <c r="I98" s="1">
        <v>771</v>
      </c>
      <c r="J98" s="1">
        <v>1250</v>
      </c>
      <c r="K98" s="1">
        <v>20</v>
      </c>
      <c r="L98" s="1">
        <v>267</v>
      </c>
      <c r="M98" s="1" t="s">
        <v>31</v>
      </c>
      <c r="N98" s="1" t="s">
        <v>22</v>
      </c>
      <c r="O98" s="1">
        <f t="shared" si="2"/>
        <v>-267</v>
      </c>
      <c r="T98" s="1">
        <f>IF(H98&lt;=AA$2,1,IF(H98&lt;=AA$3,2,IF(H98&lt;=AA$4,3,IF(H98&lt;=AA$5,4,5))))</f>
        <v>1</v>
      </c>
      <c r="U98" s="1" t="str">
        <f t="shared" si="3"/>
        <v>Gold</v>
      </c>
    </row>
    <row r="99" spans="1:21">
      <c r="A99" s="1">
        <v>1554342</v>
      </c>
      <c r="B99" s="1" t="s">
        <v>19</v>
      </c>
      <c r="C99" s="1" t="s">
        <v>24</v>
      </c>
      <c r="D99" s="2">
        <v>25511</v>
      </c>
      <c r="E99" s="1" t="s">
        <v>16</v>
      </c>
      <c r="F99" s="1">
        <v>1</v>
      </c>
      <c r="G99" s="1">
        <v>90018</v>
      </c>
      <c r="H99" s="1">
        <v>97000</v>
      </c>
      <c r="I99" s="1">
        <v>1495</v>
      </c>
      <c r="J99" s="1">
        <v>1126</v>
      </c>
      <c r="K99" s="1">
        <v>26</v>
      </c>
      <c r="L99" s="1">
        <v>313</v>
      </c>
      <c r="M99" s="1" t="s">
        <v>32</v>
      </c>
      <c r="N99" s="1" t="s">
        <v>22</v>
      </c>
      <c r="O99" s="1">
        <f t="shared" si="2"/>
        <v>-313</v>
      </c>
      <c r="T99" s="1">
        <f>IF(H99&lt;=AA$2,1,IF(H99&lt;=AA$3,2,IF(H99&lt;=AA$4,3,IF(H99&lt;=AA$5,4,5))))</f>
        <v>3</v>
      </c>
      <c r="U99" s="1" t="str">
        <f t="shared" si="3"/>
        <v>Gold</v>
      </c>
    </row>
    <row r="100" spans="1:21">
      <c r="A100" s="1">
        <v>1554589</v>
      </c>
      <c r="B100" s="1" t="s">
        <v>19</v>
      </c>
      <c r="C100" s="1" t="s">
        <v>28</v>
      </c>
      <c r="D100" s="2">
        <v>34962</v>
      </c>
      <c r="E100" s="1" t="s">
        <v>25</v>
      </c>
      <c r="F100" s="1">
        <v>2</v>
      </c>
      <c r="G100" s="1">
        <v>90030</v>
      </c>
      <c r="H100" s="1">
        <v>56000</v>
      </c>
      <c r="I100" s="1">
        <v>1489</v>
      </c>
      <c r="J100" s="1">
        <v>1226</v>
      </c>
      <c r="K100" s="1">
        <v>12</v>
      </c>
      <c r="L100" s="1">
        <v>12</v>
      </c>
      <c r="M100" s="1" t="s">
        <v>31</v>
      </c>
      <c r="N100" s="1" t="s">
        <v>22</v>
      </c>
      <c r="O100" s="1">
        <f t="shared" si="2"/>
        <v>-12</v>
      </c>
      <c r="T100" s="1">
        <f>IF(H100&lt;=AA$2,1,IF(H100&lt;=AA$3,2,IF(H100&lt;=AA$4,3,IF(H100&lt;=AA$5,4,5))))</f>
        <v>1</v>
      </c>
      <c r="U100" s="1" t="str">
        <f t="shared" si="3"/>
        <v>Gold</v>
      </c>
    </row>
    <row r="101" spans="1:21">
      <c r="A101" s="1">
        <v>1555143</v>
      </c>
      <c r="B101" s="1" t="s">
        <v>19</v>
      </c>
      <c r="C101" s="1" t="s">
        <v>28</v>
      </c>
      <c r="D101" s="2">
        <v>27677</v>
      </c>
      <c r="E101" s="1" t="s">
        <v>16</v>
      </c>
      <c r="F101" s="1">
        <v>1</v>
      </c>
      <c r="G101" s="1">
        <v>90059</v>
      </c>
      <c r="H101" s="1">
        <v>84000</v>
      </c>
      <c r="I101" s="1">
        <v>870</v>
      </c>
      <c r="J101" s="1">
        <v>950</v>
      </c>
      <c r="K101" s="1">
        <v>18</v>
      </c>
      <c r="L101" s="1">
        <v>211</v>
      </c>
      <c r="M101" s="1" t="s">
        <v>32</v>
      </c>
      <c r="N101" s="1" t="s">
        <v>26</v>
      </c>
      <c r="O101" s="1">
        <f t="shared" si="2"/>
        <v>-211</v>
      </c>
      <c r="T101" s="1">
        <f>IF(H101&lt;=AA$2,1,IF(H101&lt;=AA$3,2,IF(H101&lt;=AA$4,3,IF(H101&lt;=AA$5,4,5))))</f>
        <v>2</v>
      </c>
      <c r="U101" s="1" t="str">
        <f t="shared" si="3"/>
        <v>Silver</v>
      </c>
    </row>
    <row r="102" spans="1:21">
      <c r="A102" s="1">
        <v>1555266</v>
      </c>
      <c r="B102" s="1" t="s">
        <v>19</v>
      </c>
      <c r="C102" s="1" t="s">
        <v>20</v>
      </c>
      <c r="D102" s="2">
        <v>36254</v>
      </c>
      <c r="E102" s="1" t="s">
        <v>16</v>
      </c>
      <c r="F102" s="1">
        <v>3</v>
      </c>
      <c r="G102" s="1">
        <v>90063</v>
      </c>
      <c r="H102" s="1">
        <v>50000</v>
      </c>
      <c r="I102" s="1">
        <v>324</v>
      </c>
      <c r="J102" s="1">
        <v>482</v>
      </c>
      <c r="K102" s="1">
        <v>11</v>
      </c>
      <c r="L102" s="1">
        <v>130</v>
      </c>
      <c r="M102" s="1" t="s">
        <v>31</v>
      </c>
      <c r="N102" s="1" t="s">
        <v>18</v>
      </c>
      <c r="O102" s="1">
        <f t="shared" si="2"/>
        <v>-130</v>
      </c>
      <c r="T102" s="1">
        <f>IF(H102&lt;=AA$2,1,IF(H102&lt;=AA$3,2,IF(H102&lt;=AA$4,3,IF(H102&lt;=AA$5,4,5))))</f>
        <v>1</v>
      </c>
      <c r="U102" s="1" t="str">
        <f t="shared" si="3"/>
        <v>Silver</v>
      </c>
    </row>
    <row r="103" spans="1:21">
      <c r="A103" s="1">
        <v>1555356</v>
      </c>
      <c r="B103" s="1" t="s">
        <v>19</v>
      </c>
      <c r="C103" s="1" t="s">
        <v>24</v>
      </c>
      <c r="D103" s="2">
        <v>31993</v>
      </c>
      <c r="E103" s="1" t="s">
        <v>16</v>
      </c>
      <c r="F103" s="1">
        <v>3</v>
      </c>
      <c r="G103" s="1">
        <v>90028</v>
      </c>
      <c r="H103" s="1">
        <v>89000</v>
      </c>
      <c r="I103" s="1">
        <v>899</v>
      </c>
      <c r="J103" s="1">
        <v>1004</v>
      </c>
      <c r="K103" s="1">
        <v>16</v>
      </c>
      <c r="L103" s="1">
        <v>132</v>
      </c>
      <c r="M103" s="1" t="s">
        <v>31</v>
      </c>
      <c r="N103" s="1" t="s">
        <v>26</v>
      </c>
      <c r="O103" s="1">
        <f t="shared" si="2"/>
        <v>-132</v>
      </c>
      <c r="T103" s="1">
        <f>IF(H103&lt;=AA$2,1,IF(H103&lt;=AA$3,2,IF(H103&lt;=AA$4,3,IF(H103&lt;=AA$5,4,5))))</f>
        <v>3</v>
      </c>
      <c r="U103" s="1" t="str">
        <f t="shared" si="3"/>
        <v>Gold</v>
      </c>
    </row>
    <row r="104" spans="1:21">
      <c r="A104" s="1">
        <v>1555414</v>
      </c>
      <c r="B104" s="1" t="s">
        <v>19</v>
      </c>
      <c r="C104" s="1" t="s">
        <v>20</v>
      </c>
      <c r="D104" s="2">
        <v>20523</v>
      </c>
      <c r="E104" s="1" t="s">
        <v>25</v>
      </c>
      <c r="F104" s="1">
        <v>5</v>
      </c>
      <c r="G104" s="1">
        <v>90031</v>
      </c>
      <c r="H104" s="1">
        <v>109000</v>
      </c>
      <c r="I104" s="1">
        <v>652</v>
      </c>
      <c r="J104" s="1">
        <v>1046</v>
      </c>
      <c r="K104" s="1">
        <v>10</v>
      </c>
      <c r="L104" s="1">
        <v>351</v>
      </c>
      <c r="M104" s="1" t="s">
        <v>21</v>
      </c>
      <c r="N104" s="1" t="s">
        <v>18</v>
      </c>
      <c r="O104" s="1">
        <f t="shared" si="2"/>
        <v>-351</v>
      </c>
      <c r="T104" s="1">
        <f>IF(H104&lt;=AA$2,1,IF(H104&lt;=AA$3,2,IF(H104&lt;=AA$4,3,IF(H104&lt;=AA$5,4,5))))</f>
        <v>3</v>
      </c>
      <c r="U104" s="1" t="str">
        <f t="shared" si="3"/>
        <v>Gold</v>
      </c>
    </row>
    <row r="105" spans="1:21">
      <c r="A105" s="1">
        <v>1555438</v>
      </c>
      <c r="B105" s="1" t="s">
        <v>14</v>
      </c>
      <c r="C105" s="1" t="s">
        <v>20</v>
      </c>
      <c r="D105" s="2">
        <v>24128</v>
      </c>
      <c r="E105" s="1" t="s">
        <v>16</v>
      </c>
      <c r="F105" s="1">
        <v>5</v>
      </c>
      <c r="G105" s="1">
        <v>90016</v>
      </c>
      <c r="H105" s="1">
        <v>65000</v>
      </c>
      <c r="I105" s="1">
        <v>637</v>
      </c>
      <c r="J105" s="1">
        <v>728</v>
      </c>
      <c r="K105" s="1">
        <v>12</v>
      </c>
      <c r="L105" s="1">
        <v>22</v>
      </c>
      <c r="M105" s="1" t="s">
        <v>32</v>
      </c>
      <c r="N105" s="1" t="s">
        <v>26</v>
      </c>
      <c r="O105" s="1">
        <f t="shared" si="2"/>
        <v>-22</v>
      </c>
      <c r="T105" s="1">
        <f>IF(H105&lt;=AA$2,1,IF(H105&lt;=AA$3,2,IF(H105&lt;=AA$4,3,IF(H105&lt;=AA$5,4,5))))</f>
        <v>2</v>
      </c>
      <c r="U105" s="1" t="str">
        <f t="shared" si="3"/>
        <v>Silver</v>
      </c>
    </row>
    <row r="106" spans="1:21">
      <c r="A106" s="1">
        <v>1555539</v>
      </c>
      <c r="B106" s="1" t="s">
        <v>14</v>
      </c>
      <c r="C106" s="1" t="s">
        <v>15</v>
      </c>
      <c r="D106" s="2">
        <v>29747</v>
      </c>
      <c r="E106" s="1" t="s">
        <v>16</v>
      </c>
      <c r="F106" s="1">
        <v>2</v>
      </c>
      <c r="G106" s="1">
        <v>90061</v>
      </c>
      <c r="H106" s="1">
        <v>41000</v>
      </c>
      <c r="I106" s="1">
        <v>913</v>
      </c>
      <c r="J106" s="1">
        <v>1182</v>
      </c>
      <c r="K106" s="1">
        <v>8</v>
      </c>
      <c r="L106" s="1">
        <v>301</v>
      </c>
      <c r="M106" s="1" t="s">
        <v>23</v>
      </c>
      <c r="N106" s="1" t="s">
        <v>22</v>
      </c>
      <c r="O106" s="1">
        <f t="shared" si="2"/>
        <v>-301</v>
      </c>
      <c r="T106" s="1">
        <f>IF(H106&lt;=AA$2,1,IF(H106&lt;=AA$3,2,IF(H106&lt;=AA$4,3,IF(H106&lt;=AA$5,4,5))))</f>
        <v>1</v>
      </c>
      <c r="U106" s="1" t="str">
        <f t="shared" si="3"/>
        <v>Gold</v>
      </c>
    </row>
    <row r="107" spans="1:21">
      <c r="A107" s="1">
        <v>1555659</v>
      </c>
      <c r="B107" s="1" t="s">
        <v>14</v>
      </c>
      <c r="C107" s="1" t="s">
        <v>15</v>
      </c>
      <c r="D107" s="2">
        <v>34564</v>
      </c>
      <c r="E107" s="1" t="s">
        <v>16</v>
      </c>
      <c r="F107" s="1">
        <v>3</v>
      </c>
      <c r="G107" s="1">
        <v>90029</v>
      </c>
      <c r="H107" s="1">
        <v>42000</v>
      </c>
      <c r="I107" s="1">
        <v>1456</v>
      </c>
      <c r="J107" s="1">
        <v>1101</v>
      </c>
      <c r="K107" s="1">
        <v>11</v>
      </c>
      <c r="L107" s="1">
        <v>38</v>
      </c>
      <c r="M107" s="1" t="s">
        <v>23</v>
      </c>
      <c r="N107" s="1" t="s">
        <v>22</v>
      </c>
      <c r="O107" s="1">
        <f t="shared" si="2"/>
        <v>-38</v>
      </c>
      <c r="T107" s="1">
        <f>IF(H107&lt;=AA$2,1,IF(H107&lt;=AA$3,2,IF(H107&lt;=AA$4,3,IF(H107&lt;=AA$5,4,5))))</f>
        <v>1</v>
      </c>
      <c r="U107" s="1" t="str">
        <f t="shared" si="3"/>
        <v>Gold</v>
      </c>
    </row>
    <row r="108" spans="1:21">
      <c r="A108" s="1">
        <v>1555979</v>
      </c>
      <c r="B108" s="1" t="s">
        <v>19</v>
      </c>
      <c r="C108" s="1" t="s">
        <v>20</v>
      </c>
      <c r="D108" s="2">
        <v>20476</v>
      </c>
      <c r="E108" s="1" t="s">
        <v>16</v>
      </c>
      <c r="F108" s="1">
        <v>2</v>
      </c>
      <c r="G108" s="1">
        <v>90055</v>
      </c>
      <c r="H108" s="1">
        <v>69000</v>
      </c>
      <c r="I108" s="1">
        <v>636</v>
      </c>
      <c r="J108" s="1">
        <v>706</v>
      </c>
      <c r="K108" s="1">
        <v>12</v>
      </c>
      <c r="L108" s="1">
        <v>67</v>
      </c>
      <c r="M108" s="1" t="s">
        <v>31</v>
      </c>
      <c r="N108" s="1" t="s">
        <v>22</v>
      </c>
      <c r="O108" s="1">
        <f t="shared" si="2"/>
        <v>-67</v>
      </c>
      <c r="T108" s="1">
        <f>IF(H108&lt;=AA$2,1,IF(H108&lt;=AA$3,2,IF(H108&lt;=AA$4,3,IF(H108&lt;=AA$5,4,5))))</f>
        <v>2</v>
      </c>
      <c r="U108" s="1" t="str">
        <f t="shared" si="3"/>
        <v>Silver</v>
      </c>
    </row>
    <row r="109" spans="1:21">
      <c r="A109" s="1">
        <v>1556518</v>
      </c>
      <c r="B109" s="1" t="s">
        <v>14</v>
      </c>
      <c r="C109" s="1" t="s">
        <v>20</v>
      </c>
      <c r="D109" s="2">
        <v>35241</v>
      </c>
      <c r="E109" s="1" t="s">
        <v>16</v>
      </c>
      <c r="F109" s="1">
        <v>5</v>
      </c>
      <c r="G109" s="1">
        <v>90025</v>
      </c>
      <c r="H109" s="1">
        <v>62000</v>
      </c>
      <c r="I109" s="1">
        <v>794</v>
      </c>
      <c r="J109" s="1">
        <v>724</v>
      </c>
      <c r="K109" s="1">
        <v>19</v>
      </c>
      <c r="L109" s="1">
        <v>305</v>
      </c>
      <c r="M109" s="1" t="s">
        <v>31</v>
      </c>
      <c r="N109" s="1" t="s">
        <v>27</v>
      </c>
      <c r="O109" s="1">
        <f t="shared" si="2"/>
        <v>-305</v>
      </c>
      <c r="T109" s="1">
        <f>IF(H109&lt;=AA$2,1,IF(H109&lt;=AA$3,2,IF(H109&lt;=AA$4,3,IF(H109&lt;=AA$5,4,5))))</f>
        <v>2</v>
      </c>
      <c r="U109" s="1" t="str">
        <f t="shared" si="3"/>
        <v>Silver</v>
      </c>
    </row>
    <row r="110" spans="1:21">
      <c r="A110" s="1">
        <v>1556823</v>
      </c>
      <c r="B110" s="1" t="s">
        <v>14</v>
      </c>
      <c r="C110" s="1" t="s">
        <v>24</v>
      </c>
      <c r="D110" s="2">
        <v>30432</v>
      </c>
      <c r="E110" s="1" t="s">
        <v>16</v>
      </c>
      <c r="F110" s="1">
        <v>4</v>
      </c>
      <c r="G110" s="1">
        <v>90032</v>
      </c>
      <c r="H110" s="1">
        <v>58000</v>
      </c>
      <c r="I110" s="1">
        <v>686</v>
      </c>
      <c r="J110" s="1">
        <v>1123</v>
      </c>
      <c r="K110" s="1">
        <v>8</v>
      </c>
      <c r="L110" s="1">
        <v>254</v>
      </c>
      <c r="M110" s="1" t="s">
        <v>31</v>
      </c>
      <c r="N110" s="1" t="s">
        <v>27</v>
      </c>
      <c r="O110" s="1">
        <f t="shared" si="2"/>
        <v>-254</v>
      </c>
      <c r="T110" s="1">
        <f>IF(H110&lt;=AA$2,1,IF(H110&lt;=AA$3,2,IF(H110&lt;=AA$4,3,IF(H110&lt;=AA$5,4,5))))</f>
        <v>1</v>
      </c>
      <c r="U110" s="1" t="str">
        <f t="shared" si="3"/>
        <v>Gold</v>
      </c>
    </row>
    <row r="111" spans="1:21">
      <c r="A111" s="1">
        <v>1557181</v>
      </c>
      <c r="B111" s="1" t="s">
        <v>19</v>
      </c>
      <c r="C111" s="1" t="s">
        <v>20</v>
      </c>
      <c r="D111" s="2">
        <v>25253</v>
      </c>
      <c r="E111" s="1" t="s">
        <v>16</v>
      </c>
      <c r="F111" s="1">
        <v>1</v>
      </c>
      <c r="G111" s="1">
        <v>90067</v>
      </c>
      <c r="H111" s="1">
        <v>105000</v>
      </c>
      <c r="I111" s="1">
        <v>428</v>
      </c>
      <c r="J111" s="1">
        <v>327</v>
      </c>
      <c r="K111" s="1">
        <v>2</v>
      </c>
      <c r="L111" s="1">
        <v>345</v>
      </c>
      <c r="M111" s="1" t="s">
        <v>23</v>
      </c>
      <c r="N111" s="1" t="s">
        <v>18</v>
      </c>
      <c r="O111" s="1">
        <f t="shared" si="2"/>
        <v>-345</v>
      </c>
      <c r="T111" s="1">
        <f>IF(H111&lt;=AA$2,1,IF(H111&lt;=AA$3,2,IF(H111&lt;=AA$4,3,IF(H111&lt;=AA$5,4,5))))</f>
        <v>3</v>
      </c>
      <c r="U111" s="1" t="str">
        <f t="shared" si="3"/>
        <v>Silver</v>
      </c>
    </row>
    <row r="112" spans="1:21">
      <c r="A112" s="1">
        <v>1557273</v>
      </c>
      <c r="B112" s="1" t="s">
        <v>19</v>
      </c>
      <c r="C112" s="1" t="s">
        <v>15</v>
      </c>
      <c r="D112" s="2">
        <v>24443</v>
      </c>
      <c r="E112" s="1" t="s">
        <v>16</v>
      </c>
      <c r="F112" s="1">
        <v>2</v>
      </c>
      <c r="G112" s="1">
        <v>90007</v>
      </c>
      <c r="H112" s="1">
        <v>61000</v>
      </c>
      <c r="I112" s="1">
        <v>275</v>
      </c>
      <c r="J112" s="1">
        <v>431</v>
      </c>
      <c r="K112" s="1">
        <v>6</v>
      </c>
      <c r="L112" s="1">
        <v>205</v>
      </c>
      <c r="M112" s="1" t="s">
        <v>31</v>
      </c>
      <c r="N112" s="1" t="s">
        <v>26</v>
      </c>
      <c r="O112" s="1">
        <f t="shared" si="2"/>
        <v>-205</v>
      </c>
      <c r="T112" s="1">
        <f>IF(H112&lt;=AA$2,1,IF(H112&lt;=AA$3,2,IF(H112&lt;=AA$4,3,IF(H112&lt;=AA$5,4,5))))</f>
        <v>2</v>
      </c>
      <c r="U112" s="1" t="str">
        <f t="shared" si="3"/>
        <v>Silver</v>
      </c>
    </row>
    <row r="113" spans="1:21">
      <c r="A113" s="1">
        <v>1557386</v>
      </c>
      <c r="B113" s="1" t="s">
        <v>19</v>
      </c>
      <c r="C113" s="1" t="s">
        <v>15</v>
      </c>
      <c r="D113" s="2">
        <v>27660</v>
      </c>
      <c r="E113" s="1" t="s">
        <v>25</v>
      </c>
      <c r="F113" s="1">
        <v>3</v>
      </c>
      <c r="G113" s="1">
        <v>90032</v>
      </c>
      <c r="H113" s="1">
        <v>66000</v>
      </c>
      <c r="I113" s="1">
        <v>706</v>
      </c>
      <c r="J113" s="1">
        <v>564</v>
      </c>
      <c r="K113" s="1">
        <v>4</v>
      </c>
      <c r="L113" s="1">
        <v>69</v>
      </c>
      <c r="M113" s="1" t="s">
        <v>21</v>
      </c>
      <c r="N113" s="1" t="s">
        <v>22</v>
      </c>
      <c r="O113" s="1">
        <f t="shared" si="2"/>
        <v>-69</v>
      </c>
      <c r="T113" s="1">
        <f>IF(H113&lt;=AA$2,1,IF(H113&lt;=AA$3,2,IF(H113&lt;=AA$4,3,IF(H113&lt;=AA$5,4,5))))</f>
        <v>2</v>
      </c>
      <c r="U113" s="1" t="str">
        <f t="shared" si="3"/>
        <v>Silver</v>
      </c>
    </row>
    <row r="114" spans="1:21">
      <c r="A114" s="1">
        <v>1557407</v>
      </c>
      <c r="B114" s="1" t="s">
        <v>19</v>
      </c>
      <c r="C114" s="1" t="s">
        <v>20</v>
      </c>
      <c r="D114" s="2">
        <v>28120</v>
      </c>
      <c r="E114" s="1" t="s">
        <v>16</v>
      </c>
      <c r="F114" s="1">
        <v>4</v>
      </c>
      <c r="G114" s="1">
        <v>90015</v>
      </c>
      <c r="H114" s="1">
        <v>48000</v>
      </c>
      <c r="I114" s="1">
        <v>1398</v>
      </c>
      <c r="J114" s="1">
        <v>1163</v>
      </c>
      <c r="K114" s="1">
        <v>16</v>
      </c>
      <c r="L114" s="1">
        <v>16</v>
      </c>
      <c r="M114" s="1" t="s">
        <v>31</v>
      </c>
      <c r="N114" s="1" t="s">
        <v>27</v>
      </c>
      <c r="O114" s="1">
        <f t="shared" si="2"/>
        <v>-16</v>
      </c>
      <c r="T114" s="1">
        <f>IF(H114&lt;=AA$2,1,IF(H114&lt;=AA$3,2,IF(H114&lt;=AA$4,3,IF(H114&lt;=AA$5,4,5))))</f>
        <v>1</v>
      </c>
      <c r="U114" s="1" t="str">
        <f t="shared" si="3"/>
        <v>Gold</v>
      </c>
    </row>
    <row r="115" spans="1:21">
      <c r="A115" s="1">
        <v>1557679</v>
      </c>
      <c r="B115" s="1" t="s">
        <v>14</v>
      </c>
      <c r="C115" s="1" t="s">
        <v>20</v>
      </c>
      <c r="D115" s="2">
        <v>30953</v>
      </c>
      <c r="E115" s="1" t="s">
        <v>16</v>
      </c>
      <c r="F115" s="1">
        <v>2</v>
      </c>
      <c r="G115" s="1">
        <v>90004</v>
      </c>
      <c r="H115" s="1">
        <v>72000</v>
      </c>
      <c r="I115" s="1">
        <v>571</v>
      </c>
      <c r="J115" s="1">
        <v>728</v>
      </c>
      <c r="K115" s="1">
        <v>13</v>
      </c>
      <c r="L115" s="1">
        <v>241</v>
      </c>
      <c r="M115" s="1" t="s">
        <v>31</v>
      </c>
      <c r="N115" s="1" t="s">
        <v>22</v>
      </c>
      <c r="O115" s="1">
        <f t="shared" si="2"/>
        <v>-241</v>
      </c>
      <c r="T115" s="1">
        <f>IF(H115&lt;=AA$2,1,IF(H115&lt;=AA$3,2,IF(H115&lt;=AA$4,3,IF(H115&lt;=AA$5,4,5))))</f>
        <v>2</v>
      </c>
      <c r="U115" s="1" t="str">
        <f t="shared" si="3"/>
        <v>Silver</v>
      </c>
    </row>
    <row r="116" spans="1:21">
      <c r="A116" s="1">
        <v>1557697</v>
      </c>
      <c r="B116" s="1" t="s">
        <v>14</v>
      </c>
      <c r="C116" s="1" t="s">
        <v>20</v>
      </c>
      <c r="D116" s="2">
        <v>22340</v>
      </c>
      <c r="E116" s="1" t="s">
        <v>16</v>
      </c>
      <c r="F116" s="1">
        <v>2</v>
      </c>
      <c r="G116" s="1">
        <v>90007</v>
      </c>
      <c r="H116" s="1">
        <v>64000</v>
      </c>
      <c r="I116" s="1">
        <v>1112</v>
      </c>
      <c r="J116" s="1">
        <v>897</v>
      </c>
      <c r="K116" s="1">
        <v>10</v>
      </c>
      <c r="L116" s="1">
        <v>239</v>
      </c>
      <c r="M116" s="1" t="s">
        <v>31</v>
      </c>
      <c r="N116" s="1" t="s">
        <v>18</v>
      </c>
      <c r="O116" s="1">
        <f t="shared" si="2"/>
        <v>-239</v>
      </c>
      <c r="T116" s="1">
        <f>IF(H116&lt;=AA$2,1,IF(H116&lt;=AA$3,2,IF(H116&lt;=AA$4,3,IF(H116&lt;=AA$5,4,5))))</f>
        <v>2</v>
      </c>
      <c r="U116" s="1" t="str">
        <f t="shared" si="3"/>
        <v>Silver</v>
      </c>
    </row>
    <row r="117" spans="1:21">
      <c r="A117" s="1">
        <v>1557820</v>
      </c>
      <c r="B117" s="1" t="s">
        <v>19</v>
      </c>
      <c r="C117" s="1" t="s">
        <v>15</v>
      </c>
      <c r="D117" s="2">
        <v>24363</v>
      </c>
      <c r="E117" s="1" t="s">
        <v>16</v>
      </c>
      <c r="F117" s="1">
        <v>3</v>
      </c>
      <c r="G117" s="1">
        <v>90039</v>
      </c>
      <c r="H117" s="1">
        <v>80000</v>
      </c>
      <c r="I117" s="1">
        <v>578</v>
      </c>
      <c r="J117" s="1">
        <v>568</v>
      </c>
      <c r="K117" s="1">
        <v>10</v>
      </c>
      <c r="L117" s="1">
        <v>353</v>
      </c>
      <c r="M117" s="1" t="s">
        <v>21</v>
      </c>
      <c r="N117" s="1" t="s">
        <v>18</v>
      </c>
      <c r="O117" s="1">
        <f t="shared" si="2"/>
        <v>-353</v>
      </c>
      <c r="T117" s="1">
        <f>IF(H117&lt;=AA$2,1,IF(H117&lt;=AA$3,2,IF(H117&lt;=AA$4,3,IF(H117&lt;=AA$5,4,5))))</f>
        <v>2</v>
      </c>
      <c r="U117" s="1" t="str">
        <f t="shared" si="3"/>
        <v>Silver</v>
      </c>
    </row>
    <row r="118" spans="1:21">
      <c r="A118" s="1">
        <v>1559734</v>
      </c>
      <c r="B118" s="1" t="s">
        <v>19</v>
      </c>
      <c r="C118" s="1" t="s">
        <v>30</v>
      </c>
      <c r="D118" s="2">
        <v>25015</v>
      </c>
      <c r="E118" s="1" t="s">
        <v>16</v>
      </c>
      <c r="F118" s="1">
        <v>1</v>
      </c>
      <c r="G118" s="1">
        <v>90004</v>
      </c>
      <c r="H118" s="1">
        <v>75000</v>
      </c>
      <c r="I118" s="1">
        <v>822</v>
      </c>
      <c r="J118" s="1">
        <v>603</v>
      </c>
      <c r="K118" s="1">
        <v>9</v>
      </c>
      <c r="L118" s="1">
        <v>252</v>
      </c>
      <c r="M118" s="1" t="s">
        <v>21</v>
      </c>
      <c r="N118" s="1" t="s">
        <v>22</v>
      </c>
      <c r="O118" s="1">
        <f t="shared" si="2"/>
        <v>-252</v>
      </c>
      <c r="T118" s="1">
        <f>IF(H118&lt;=AA$2,1,IF(H118&lt;=AA$3,2,IF(H118&lt;=AA$4,3,IF(H118&lt;=AA$5,4,5))))</f>
        <v>2</v>
      </c>
      <c r="U118" s="1" t="str">
        <f t="shared" si="3"/>
        <v>Silver</v>
      </c>
    </row>
    <row r="119" spans="1:21">
      <c r="A119" s="1">
        <v>1560021</v>
      </c>
      <c r="B119" s="1" t="s">
        <v>19</v>
      </c>
      <c r="C119" s="1" t="s">
        <v>15</v>
      </c>
      <c r="D119" s="2">
        <v>35609</v>
      </c>
      <c r="E119" s="1" t="s">
        <v>16</v>
      </c>
      <c r="F119" s="1">
        <v>5</v>
      </c>
      <c r="G119" s="1">
        <v>90054</v>
      </c>
      <c r="H119" s="1">
        <v>50000</v>
      </c>
      <c r="I119" s="1">
        <v>181</v>
      </c>
      <c r="J119" s="1">
        <v>210</v>
      </c>
      <c r="K119" s="1">
        <v>3</v>
      </c>
      <c r="L119" s="1">
        <v>309</v>
      </c>
      <c r="M119" s="1" t="s">
        <v>21</v>
      </c>
      <c r="N119" s="1" t="s">
        <v>18</v>
      </c>
      <c r="O119" s="1">
        <f t="shared" si="2"/>
        <v>-309</v>
      </c>
      <c r="T119" s="1">
        <f>IF(H119&lt;=AA$2,1,IF(H119&lt;=AA$3,2,IF(H119&lt;=AA$4,3,IF(H119&lt;=AA$5,4,5))))</f>
        <v>1</v>
      </c>
      <c r="U119" s="1" t="str">
        <f t="shared" si="3"/>
        <v>Bronze</v>
      </c>
    </row>
    <row r="120" spans="1:21">
      <c r="A120" s="1">
        <v>1560248</v>
      </c>
      <c r="B120" s="1" t="s">
        <v>19</v>
      </c>
      <c r="C120" s="1" t="s">
        <v>15</v>
      </c>
      <c r="D120" s="2">
        <v>28192</v>
      </c>
      <c r="E120" s="1" t="s">
        <v>25</v>
      </c>
      <c r="F120" s="1">
        <v>2</v>
      </c>
      <c r="G120" s="1">
        <v>90021</v>
      </c>
      <c r="H120" s="1">
        <v>54000</v>
      </c>
      <c r="I120" s="1">
        <v>284</v>
      </c>
      <c r="J120" s="1">
        <v>439</v>
      </c>
      <c r="K120" s="1">
        <v>9</v>
      </c>
      <c r="L120" s="1">
        <v>196</v>
      </c>
      <c r="M120" s="1" t="s">
        <v>31</v>
      </c>
      <c r="N120" s="1" t="s">
        <v>26</v>
      </c>
      <c r="O120" s="1">
        <f t="shared" si="2"/>
        <v>-196</v>
      </c>
      <c r="T120" s="1">
        <f>IF(H120&lt;=AA$2,1,IF(H120&lt;=AA$3,2,IF(H120&lt;=AA$4,3,IF(H120&lt;=AA$5,4,5))))</f>
        <v>1</v>
      </c>
      <c r="U120" s="1" t="str">
        <f t="shared" si="3"/>
        <v>Silver</v>
      </c>
    </row>
    <row r="121" spans="1:21">
      <c r="A121" s="1">
        <v>1560301</v>
      </c>
      <c r="B121" s="1" t="s">
        <v>19</v>
      </c>
      <c r="C121" s="1" t="s">
        <v>20</v>
      </c>
      <c r="D121" s="2">
        <v>31129</v>
      </c>
      <c r="E121" s="1" t="s">
        <v>25</v>
      </c>
      <c r="F121" s="1">
        <v>3</v>
      </c>
      <c r="G121" s="1">
        <v>90054</v>
      </c>
      <c r="H121" s="1">
        <v>93000</v>
      </c>
      <c r="I121" s="1">
        <v>553</v>
      </c>
      <c r="J121" s="1">
        <v>907</v>
      </c>
      <c r="K121" s="1">
        <v>17</v>
      </c>
      <c r="L121" s="1">
        <v>164</v>
      </c>
      <c r="M121" s="1" t="s">
        <v>23</v>
      </c>
      <c r="N121" s="1" t="s">
        <v>27</v>
      </c>
      <c r="O121" s="1">
        <f t="shared" si="2"/>
        <v>-164</v>
      </c>
      <c r="T121" s="1">
        <f>IF(H121&lt;=AA$2,1,IF(H121&lt;=AA$3,2,IF(H121&lt;=AA$4,3,IF(H121&lt;=AA$5,4,5))))</f>
        <v>3</v>
      </c>
      <c r="U121" s="1" t="str">
        <f t="shared" si="3"/>
        <v>Silver</v>
      </c>
    </row>
    <row r="122" spans="1:21">
      <c r="A122" s="1">
        <v>1560457</v>
      </c>
      <c r="B122" s="1" t="s">
        <v>19</v>
      </c>
      <c r="C122" s="1" t="s">
        <v>15</v>
      </c>
      <c r="D122" s="2">
        <v>32849</v>
      </c>
      <c r="E122" s="1" t="s">
        <v>16</v>
      </c>
      <c r="F122" s="1">
        <v>3</v>
      </c>
      <c r="G122" s="1">
        <v>90015</v>
      </c>
      <c r="H122" s="1">
        <v>46000</v>
      </c>
      <c r="I122" s="1">
        <v>789</v>
      </c>
      <c r="J122" s="1">
        <v>745</v>
      </c>
      <c r="K122" s="1">
        <v>15</v>
      </c>
      <c r="L122" s="1">
        <v>318</v>
      </c>
      <c r="M122" s="1" t="s">
        <v>32</v>
      </c>
      <c r="N122" s="1" t="s">
        <v>18</v>
      </c>
      <c r="O122" s="1">
        <f t="shared" si="2"/>
        <v>-318</v>
      </c>
      <c r="T122" s="1">
        <f>IF(H122&lt;=AA$2,1,IF(H122&lt;=AA$3,2,IF(H122&lt;=AA$4,3,IF(H122&lt;=AA$5,4,5))))</f>
        <v>1</v>
      </c>
      <c r="U122" s="1" t="str">
        <f t="shared" si="3"/>
        <v>Silver</v>
      </c>
    </row>
    <row r="123" spans="1:21">
      <c r="A123" s="1">
        <v>1560632</v>
      </c>
      <c r="B123" s="1" t="s">
        <v>14</v>
      </c>
      <c r="C123" s="1" t="s">
        <v>15</v>
      </c>
      <c r="D123" s="2">
        <v>19313</v>
      </c>
      <c r="E123" s="1" t="s">
        <v>16</v>
      </c>
      <c r="F123" s="1">
        <v>2</v>
      </c>
      <c r="G123" s="1">
        <v>90062</v>
      </c>
      <c r="H123" s="1">
        <v>84000</v>
      </c>
      <c r="I123" s="1">
        <v>532</v>
      </c>
      <c r="J123" s="1">
        <v>467</v>
      </c>
      <c r="K123" s="1">
        <v>11</v>
      </c>
      <c r="L123" s="1">
        <v>108</v>
      </c>
      <c r="M123" s="1" t="s">
        <v>31</v>
      </c>
      <c r="N123" s="1" t="s">
        <v>22</v>
      </c>
      <c r="O123" s="1">
        <f t="shared" si="2"/>
        <v>-108</v>
      </c>
      <c r="T123" s="1">
        <f>IF(H123&lt;=AA$2,1,IF(H123&lt;=AA$3,2,IF(H123&lt;=AA$4,3,IF(H123&lt;=AA$5,4,5))))</f>
        <v>2</v>
      </c>
      <c r="U123" s="1" t="str">
        <f t="shared" si="3"/>
        <v>Silver</v>
      </c>
    </row>
    <row r="124" spans="1:21">
      <c r="A124" s="1">
        <v>1560809</v>
      </c>
      <c r="B124" s="1" t="s">
        <v>19</v>
      </c>
      <c r="C124" s="1" t="s">
        <v>28</v>
      </c>
      <c r="D124" s="2">
        <v>30554</v>
      </c>
      <c r="E124" s="1" t="s">
        <v>16</v>
      </c>
      <c r="F124" s="1">
        <v>4</v>
      </c>
      <c r="G124" s="1">
        <v>90047</v>
      </c>
      <c r="H124" s="1">
        <v>58000</v>
      </c>
      <c r="I124" s="1">
        <v>542</v>
      </c>
      <c r="J124" s="1">
        <v>673</v>
      </c>
      <c r="K124" s="1">
        <v>15</v>
      </c>
      <c r="L124" s="1">
        <v>149</v>
      </c>
      <c r="M124" s="1" t="s">
        <v>31</v>
      </c>
      <c r="N124" s="1" t="s">
        <v>18</v>
      </c>
      <c r="O124" s="1">
        <f t="shared" si="2"/>
        <v>-149</v>
      </c>
      <c r="T124" s="1">
        <f>IF(H124&lt;=AA$2,1,IF(H124&lt;=AA$3,2,IF(H124&lt;=AA$4,3,IF(H124&lt;=AA$5,4,5))))</f>
        <v>1</v>
      </c>
      <c r="U124" s="1" t="str">
        <f t="shared" si="3"/>
        <v>Silver</v>
      </c>
    </row>
    <row r="125" spans="1:21">
      <c r="A125" s="1">
        <v>1560830</v>
      </c>
      <c r="B125" s="1" t="s">
        <v>14</v>
      </c>
      <c r="C125" s="1" t="s">
        <v>15</v>
      </c>
      <c r="D125" s="2">
        <v>27064</v>
      </c>
      <c r="E125" s="1" t="s">
        <v>16</v>
      </c>
      <c r="F125" s="1">
        <v>3</v>
      </c>
      <c r="G125" s="1">
        <v>90034</v>
      </c>
      <c r="H125" s="1">
        <v>63000</v>
      </c>
      <c r="I125" s="1">
        <v>463</v>
      </c>
      <c r="J125" s="1">
        <v>383</v>
      </c>
      <c r="K125" s="1">
        <v>9</v>
      </c>
      <c r="L125" s="1">
        <v>145</v>
      </c>
      <c r="M125" s="1" t="s">
        <v>31</v>
      </c>
      <c r="N125" s="1" t="s">
        <v>26</v>
      </c>
      <c r="O125" s="1">
        <f t="shared" si="2"/>
        <v>-145</v>
      </c>
      <c r="T125" s="1">
        <f>IF(H125&lt;=AA$2,1,IF(H125&lt;=AA$3,2,IF(H125&lt;=AA$4,3,IF(H125&lt;=AA$5,4,5))))</f>
        <v>2</v>
      </c>
      <c r="U125" s="1" t="str">
        <f t="shared" si="3"/>
        <v>Silver</v>
      </c>
    </row>
    <row r="126" spans="1:21">
      <c r="A126" s="1">
        <v>1561447</v>
      </c>
      <c r="B126" s="1" t="s">
        <v>14</v>
      </c>
      <c r="C126" s="1" t="s">
        <v>15</v>
      </c>
      <c r="D126" s="2">
        <v>27360</v>
      </c>
      <c r="E126" s="1" t="s">
        <v>16</v>
      </c>
      <c r="F126" s="1">
        <v>3</v>
      </c>
      <c r="G126" s="1">
        <v>90043</v>
      </c>
      <c r="H126" s="1">
        <v>43000</v>
      </c>
      <c r="I126" s="1">
        <v>447</v>
      </c>
      <c r="J126" s="1">
        <v>626</v>
      </c>
      <c r="K126" s="1">
        <v>13</v>
      </c>
      <c r="L126" s="1">
        <v>296</v>
      </c>
      <c r="M126" s="1" t="s">
        <v>31</v>
      </c>
      <c r="N126" s="1" t="s">
        <v>18</v>
      </c>
      <c r="O126" s="1">
        <f t="shared" si="2"/>
        <v>-296</v>
      </c>
      <c r="T126" s="1">
        <f>IF(H126&lt;=AA$2,1,IF(H126&lt;=AA$3,2,IF(H126&lt;=AA$4,3,IF(H126&lt;=AA$5,4,5))))</f>
        <v>1</v>
      </c>
      <c r="U126" s="1" t="str">
        <f t="shared" si="3"/>
        <v>Silver</v>
      </c>
    </row>
    <row r="127" spans="1:21">
      <c r="A127" s="1">
        <v>1562348</v>
      </c>
      <c r="B127" s="1" t="s">
        <v>14</v>
      </c>
      <c r="C127" s="1" t="s">
        <v>20</v>
      </c>
      <c r="D127" s="2">
        <v>23347</v>
      </c>
      <c r="E127" s="1" t="s">
        <v>16</v>
      </c>
      <c r="F127" s="1">
        <v>3</v>
      </c>
      <c r="G127" s="1">
        <v>90031</v>
      </c>
      <c r="H127" s="1">
        <v>97000</v>
      </c>
      <c r="I127" s="1">
        <v>877</v>
      </c>
      <c r="J127" s="1">
        <v>860</v>
      </c>
      <c r="K127" s="1">
        <v>7</v>
      </c>
      <c r="L127" s="1">
        <v>115</v>
      </c>
      <c r="M127" s="1" t="s">
        <v>21</v>
      </c>
      <c r="N127" s="1" t="s">
        <v>22</v>
      </c>
      <c r="O127" s="1">
        <f t="shared" si="2"/>
        <v>-115</v>
      </c>
      <c r="T127" s="1">
        <f>IF(H127&lt;=AA$2,1,IF(H127&lt;=AA$3,2,IF(H127&lt;=AA$4,3,IF(H127&lt;=AA$5,4,5))))</f>
        <v>3</v>
      </c>
      <c r="U127" s="1" t="str">
        <f t="shared" si="3"/>
        <v>Silver</v>
      </c>
    </row>
    <row r="128" spans="1:21">
      <c r="A128" s="1">
        <v>1562398</v>
      </c>
      <c r="B128" s="1" t="s">
        <v>19</v>
      </c>
      <c r="C128" s="1" t="s">
        <v>20</v>
      </c>
      <c r="D128" s="2">
        <v>32088</v>
      </c>
      <c r="E128" s="1" t="s">
        <v>25</v>
      </c>
      <c r="F128" s="1">
        <v>5</v>
      </c>
      <c r="G128" s="1">
        <v>90047</v>
      </c>
      <c r="H128" s="1">
        <v>70000</v>
      </c>
      <c r="I128" s="1">
        <v>280</v>
      </c>
      <c r="J128" s="1">
        <v>233</v>
      </c>
      <c r="K128" s="1">
        <v>2</v>
      </c>
      <c r="L128" s="1">
        <v>117</v>
      </c>
      <c r="M128" s="1" t="s">
        <v>31</v>
      </c>
      <c r="N128" s="1" t="s">
        <v>26</v>
      </c>
      <c r="O128" s="1">
        <f t="shared" si="2"/>
        <v>-117</v>
      </c>
      <c r="T128" s="1">
        <f>IF(H128&lt;=AA$2,1,IF(H128&lt;=AA$3,2,IF(H128&lt;=AA$4,3,IF(H128&lt;=AA$5,4,5))))</f>
        <v>2</v>
      </c>
      <c r="U128" s="1" t="str">
        <f t="shared" si="3"/>
        <v>Bronze</v>
      </c>
    </row>
    <row r="129" spans="1:21">
      <c r="A129" s="1">
        <v>1562550</v>
      </c>
      <c r="B129" s="1" t="s">
        <v>14</v>
      </c>
      <c r="C129" s="1" t="s">
        <v>20</v>
      </c>
      <c r="D129" s="2">
        <v>28387</v>
      </c>
      <c r="E129" s="1" t="s">
        <v>16</v>
      </c>
      <c r="F129" s="1">
        <v>4</v>
      </c>
      <c r="G129" s="1">
        <v>90035</v>
      </c>
      <c r="H129" s="1">
        <v>48000</v>
      </c>
      <c r="I129" s="1">
        <v>1514</v>
      </c>
      <c r="J129" s="1">
        <v>1106</v>
      </c>
      <c r="K129" s="1">
        <v>26</v>
      </c>
      <c r="L129" s="1">
        <v>342</v>
      </c>
      <c r="M129" s="1" t="s">
        <v>23</v>
      </c>
      <c r="N129" s="1" t="s">
        <v>22</v>
      </c>
      <c r="O129" s="1">
        <f t="shared" si="2"/>
        <v>-342</v>
      </c>
      <c r="T129" s="1">
        <f>IF(H129&lt;=AA$2,1,IF(H129&lt;=AA$3,2,IF(H129&lt;=AA$4,3,IF(H129&lt;=AA$5,4,5))))</f>
        <v>1</v>
      </c>
      <c r="U129" s="1" t="str">
        <f t="shared" si="3"/>
        <v>Gold</v>
      </c>
    </row>
    <row r="130" spans="1:21">
      <c r="A130" s="1">
        <v>1562867</v>
      </c>
      <c r="B130" s="1" t="s">
        <v>14</v>
      </c>
      <c r="C130" s="1" t="s">
        <v>15</v>
      </c>
      <c r="D130" s="2">
        <v>26116</v>
      </c>
      <c r="E130" s="1" t="s">
        <v>16</v>
      </c>
      <c r="F130" s="1">
        <v>5</v>
      </c>
      <c r="G130" s="1">
        <v>90064</v>
      </c>
      <c r="H130" s="1">
        <v>97000</v>
      </c>
      <c r="I130" s="1">
        <v>660</v>
      </c>
      <c r="J130" s="1">
        <v>739</v>
      </c>
      <c r="K130" s="1">
        <v>5</v>
      </c>
      <c r="L130" s="1">
        <v>76</v>
      </c>
      <c r="M130" s="1" t="s">
        <v>31</v>
      </c>
      <c r="N130" s="1" t="s">
        <v>22</v>
      </c>
      <c r="O130" s="1">
        <f t="shared" si="2"/>
        <v>-76</v>
      </c>
      <c r="T130" s="1">
        <f>IF(H130&lt;=AA$2,1,IF(H130&lt;=AA$3,2,IF(H130&lt;=AA$4,3,IF(H130&lt;=AA$5,4,5))))</f>
        <v>3</v>
      </c>
      <c r="U130" s="1" t="str">
        <f t="shared" si="3"/>
        <v>Silver</v>
      </c>
    </row>
    <row r="131" spans="1:21">
      <c r="A131" s="1">
        <v>1563068</v>
      </c>
      <c r="B131" s="1" t="s">
        <v>14</v>
      </c>
      <c r="C131" s="1" t="s">
        <v>20</v>
      </c>
      <c r="D131" s="2">
        <v>34266</v>
      </c>
      <c r="E131" s="1" t="s">
        <v>25</v>
      </c>
      <c r="F131" s="1">
        <v>5</v>
      </c>
      <c r="G131" s="1">
        <v>90029</v>
      </c>
      <c r="H131" s="1">
        <v>38000</v>
      </c>
      <c r="I131" s="1">
        <v>369</v>
      </c>
      <c r="J131" s="1">
        <v>267</v>
      </c>
      <c r="K131" s="1">
        <v>6</v>
      </c>
      <c r="L131" s="1">
        <v>308</v>
      </c>
      <c r="M131" s="1" t="s">
        <v>31</v>
      </c>
      <c r="N131" s="1" t="s">
        <v>22</v>
      </c>
      <c r="O131" s="1">
        <f t="shared" ref="O131:O194" si="4">L131*-1</f>
        <v>-308</v>
      </c>
      <c r="T131" s="1">
        <f>IF(H131&lt;=AA$2,1,IF(H131&lt;=AA$3,2,IF(H131&lt;=AA$4,3,IF(H131&lt;=AA$5,4,5))))</f>
        <v>1</v>
      </c>
      <c r="U131" s="1" t="str">
        <f t="shared" ref="U131:U194" si="5">IF(J131&gt;=1000,"Gold",IF(J131&gt;=250,"Silver","Bronze"))</f>
        <v>Silver</v>
      </c>
    </row>
    <row r="132" spans="1:21">
      <c r="A132" s="1">
        <v>1563186</v>
      </c>
      <c r="B132" s="1" t="s">
        <v>19</v>
      </c>
      <c r="C132" s="1" t="s">
        <v>15</v>
      </c>
      <c r="D132" s="2">
        <v>23458</v>
      </c>
      <c r="E132" s="1" t="s">
        <v>16</v>
      </c>
      <c r="F132" s="1">
        <v>5</v>
      </c>
      <c r="G132" s="1">
        <v>90020</v>
      </c>
      <c r="H132" s="1">
        <v>70000</v>
      </c>
      <c r="I132" s="1">
        <v>779</v>
      </c>
      <c r="J132" s="1">
        <v>871</v>
      </c>
      <c r="K132" s="1">
        <v>13</v>
      </c>
      <c r="L132" s="1">
        <v>76</v>
      </c>
      <c r="M132" s="1" t="s">
        <v>31</v>
      </c>
      <c r="N132" s="1" t="s">
        <v>26</v>
      </c>
      <c r="O132" s="1">
        <f t="shared" si="4"/>
        <v>-76</v>
      </c>
      <c r="T132" s="1">
        <f>IF(H132&lt;=AA$2,1,IF(H132&lt;=AA$3,2,IF(H132&lt;=AA$4,3,IF(H132&lt;=AA$5,4,5))))</f>
        <v>2</v>
      </c>
      <c r="U132" s="1" t="str">
        <f t="shared" si="5"/>
        <v>Silver</v>
      </c>
    </row>
    <row r="133" spans="1:21">
      <c r="A133" s="1">
        <v>1563296</v>
      </c>
      <c r="B133" s="1" t="s">
        <v>19</v>
      </c>
      <c r="C133" s="1" t="s">
        <v>20</v>
      </c>
      <c r="D133" s="2">
        <v>36384</v>
      </c>
      <c r="E133" s="1" t="s">
        <v>16</v>
      </c>
      <c r="F133" s="1">
        <v>3</v>
      </c>
      <c r="G133" s="1">
        <v>90027</v>
      </c>
      <c r="H133" s="1">
        <v>95000</v>
      </c>
      <c r="I133" s="1">
        <v>474</v>
      </c>
      <c r="J133" s="1">
        <v>407</v>
      </c>
      <c r="K133" s="1">
        <v>9</v>
      </c>
      <c r="L133" s="1">
        <v>30</v>
      </c>
      <c r="M133" s="1" t="s">
        <v>23</v>
      </c>
      <c r="N133" s="1" t="s">
        <v>18</v>
      </c>
      <c r="O133" s="1">
        <f t="shared" si="4"/>
        <v>-30</v>
      </c>
      <c r="T133" s="1">
        <f>IF(H133&lt;=AA$2,1,IF(H133&lt;=AA$3,2,IF(H133&lt;=AA$4,3,IF(H133&lt;=AA$5,4,5))))</f>
        <v>3</v>
      </c>
      <c r="U133" s="1" t="str">
        <f t="shared" si="5"/>
        <v>Silver</v>
      </c>
    </row>
    <row r="134" spans="1:21">
      <c r="A134" s="1">
        <v>1563548</v>
      </c>
      <c r="B134" s="1" t="s">
        <v>19</v>
      </c>
      <c r="C134" s="1" t="s">
        <v>30</v>
      </c>
      <c r="D134" s="2">
        <v>32418</v>
      </c>
      <c r="E134" s="1" t="s">
        <v>16</v>
      </c>
      <c r="F134" s="1">
        <v>5</v>
      </c>
      <c r="G134" s="1">
        <v>90043</v>
      </c>
      <c r="H134" s="1">
        <v>167000</v>
      </c>
      <c r="I134" s="1">
        <v>1019</v>
      </c>
      <c r="J134" s="1">
        <v>692</v>
      </c>
      <c r="K134" s="1">
        <v>12</v>
      </c>
      <c r="L134" s="1">
        <v>221</v>
      </c>
      <c r="M134" s="1" t="s">
        <v>23</v>
      </c>
      <c r="N134" s="1" t="s">
        <v>18</v>
      </c>
      <c r="O134" s="1">
        <f t="shared" si="4"/>
        <v>-221</v>
      </c>
      <c r="T134" s="1">
        <f>IF(H134&lt;=AA$2,1,IF(H134&lt;=AA$3,2,IF(H134&lt;=AA$4,3,IF(H134&lt;=AA$5,4,5))))</f>
        <v>5</v>
      </c>
      <c r="U134" s="1" t="str">
        <f t="shared" si="5"/>
        <v>Silver</v>
      </c>
    </row>
    <row r="135" spans="1:21">
      <c r="A135" s="1">
        <v>1563690</v>
      </c>
      <c r="B135" s="1" t="s">
        <v>19</v>
      </c>
      <c r="C135" s="1" t="s">
        <v>20</v>
      </c>
      <c r="D135" s="2">
        <v>23508</v>
      </c>
      <c r="E135" s="1" t="s">
        <v>16</v>
      </c>
      <c r="F135" s="1">
        <v>4</v>
      </c>
      <c r="G135" s="1">
        <v>90057</v>
      </c>
      <c r="H135" s="1">
        <v>100000</v>
      </c>
      <c r="I135" s="1">
        <v>281</v>
      </c>
      <c r="J135" s="1">
        <v>221</v>
      </c>
      <c r="K135" s="1">
        <v>4</v>
      </c>
      <c r="L135" s="1">
        <v>354</v>
      </c>
      <c r="M135" s="1" t="s">
        <v>23</v>
      </c>
      <c r="N135" s="1" t="s">
        <v>26</v>
      </c>
      <c r="O135" s="1">
        <f t="shared" si="4"/>
        <v>-354</v>
      </c>
      <c r="T135" s="1">
        <f>IF(H135&lt;=AA$2,1,IF(H135&lt;=AA$3,2,IF(H135&lt;=AA$4,3,IF(H135&lt;=AA$5,4,5))))</f>
        <v>3</v>
      </c>
      <c r="U135" s="1" t="str">
        <f t="shared" si="5"/>
        <v>Bronze</v>
      </c>
    </row>
    <row r="136" spans="1:21">
      <c r="A136" s="1">
        <v>1563805</v>
      </c>
      <c r="B136" s="1" t="s">
        <v>14</v>
      </c>
      <c r="C136" s="1" t="s">
        <v>20</v>
      </c>
      <c r="D136" s="2">
        <v>28996</v>
      </c>
      <c r="E136" s="1" t="s">
        <v>16</v>
      </c>
      <c r="F136" s="1">
        <v>5</v>
      </c>
      <c r="G136" s="1">
        <v>90032</v>
      </c>
      <c r="H136" s="1">
        <v>54000</v>
      </c>
      <c r="I136" s="1">
        <v>194</v>
      </c>
      <c r="J136" s="1">
        <v>151</v>
      </c>
      <c r="K136" s="1">
        <v>2</v>
      </c>
      <c r="L136" s="1">
        <v>234</v>
      </c>
      <c r="M136" s="1" t="s">
        <v>31</v>
      </c>
      <c r="N136" s="1" t="s">
        <v>26</v>
      </c>
      <c r="O136" s="1">
        <f t="shared" si="4"/>
        <v>-234</v>
      </c>
      <c r="T136" s="1">
        <f>IF(H136&lt;=AA$2,1,IF(H136&lt;=AA$3,2,IF(H136&lt;=AA$4,3,IF(H136&lt;=AA$5,4,5))))</f>
        <v>1</v>
      </c>
      <c r="U136" s="1" t="str">
        <f t="shared" si="5"/>
        <v>Bronze</v>
      </c>
    </row>
    <row r="137" spans="1:21">
      <c r="A137" s="1">
        <v>1563935</v>
      </c>
      <c r="B137" s="1" t="s">
        <v>19</v>
      </c>
      <c r="C137" s="1" t="s">
        <v>24</v>
      </c>
      <c r="D137" s="2">
        <v>27102</v>
      </c>
      <c r="E137" s="1" t="s">
        <v>16</v>
      </c>
      <c r="F137" s="1">
        <v>1</v>
      </c>
      <c r="G137" s="1">
        <v>90063</v>
      </c>
      <c r="H137" s="1">
        <v>74000</v>
      </c>
      <c r="I137" s="1">
        <v>1062</v>
      </c>
      <c r="J137" s="1">
        <v>1075</v>
      </c>
      <c r="K137" s="1">
        <v>28</v>
      </c>
      <c r="L137" s="1">
        <v>145</v>
      </c>
      <c r="M137" s="1" t="s">
        <v>31</v>
      </c>
      <c r="N137" s="1" t="s">
        <v>26</v>
      </c>
      <c r="O137" s="1">
        <f t="shared" si="4"/>
        <v>-145</v>
      </c>
      <c r="T137" s="1">
        <f>IF(H137&lt;=AA$2,1,IF(H137&lt;=AA$3,2,IF(H137&lt;=AA$4,3,IF(H137&lt;=AA$5,4,5))))</f>
        <v>2</v>
      </c>
      <c r="U137" s="1" t="str">
        <f t="shared" si="5"/>
        <v>Gold</v>
      </c>
    </row>
    <row r="138" spans="1:21">
      <c r="A138" s="1">
        <v>1563995</v>
      </c>
      <c r="B138" s="1" t="s">
        <v>19</v>
      </c>
      <c r="C138" s="1" t="s">
        <v>28</v>
      </c>
      <c r="D138" s="2">
        <v>21529</v>
      </c>
      <c r="E138" s="1" t="s">
        <v>16</v>
      </c>
      <c r="F138" s="1">
        <v>2</v>
      </c>
      <c r="G138" s="1">
        <v>90010</v>
      </c>
      <c r="H138" s="1">
        <v>109000</v>
      </c>
      <c r="I138" s="1">
        <v>178</v>
      </c>
      <c r="J138" s="1">
        <v>127</v>
      </c>
      <c r="K138" s="1">
        <v>1</v>
      </c>
      <c r="L138" s="1">
        <v>319</v>
      </c>
      <c r="M138" s="1" t="s">
        <v>23</v>
      </c>
      <c r="N138" s="1" t="s">
        <v>26</v>
      </c>
      <c r="O138" s="1">
        <f t="shared" si="4"/>
        <v>-319</v>
      </c>
      <c r="T138" s="1">
        <f>IF(H138&lt;=AA$2,1,IF(H138&lt;=AA$3,2,IF(H138&lt;=AA$4,3,IF(H138&lt;=AA$5,4,5))))</f>
        <v>3</v>
      </c>
      <c r="U138" s="1" t="str">
        <f t="shared" si="5"/>
        <v>Bronze</v>
      </c>
    </row>
    <row r="139" spans="1:21">
      <c r="A139" s="1">
        <v>1564191</v>
      </c>
      <c r="B139" s="1" t="s">
        <v>19</v>
      </c>
      <c r="C139" s="1" t="s">
        <v>20</v>
      </c>
      <c r="D139" s="2">
        <v>35020</v>
      </c>
      <c r="E139" s="1" t="s">
        <v>25</v>
      </c>
      <c r="F139" s="1">
        <v>3</v>
      </c>
      <c r="G139" s="1">
        <v>90059</v>
      </c>
      <c r="H139" s="1">
        <v>38000</v>
      </c>
      <c r="I139" s="1">
        <v>794</v>
      </c>
      <c r="J139" s="1">
        <v>555</v>
      </c>
      <c r="K139" s="1">
        <v>6</v>
      </c>
      <c r="L139" s="1">
        <v>14</v>
      </c>
      <c r="M139" s="1" t="s">
        <v>31</v>
      </c>
      <c r="N139" s="1" t="s">
        <v>27</v>
      </c>
      <c r="O139" s="1">
        <f t="shared" si="4"/>
        <v>-14</v>
      </c>
      <c r="T139" s="1">
        <f>IF(H139&lt;=AA$2,1,IF(H139&lt;=AA$3,2,IF(H139&lt;=AA$4,3,IF(H139&lt;=AA$5,4,5))))</f>
        <v>1</v>
      </c>
      <c r="U139" s="1" t="str">
        <f t="shared" si="5"/>
        <v>Silver</v>
      </c>
    </row>
    <row r="140" spans="1:21">
      <c r="A140" s="1">
        <v>1564329</v>
      </c>
      <c r="B140" s="1" t="s">
        <v>14</v>
      </c>
      <c r="C140" s="1" t="s">
        <v>24</v>
      </c>
      <c r="D140" s="2">
        <v>29961</v>
      </c>
      <c r="E140" s="1" t="s">
        <v>16</v>
      </c>
      <c r="F140" s="1">
        <v>4</v>
      </c>
      <c r="G140" s="1">
        <v>90029</v>
      </c>
      <c r="H140" s="1">
        <v>102000</v>
      </c>
      <c r="I140" s="1">
        <v>522</v>
      </c>
      <c r="J140" s="1">
        <v>449</v>
      </c>
      <c r="K140" s="1">
        <v>6</v>
      </c>
      <c r="L140" s="1">
        <v>296</v>
      </c>
      <c r="M140" s="1" t="s">
        <v>31</v>
      </c>
      <c r="N140" s="1" t="s">
        <v>26</v>
      </c>
      <c r="O140" s="1">
        <f t="shared" si="4"/>
        <v>-296</v>
      </c>
      <c r="T140" s="1">
        <f>IF(H140&lt;=AA$2,1,IF(H140&lt;=AA$3,2,IF(H140&lt;=AA$4,3,IF(H140&lt;=AA$5,4,5))))</f>
        <v>3</v>
      </c>
      <c r="U140" s="1" t="str">
        <f t="shared" si="5"/>
        <v>Silver</v>
      </c>
    </row>
    <row r="141" spans="1:21">
      <c r="A141" s="1">
        <v>1565323</v>
      </c>
      <c r="B141" s="1" t="s">
        <v>14</v>
      </c>
      <c r="C141" s="1" t="s">
        <v>20</v>
      </c>
      <c r="D141" s="2">
        <v>24316</v>
      </c>
      <c r="E141" s="1" t="s">
        <v>16</v>
      </c>
      <c r="F141" s="1">
        <v>3</v>
      </c>
      <c r="G141" s="1">
        <v>90059</v>
      </c>
      <c r="H141" s="1">
        <v>73000</v>
      </c>
      <c r="I141" s="1">
        <v>451</v>
      </c>
      <c r="J141" s="1">
        <v>421</v>
      </c>
      <c r="K141" s="1">
        <v>10</v>
      </c>
      <c r="L141" s="1">
        <v>180</v>
      </c>
      <c r="M141" s="1" t="s">
        <v>31</v>
      </c>
      <c r="N141" s="1" t="s">
        <v>18</v>
      </c>
      <c r="O141" s="1">
        <f t="shared" si="4"/>
        <v>-180</v>
      </c>
      <c r="T141" s="1">
        <f>IF(H141&lt;=AA$2,1,IF(H141&lt;=AA$3,2,IF(H141&lt;=AA$4,3,IF(H141&lt;=AA$5,4,5))))</f>
        <v>2</v>
      </c>
      <c r="U141" s="1" t="str">
        <f t="shared" si="5"/>
        <v>Silver</v>
      </c>
    </row>
    <row r="142" spans="1:21">
      <c r="A142" s="1">
        <v>1565499</v>
      </c>
      <c r="B142" s="1" t="s">
        <v>19</v>
      </c>
      <c r="C142" s="1" t="s">
        <v>20</v>
      </c>
      <c r="D142" s="2">
        <v>30634</v>
      </c>
      <c r="E142" s="1" t="s">
        <v>16</v>
      </c>
      <c r="F142" s="1">
        <v>1</v>
      </c>
      <c r="G142" s="1">
        <v>90018</v>
      </c>
      <c r="H142" s="1">
        <v>69000</v>
      </c>
      <c r="I142" s="1">
        <v>424</v>
      </c>
      <c r="J142" s="1">
        <v>499</v>
      </c>
      <c r="K142" s="1">
        <v>9</v>
      </c>
      <c r="L142" s="1">
        <v>279</v>
      </c>
      <c r="M142" s="1" t="s">
        <v>31</v>
      </c>
      <c r="N142" s="1" t="s">
        <v>27</v>
      </c>
      <c r="O142" s="1">
        <f t="shared" si="4"/>
        <v>-279</v>
      </c>
      <c r="T142" s="1">
        <f>IF(H142&lt;=AA$2,1,IF(H142&lt;=AA$3,2,IF(H142&lt;=AA$4,3,IF(H142&lt;=AA$5,4,5))))</f>
        <v>2</v>
      </c>
      <c r="U142" s="1" t="str">
        <f t="shared" si="5"/>
        <v>Silver</v>
      </c>
    </row>
    <row r="143" spans="1:21">
      <c r="A143" s="1">
        <v>1565587</v>
      </c>
      <c r="B143" s="1" t="s">
        <v>19</v>
      </c>
      <c r="C143" s="1" t="s">
        <v>15</v>
      </c>
      <c r="D143" s="2">
        <v>31194</v>
      </c>
      <c r="E143" s="1" t="s">
        <v>16</v>
      </c>
      <c r="F143" s="1">
        <v>4</v>
      </c>
      <c r="G143" s="1">
        <v>90063</v>
      </c>
      <c r="H143" s="1">
        <v>91000</v>
      </c>
      <c r="I143" s="1">
        <v>657</v>
      </c>
      <c r="J143" s="1">
        <v>842</v>
      </c>
      <c r="K143" s="1">
        <v>7</v>
      </c>
      <c r="L143" s="1">
        <v>103</v>
      </c>
      <c r="M143" s="1" t="s">
        <v>31</v>
      </c>
      <c r="N143" s="1" t="s">
        <v>22</v>
      </c>
      <c r="O143" s="1">
        <f t="shared" si="4"/>
        <v>-103</v>
      </c>
      <c r="T143" s="1">
        <f>IF(H143&lt;=AA$2,1,IF(H143&lt;=AA$3,2,IF(H143&lt;=AA$4,3,IF(H143&lt;=AA$5,4,5))))</f>
        <v>3</v>
      </c>
      <c r="U143" s="1" t="str">
        <f t="shared" si="5"/>
        <v>Silver</v>
      </c>
    </row>
    <row r="144" spans="1:21">
      <c r="A144" s="1">
        <v>1565651</v>
      </c>
      <c r="B144" s="1" t="s">
        <v>19</v>
      </c>
      <c r="C144" s="1" t="s">
        <v>24</v>
      </c>
      <c r="D144" s="2">
        <v>19025</v>
      </c>
      <c r="E144" s="1" t="s">
        <v>16</v>
      </c>
      <c r="F144" s="1">
        <v>3</v>
      </c>
      <c r="G144" s="1">
        <v>90032</v>
      </c>
      <c r="H144" s="1">
        <v>65000</v>
      </c>
      <c r="I144" s="1">
        <v>1646</v>
      </c>
      <c r="J144" s="1">
        <v>1110</v>
      </c>
      <c r="K144" s="1">
        <v>7</v>
      </c>
      <c r="L144" s="1">
        <v>250</v>
      </c>
      <c r="M144" s="1" t="s">
        <v>21</v>
      </c>
      <c r="N144" s="1" t="s">
        <v>18</v>
      </c>
      <c r="O144" s="1">
        <f t="shared" si="4"/>
        <v>-250</v>
      </c>
      <c r="T144" s="1">
        <f>IF(H144&lt;=AA$2,1,IF(H144&lt;=AA$3,2,IF(H144&lt;=AA$4,3,IF(H144&lt;=AA$5,4,5))))</f>
        <v>2</v>
      </c>
      <c r="U144" s="1" t="str">
        <f t="shared" si="5"/>
        <v>Gold</v>
      </c>
    </row>
    <row r="145" spans="1:21">
      <c r="A145" s="1">
        <v>1565786</v>
      </c>
      <c r="B145" s="1" t="s">
        <v>19</v>
      </c>
      <c r="C145" s="1" t="s">
        <v>28</v>
      </c>
      <c r="D145" s="2">
        <v>21969</v>
      </c>
      <c r="E145" s="1" t="s">
        <v>16</v>
      </c>
      <c r="F145" s="1">
        <v>3</v>
      </c>
      <c r="G145" s="1">
        <v>90031</v>
      </c>
      <c r="H145" s="1">
        <v>80000</v>
      </c>
      <c r="I145" s="1">
        <v>415</v>
      </c>
      <c r="J145" s="1">
        <v>300</v>
      </c>
      <c r="K145" s="1">
        <v>4</v>
      </c>
      <c r="L145" s="1">
        <v>139</v>
      </c>
      <c r="M145" s="1" t="s">
        <v>21</v>
      </c>
      <c r="N145" s="1" t="s">
        <v>27</v>
      </c>
      <c r="O145" s="1">
        <f t="shared" si="4"/>
        <v>-139</v>
      </c>
      <c r="T145" s="1">
        <f>IF(H145&lt;=AA$2,1,IF(H145&lt;=AA$3,2,IF(H145&lt;=AA$4,3,IF(H145&lt;=AA$5,4,5))))</f>
        <v>2</v>
      </c>
      <c r="U145" s="1" t="str">
        <f t="shared" si="5"/>
        <v>Silver</v>
      </c>
    </row>
    <row r="146" spans="1:21">
      <c r="A146" s="1">
        <v>1566013</v>
      </c>
      <c r="B146" s="1" t="s">
        <v>14</v>
      </c>
      <c r="C146" s="1" t="s">
        <v>15</v>
      </c>
      <c r="D146" s="2">
        <v>36384</v>
      </c>
      <c r="E146" s="1" t="s">
        <v>16</v>
      </c>
      <c r="F146" s="1">
        <v>1</v>
      </c>
      <c r="G146" s="1">
        <v>90022</v>
      </c>
      <c r="H146" s="1">
        <v>34000</v>
      </c>
      <c r="I146" s="1">
        <v>960</v>
      </c>
      <c r="J146" s="1">
        <v>761</v>
      </c>
      <c r="K146" s="1">
        <v>12</v>
      </c>
      <c r="L146" s="1">
        <v>296</v>
      </c>
      <c r="M146" s="1" t="s">
        <v>31</v>
      </c>
      <c r="N146" s="1" t="s">
        <v>18</v>
      </c>
      <c r="O146" s="1">
        <f t="shared" si="4"/>
        <v>-296</v>
      </c>
      <c r="T146" s="1">
        <f>IF(H146&lt;=AA$2,1,IF(H146&lt;=AA$3,2,IF(H146&lt;=AA$4,3,IF(H146&lt;=AA$5,4,5))))</f>
        <v>1</v>
      </c>
      <c r="U146" s="1" t="str">
        <f t="shared" si="5"/>
        <v>Silver</v>
      </c>
    </row>
    <row r="147" spans="1:21">
      <c r="A147" s="1">
        <v>1566051</v>
      </c>
      <c r="B147" s="1" t="s">
        <v>19</v>
      </c>
      <c r="C147" s="1" t="s">
        <v>24</v>
      </c>
      <c r="D147" s="2">
        <v>34967</v>
      </c>
      <c r="E147" s="1" t="s">
        <v>16</v>
      </c>
      <c r="F147" s="1">
        <v>1</v>
      </c>
      <c r="G147" s="1">
        <v>90029</v>
      </c>
      <c r="H147" s="1">
        <v>47000</v>
      </c>
      <c r="I147" s="1">
        <v>274</v>
      </c>
      <c r="J147" s="1">
        <v>517</v>
      </c>
      <c r="K147" s="1">
        <v>10</v>
      </c>
      <c r="L147" s="1">
        <v>345</v>
      </c>
      <c r="M147" s="1" t="s">
        <v>21</v>
      </c>
      <c r="N147" s="1" t="s">
        <v>22</v>
      </c>
      <c r="O147" s="1">
        <f t="shared" si="4"/>
        <v>-345</v>
      </c>
      <c r="T147" s="1">
        <f>IF(H147&lt;=AA$2,1,IF(H147&lt;=AA$3,2,IF(H147&lt;=AA$4,3,IF(H147&lt;=AA$5,4,5))))</f>
        <v>1</v>
      </c>
      <c r="U147" s="1" t="str">
        <f t="shared" si="5"/>
        <v>Silver</v>
      </c>
    </row>
    <row r="148" spans="1:21">
      <c r="A148" s="1">
        <v>1566110</v>
      </c>
      <c r="B148" s="1" t="s">
        <v>19</v>
      </c>
      <c r="C148" s="1" t="s">
        <v>24</v>
      </c>
      <c r="D148" s="2">
        <v>24291</v>
      </c>
      <c r="E148" s="1" t="s">
        <v>25</v>
      </c>
      <c r="F148" s="1">
        <v>3</v>
      </c>
      <c r="G148" s="1">
        <v>90055</v>
      </c>
      <c r="H148" s="1">
        <v>51000</v>
      </c>
      <c r="I148" s="1">
        <v>683</v>
      </c>
      <c r="J148" s="1">
        <v>1092</v>
      </c>
      <c r="K148" s="1">
        <v>22</v>
      </c>
      <c r="L148" s="1">
        <v>358</v>
      </c>
      <c r="M148" s="1" t="s">
        <v>31</v>
      </c>
      <c r="N148" s="1" t="s">
        <v>26</v>
      </c>
      <c r="O148" s="1">
        <f t="shared" si="4"/>
        <v>-358</v>
      </c>
      <c r="T148" s="1">
        <f>IF(H148&lt;=AA$2,1,IF(H148&lt;=AA$3,2,IF(H148&lt;=AA$4,3,IF(H148&lt;=AA$5,4,5))))</f>
        <v>1</v>
      </c>
      <c r="U148" s="1" t="str">
        <f t="shared" si="5"/>
        <v>Gold</v>
      </c>
    </row>
    <row r="149" spans="1:21">
      <c r="A149" s="1">
        <v>1566529</v>
      </c>
      <c r="B149" s="1" t="s">
        <v>14</v>
      </c>
      <c r="C149" s="1" t="s">
        <v>20</v>
      </c>
      <c r="D149" s="2">
        <v>33666</v>
      </c>
      <c r="E149" s="1" t="s">
        <v>16</v>
      </c>
      <c r="F149" s="1">
        <v>3</v>
      </c>
      <c r="G149" s="1">
        <v>90016</v>
      </c>
      <c r="H149" s="1">
        <v>78000</v>
      </c>
      <c r="I149" s="1">
        <v>1164</v>
      </c>
      <c r="J149" s="1">
        <v>1105</v>
      </c>
      <c r="K149" s="1">
        <v>13</v>
      </c>
      <c r="L149" s="1">
        <v>280</v>
      </c>
      <c r="M149" s="1" t="s">
        <v>32</v>
      </c>
      <c r="N149" s="1" t="s">
        <v>26</v>
      </c>
      <c r="O149" s="1">
        <f t="shared" si="4"/>
        <v>-280</v>
      </c>
      <c r="T149" s="1">
        <f>IF(H149&lt;=AA$2,1,IF(H149&lt;=AA$3,2,IF(H149&lt;=AA$4,3,IF(H149&lt;=AA$5,4,5))))</f>
        <v>2</v>
      </c>
      <c r="U149" s="1" t="str">
        <f t="shared" si="5"/>
        <v>Gold</v>
      </c>
    </row>
    <row r="150" spans="1:21">
      <c r="A150" s="1">
        <v>1567124</v>
      </c>
      <c r="B150" s="1" t="s">
        <v>14</v>
      </c>
      <c r="C150" s="1" t="s">
        <v>15</v>
      </c>
      <c r="D150" s="2">
        <v>20798</v>
      </c>
      <c r="E150" s="1" t="s">
        <v>25</v>
      </c>
      <c r="F150" s="1">
        <v>5</v>
      </c>
      <c r="G150" s="1">
        <v>90015</v>
      </c>
      <c r="H150" s="1">
        <v>67000</v>
      </c>
      <c r="I150" s="1">
        <v>610</v>
      </c>
      <c r="J150" s="1">
        <v>1128</v>
      </c>
      <c r="K150" s="1">
        <v>10</v>
      </c>
      <c r="L150" s="1">
        <v>59</v>
      </c>
      <c r="M150" s="1" t="s">
        <v>21</v>
      </c>
      <c r="N150" s="1" t="s">
        <v>26</v>
      </c>
      <c r="O150" s="1">
        <f t="shared" si="4"/>
        <v>-59</v>
      </c>
      <c r="T150" s="1">
        <f>IF(H150&lt;=AA$2,1,IF(H150&lt;=AA$3,2,IF(H150&lt;=AA$4,3,IF(H150&lt;=AA$5,4,5))))</f>
        <v>2</v>
      </c>
      <c r="U150" s="1" t="str">
        <f t="shared" si="5"/>
        <v>Gold</v>
      </c>
    </row>
    <row r="151" spans="1:21">
      <c r="A151" s="1">
        <v>1567193</v>
      </c>
      <c r="B151" s="1" t="s">
        <v>14</v>
      </c>
      <c r="C151" s="1" t="s">
        <v>20</v>
      </c>
      <c r="D151" s="2">
        <v>23665</v>
      </c>
      <c r="E151" s="1" t="s">
        <v>16</v>
      </c>
      <c r="F151" s="1">
        <v>3</v>
      </c>
      <c r="G151" s="1">
        <v>90010</v>
      </c>
      <c r="H151" s="1">
        <v>61000</v>
      </c>
      <c r="I151" s="1">
        <v>1157</v>
      </c>
      <c r="J151" s="1">
        <v>962</v>
      </c>
      <c r="K151" s="1">
        <v>22</v>
      </c>
      <c r="L151" s="1">
        <v>168</v>
      </c>
      <c r="M151" s="1" t="s">
        <v>32</v>
      </c>
      <c r="N151" s="1" t="s">
        <v>22</v>
      </c>
      <c r="O151" s="1">
        <f t="shared" si="4"/>
        <v>-168</v>
      </c>
      <c r="T151" s="1">
        <f>IF(H151&lt;=AA$2,1,IF(H151&lt;=AA$3,2,IF(H151&lt;=AA$4,3,IF(H151&lt;=AA$5,4,5))))</f>
        <v>2</v>
      </c>
      <c r="U151" s="1" t="str">
        <f t="shared" si="5"/>
        <v>Silver</v>
      </c>
    </row>
    <row r="152" spans="1:21">
      <c r="A152" s="1">
        <v>1567195</v>
      </c>
      <c r="B152" s="1" t="s">
        <v>19</v>
      </c>
      <c r="C152" s="1" t="s">
        <v>20</v>
      </c>
      <c r="D152" s="2">
        <v>21379</v>
      </c>
      <c r="E152" s="1" t="s">
        <v>16</v>
      </c>
      <c r="F152" s="1">
        <v>2</v>
      </c>
      <c r="G152" s="1">
        <v>90047</v>
      </c>
      <c r="H152" s="1">
        <v>136000</v>
      </c>
      <c r="I152" s="1">
        <v>333</v>
      </c>
      <c r="J152" s="1">
        <v>563</v>
      </c>
      <c r="K152" s="1">
        <v>14</v>
      </c>
      <c r="L152" s="1">
        <v>15</v>
      </c>
      <c r="M152" s="1" t="s">
        <v>31</v>
      </c>
      <c r="N152" s="1" t="s">
        <v>26</v>
      </c>
      <c r="O152" s="1">
        <f t="shared" si="4"/>
        <v>-15</v>
      </c>
      <c r="T152" s="1">
        <f>IF(H152&lt;=AA$2,1,IF(H152&lt;=AA$3,2,IF(H152&lt;=AA$4,3,IF(H152&lt;=AA$5,4,5))))</f>
        <v>4</v>
      </c>
      <c r="U152" s="1" t="str">
        <f t="shared" si="5"/>
        <v>Silver</v>
      </c>
    </row>
    <row r="153" spans="1:21">
      <c r="A153" s="1">
        <v>1567250</v>
      </c>
      <c r="B153" s="1" t="s">
        <v>19</v>
      </c>
      <c r="C153" s="1" t="s">
        <v>20</v>
      </c>
      <c r="D153" s="2">
        <v>28197</v>
      </c>
      <c r="E153" s="1" t="s">
        <v>16</v>
      </c>
      <c r="F153" s="1">
        <v>4</v>
      </c>
      <c r="G153" s="1">
        <v>90050</v>
      </c>
      <c r="H153" s="1">
        <v>77000</v>
      </c>
      <c r="I153" s="1">
        <v>275</v>
      </c>
      <c r="J153" s="1">
        <v>288</v>
      </c>
      <c r="K153" s="1">
        <v>2</v>
      </c>
      <c r="L153" s="1">
        <v>174</v>
      </c>
      <c r="M153" s="1" t="s">
        <v>31</v>
      </c>
      <c r="N153" s="1" t="s">
        <v>18</v>
      </c>
      <c r="O153" s="1">
        <f t="shared" si="4"/>
        <v>-174</v>
      </c>
      <c r="T153" s="1">
        <f>IF(H153&lt;=AA$2,1,IF(H153&lt;=AA$3,2,IF(H153&lt;=AA$4,3,IF(H153&lt;=AA$5,4,5))))</f>
        <v>2</v>
      </c>
      <c r="U153" s="1" t="str">
        <f t="shared" si="5"/>
        <v>Silver</v>
      </c>
    </row>
    <row r="154" spans="1:21">
      <c r="A154" s="1">
        <v>1567389</v>
      </c>
      <c r="B154" s="1" t="s">
        <v>14</v>
      </c>
      <c r="C154" s="1" t="s">
        <v>15</v>
      </c>
      <c r="D154" s="2">
        <v>36869</v>
      </c>
      <c r="E154" s="1" t="s">
        <v>16</v>
      </c>
      <c r="F154" s="1">
        <v>2</v>
      </c>
      <c r="G154" s="1">
        <v>90030</v>
      </c>
      <c r="H154" s="1">
        <v>41000</v>
      </c>
      <c r="I154" s="1">
        <v>1344</v>
      </c>
      <c r="J154" s="1">
        <v>979</v>
      </c>
      <c r="K154" s="1">
        <v>9</v>
      </c>
      <c r="L154" s="1">
        <v>213</v>
      </c>
      <c r="M154" s="1" t="s">
        <v>23</v>
      </c>
      <c r="N154" s="1" t="s">
        <v>26</v>
      </c>
      <c r="O154" s="1">
        <f t="shared" si="4"/>
        <v>-213</v>
      </c>
      <c r="T154" s="1">
        <f>IF(H154&lt;=AA$2,1,IF(H154&lt;=AA$3,2,IF(H154&lt;=AA$4,3,IF(H154&lt;=AA$5,4,5))))</f>
        <v>1</v>
      </c>
      <c r="U154" s="1" t="str">
        <f t="shared" si="5"/>
        <v>Silver</v>
      </c>
    </row>
    <row r="155" spans="1:21">
      <c r="A155" s="1">
        <v>1567469</v>
      </c>
      <c r="B155" s="1" t="s">
        <v>19</v>
      </c>
      <c r="C155" s="1" t="s">
        <v>20</v>
      </c>
      <c r="D155" s="2">
        <v>21964</v>
      </c>
      <c r="E155" s="1" t="s">
        <v>16</v>
      </c>
      <c r="F155" s="1">
        <v>1</v>
      </c>
      <c r="G155" s="1">
        <v>90065</v>
      </c>
      <c r="H155" s="1">
        <v>87000</v>
      </c>
      <c r="I155" s="1">
        <v>157</v>
      </c>
      <c r="J155" s="1">
        <v>247</v>
      </c>
      <c r="K155" s="1">
        <v>4</v>
      </c>
      <c r="L155" s="1">
        <v>129</v>
      </c>
      <c r="M155" s="1" t="s">
        <v>31</v>
      </c>
      <c r="N155" s="1" t="s">
        <v>27</v>
      </c>
      <c r="O155" s="1">
        <f t="shared" si="4"/>
        <v>-129</v>
      </c>
      <c r="T155" s="1">
        <f>IF(H155&lt;=AA$2,1,IF(H155&lt;=AA$3,2,IF(H155&lt;=AA$4,3,IF(H155&lt;=AA$5,4,5))))</f>
        <v>3</v>
      </c>
      <c r="U155" s="1" t="str">
        <f t="shared" si="5"/>
        <v>Bronze</v>
      </c>
    </row>
    <row r="156" spans="1:21">
      <c r="A156" s="1">
        <v>1567597</v>
      </c>
      <c r="B156" s="1" t="s">
        <v>19</v>
      </c>
      <c r="C156" s="1" t="s">
        <v>20</v>
      </c>
      <c r="D156" s="2">
        <v>29834</v>
      </c>
      <c r="E156" s="1" t="s">
        <v>25</v>
      </c>
      <c r="F156" s="1">
        <v>1</v>
      </c>
      <c r="G156" s="1">
        <v>90032</v>
      </c>
      <c r="H156" s="1">
        <v>71000</v>
      </c>
      <c r="I156" s="1">
        <v>882</v>
      </c>
      <c r="J156" s="1">
        <v>659</v>
      </c>
      <c r="K156" s="1">
        <v>11</v>
      </c>
      <c r="L156" s="1">
        <v>121</v>
      </c>
      <c r="M156" s="1" t="s">
        <v>23</v>
      </c>
      <c r="N156" s="1" t="s">
        <v>27</v>
      </c>
      <c r="O156" s="1">
        <f t="shared" si="4"/>
        <v>-121</v>
      </c>
      <c r="T156" s="1">
        <f>IF(H156&lt;=AA$2,1,IF(H156&lt;=AA$3,2,IF(H156&lt;=AA$4,3,IF(H156&lt;=AA$5,4,5))))</f>
        <v>2</v>
      </c>
      <c r="U156" s="1" t="str">
        <f t="shared" si="5"/>
        <v>Silver</v>
      </c>
    </row>
    <row r="157" spans="1:21">
      <c r="A157" s="1">
        <v>1567998</v>
      </c>
      <c r="B157" s="1" t="s">
        <v>14</v>
      </c>
      <c r="C157" s="1" t="s">
        <v>20</v>
      </c>
      <c r="D157" s="2">
        <v>32290</v>
      </c>
      <c r="E157" s="1" t="s">
        <v>16</v>
      </c>
      <c r="F157" s="1">
        <v>2</v>
      </c>
      <c r="G157" s="1">
        <v>90014</v>
      </c>
      <c r="H157" s="1">
        <v>40000</v>
      </c>
      <c r="I157" s="1">
        <v>653</v>
      </c>
      <c r="J157" s="1">
        <v>556</v>
      </c>
      <c r="K157" s="1">
        <v>5</v>
      </c>
      <c r="L157" s="1">
        <v>100</v>
      </c>
      <c r="M157" s="1" t="s">
        <v>31</v>
      </c>
      <c r="N157" s="1" t="s">
        <v>27</v>
      </c>
      <c r="O157" s="1">
        <f t="shared" si="4"/>
        <v>-100</v>
      </c>
      <c r="T157" s="1">
        <f>IF(H157&lt;=AA$2,1,IF(H157&lt;=AA$3,2,IF(H157&lt;=AA$4,3,IF(H157&lt;=AA$5,4,5))))</f>
        <v>1</v>
      </c>
      <c r="U157" s="1" t="str">
        <f t="shared" si="5"/>
        <v>Silver</v>
      </c>
    </row>
    <row r="158" spans="1:21">
      <c r="A158" s="1">
        <v>1568380</v>
      </c>
      <c r="B158" s="1" t="s">
        <v>14</v>
      </c>
      <c r="C158" s="1" t="s">
        <v>29</v>
      </c>
      <c r="D158" s="2">
        <v>20686</v>
      </c>
      <c r="E158" s="1" t="s">
        <v>16</v>
      </c>
      <c r="F158" s="1">
        <v>2</v>
      </c>
      <c r="G158" s="1">
        <v>90020</v>
      </c>
      <c r="H158" s="1">
        <v>62000</v>
      </c>
      <c r="I158" s="1">
        <v>1096</v>
      </c>
      <c r="J158" s="1">
        <v>963</v>
      </c>
      <c r="K158" s="1">
        <v>9</v>
      </c>
      <c r="L158" s="1">
        <v>231</v>
      </c>
      <c r="M158" s="1" t="s">
        <v>21</v>
      </c>
      <c r="N158" s="1" t="s">
        <v>22</v>
      </c>
      <c r="O158" s="1">
        <f t="shared" si="4"/>
        <v>-231</v>
      </c>
      <c r="T158" s="1">
        <f>IF(H158&lt;=AA$2,1,IF(H158&lt;=AA$3,2,IF(H158&lt;=AA$4,3,IF(H158&lt;=AA$5,4,5))))</f>
        <v>2</v>
      </c>
      <c r="U158" s="1" t="str">
        <f t="shared" si="5"/>
        <v>Silver</v>
      </c>
    </row>
    <row r="159" spans="1:21">
      <c r="A159" s="1">
        <v>1568821</v>
      </c>
      <c r="B159" s="1" t="s">
        <v>14</v>
      </c>
      <c r="C159" s="1" t="s">
        <v>20</v>
      </c>
      <c r="D159" s="2">
        <v>27207</v>
      </c>
      <c r="E159" s="1" t="s">
        <v>16</v>
      </c>
      <c r="F159" s="1">
        <v>2</v>
      </c>
      <c r="G159" s="1">
        <v>90034</v>
      </c>
      <c r="H159" s="1">
        <v>52000</v>
      </c>
      <c r="I159" s="1">
        <v>572</v>
      </c>
      <c r="J159" s="1">
        <v>698</v>
      </c>
      <c r="K159" s="1">
        <v>10</v>
      </c>
      <c r="L159" s="1">
        <v>345</v>
      </c>
      <c r="M159" s="1" t="s">
        <v>31</v>
      </c>
      <c r="N159" s="1" t="s">
        <v>22</v>
      </c>
      <c r="O159" s="1">
        <f t="shared" si="4"/>
        <v>-345</v>
      </c>
      <c r="T159" s="1">
        <f>IF(H159&lt;=AA$2,1,IF(H159&lt;=AA$3,2,IF(H159&lt;=AA$4,3,IF(H159&lt;=AA$5,4,5))))</f>
        <v>1</v>
      </c>
      <c r="U159" s="1" t="str">
        <f t="shared" si="5"/>
        <v>Silver</v>
      </c>
    </row>
    <row r="160" spans="1:21">
      <c r="A160" s="1">
        <v>1569187</v>
      </c>
      <c r="B160" s="1" t="s">
        <v>19</v>
      </c>
      <c r="C160" s="1" t="s">
        <v>15</v>
      </c>
      <c r="D160" s="2">
        <v>20497</v>
      </c>
      <c r="E160" s="1" t="s">
        <v>16</v>
      </c>
      <c r="F160" s="1">
        <v>4</v>
      </c>
      <c r="G160" s="1">
        <v>90054</v>
      </c>
      <c r="H160" s="1">
        <v>68000</v>
      </c>
      <c r="I160" s="1">
        <v>758</v>
      </c>
      <c r="J160" s="1">
        <v>620</v>
      </c>
      <c r="K160" s="1">
        <v>11</v>
      </c>
      <c r="L160" s="1">
        <v>97</v>
      </c>
      <c r="M160" s="1" t="s">
        <v>32</v>
      </c>
      <c r="N160" s="1" t="s">
        <v>26</v>
      </c>
      <c r="O160" s="1">
        <f t="shared" si="4"/>
        <v>-97</v>
      </c>
      <c r="T160" s="1">
        <f>IF(H160&lt;=AA$2,1,IF(H160&lt;=AA$3,2,IF(H160&lt;=AA$4,3,IF(H160&lt;=AA$5,4,5))))</f>
        <v>2</v>
      </c>
      <c r="U160" s="1" t="str">
        <f t="shared" si="5"/>
        <v>Silver</v>
      </c>
    </row>
    <row r="161" spans="1:21">
      <c r="A161" s="1">
        <v>1569198</v>
      </c>
      <c r="B161" s="1" t="s">
        <v>19</v>
      </c>
      <c r="C161" s="1" t="s">
        <v>24</v>
      </c>
      <c r="D161" s="2">
        <v>19878</v>
      </c>
      <c r="E161" s="1" t="s">
        <v>16</v>
      </c>
      <c r="F161" s="1">
        <v>4</v>
      </c>
      <c r="G161" s="1">
        <v>90064</v>
      </c>
      <c r="H161" s="1">
        <v>54000</v>
      </c>
      <c r="I161" s="1">
        <v>835</v>
      </c>
      <c r="J161" s="1">
        <v>920</v>
      </c>
      <c r="K161" s="1">
        <v>23</v>
      </c>
      <c r="L161" s="1">
        <v>331</v>
      </c>
      <c r="M161" s="1" t="s">
        <v>31</v>
      </c>
      <c r="N161" s="1" t="s">
        <v>26</v>
      </c>
      <c r="O161" s="1">
        <f t="shared" si="4"/>
        <v>-331</v>
      </c>
      <c r="T161" s="1">
        <f>IF(H161&lt;=AA$2,1,IF(H161&lt;=AA$3,2,IF(H161&lt;=AA$4,3,IF(H161&lt;=AA$5,4,5))))</f>
        <v>1</v>
      </c>
      <c r="U161" s="1" t="str">
        <f t="shared" si="5"/>
        <v>Silver</v>
      </c>
    </row>
    <row r="162" spans="1:21">
      <c r="A162" s="1">
        <v>1569840</v>
      </c>
      <c r="B162" s="1" t="s">
        <v>14</v>
      </c>
      <c r="C162" s="1" t="s">
        <v>20</v>
      </c>
      <c r="D162" s="2">
        <v>32745</v>
      </c>
      <c r="E162" s="1" t="s">
        <v>16</v>
      </c>
      <c r="F162" s="1">
        <v>1</v>
      </c>
      <c r="G162" s="1">
        <v>90007</v>
      </c>
      <c r="H162" s="1">
        <v>44000</v>
      </c>
      <c r="I162" s="1">
        <v>700</v>
      </c>
      <c r="J162" s="1">
        <v>823</v>
      </c>
      <c r="K162" s="1">
        <v>20</v>
      </c>
      <c r="L162" s="1">
        <v>173</v>
      </c>
      <c r="M162" s="1" t="s">
        <v>31</v>
      </c>
      <c r="N162" s="1" t="s">
        <v>26</v>
      </c>
      <c r="O162" s="1">
        <f t="shared" si="4"/>
        <v>-173</v>
      </c>
      <c r="T162" s="1">
        <f>IF(H162&lt;=AA$2,1,IF(H162&lt;=AA$3,2,IF(H162&lt;=AA$4,3,IF(H162&lt;=AA$5,4,5))))</f>
        <v>1</v>
      </c>
      <c r="U162" s="1" t="str">
        <f t="shared" si="5"/>
        <v>Silver</v>
      </c>
    </row>
    <row r="163" spans="1:21">
      <c r="A163" s="1">
        <v>1570150</v>
      </c>
      <c r="B163" s="1" t="s">
        <v>14</v>
      </c>
      <c r="C163" s="1" t="s">
        <v>20</v>
      </c>
      <c r="D163" s="2">
        <v>23078</v>
      </c>
      <c r="E163" s="1" t="s">
        <v>25</v>
      </c>
      <c r="F163" s="1">
        <v>3</v>
      </c>
      <c r="G163" s="1">
        <v>90054</v>
      </c>
      <c r="H163" s="1">
        <v>53000</v>
      </c>
      <c r="I163" s="1">
        <v>947</v>
      </c>
      <c r="J163" s="1">
        <v>1155</v>
      </c>
      <c r="K163" s="1">
        <v>27</v>
      </c>
      <c r="L163" s="1">
        <v>352</v>
      </c>
      <c r="M163" s="1" t="s">
        <v>23</v>
      </c>
      <c r="N163" s="1" t="s">
        <v>22</v>
      </c>
      <c r="O163" s="1">
        <f t="shared" si="4"/>
        <v>-352</v>
      </c>
      <c r="T163" s="1">
        <f>IF(H163&lt;=AA$2,1,IF(H163&lt;=AA$3,2,IF(H163&lt;=AA$4,3,IF(H163&lt;=AA$5,4,5))))</f>
        <v>1</v>
      </c>
      <c r="U163" s="1" t="str">
        <f t="shared" si="5"/>
        <v>Gold</v>
      </c>
    </row>
    <row r="164" spans="1:21">
      <c r="A164" s="1">
        <v>1571158</v>
      </c>
      <c r="B164" s="1" t="s">
        <v>19</v>
      </c>
      <c r="C164" s="1" t="s">
        <v>15</v>
      </c>
      <c r="D164" s="2">
        <v>29181</v>
      </c>
      <c r="E164" s="1" t="s">
        <v>16</v>
      </c>
      <c r="F164" s="1">
        <v>1</v>
      </c>
      <c r="G164" s="1">
        <v>90052</v>
      </c>
      <c r="H164" s="1">
        <v>74000</v>
      </c>
      <c r="I164" s="1">
        <v>214</v>
      </c>
      <c r="J164" s="1">
        <v>220</v>
      </c>
      <c r="K164" s="1">
        <v>2</v>
      </c>
      <c r="L164" s="1">
        <v>134</v>
      </c>
      <c r="M164" s="1" t="s">
        <v>31</v>
      </c>
      <c r="N164" s="1" t="s">
        <v>26</v>
      </c>
      <c r="O164" s="1">
        <f t="shared" si="4"/>
        <v>-134</v>
      </c>
      <c r="T164" s="1">
        <f>IF(H164&lt;=AA$2,1,IF(H164&lt;=AA$3,2,IF(H164&lt;=AA$4,3,IF(H164&lt;=AA$5,4,5))))</f>
        <v>2</v>
      </c>
      <c r="U164" s="1" t="str">
        <f t="shared" si="5"/>
        <v>Bronze</v>
      </c>
    </row>
    <row r="165" spans="1:21">
      <c r="A165" s="1">
        <v>1571419</v>
      </c>
      <c r="B165" s="1" t="s">
        <v>14</v>
      </c>
      <c r="C165" s="1" t="s">
        <v>15</v>
      </c>
      <c r="D165" s="2">
        <v>23606</v>
      </c>
      <c r="E165" s="1" t="s">
        <v>16</v>
      </c>
      <c r="F165" s="1">
        <v>5</v>
      </c>
      <c r="G165" s="1">
        <v>90064</v>
      </c>
      <c r="H165" s="1">
        <v>41000</v>
      </c>
      <c r="I165" s="1">
        <v>1285</v>
      </c>
      <c r="J165" s="1">
        <v>1137</v>
      </c>
      <c r="K165" s="1">
        <v>18</v>
      </c>
      <c r="L165" s="1">
        <v>44</v>
      </c>
      <c r="M165" s="1" t="s">
        <v>23</v>
      </c>
      <c r="N165" s="1" t="s">
        <v>26</v>
      </c>
      <c r="O165" s="1">
        <f t="shared" si="4"/>
        <v>-44</v>
      </c>
      <c r="T165" s="1">
        <f>IF(H165&lt;=AA$2,1,IF(H165&lt;=AA$3,2,IF(H165&lt;=AA$4,3,IF(H165&lt;=AA$5,4,5))))</f>
        <v>1</v>
      </c>
      <c r="U165" s="1" t="str">
        <f t="shared" si="5"/>
        <v>Gold</v>
      </c>
    </row>
    <row r="166" spans="1:21">
      <c r="A166" s="1">
        <v>1571455</v>
      </c>
      <c r="B166" s="1" t="s">
        <v>19</v>
      </c>
      <c r="C166" s="1" t="s">
        <v>28</v>
      </c>
      <c r="D166" s="2">
        <v>21980</v>
      </c>
      <c r="E166" s="1" t="s">
        <v>16</v>
      </c>
      <c r="F166" s="1">
        <v>4</v>
      </c>
      <c r="G166" s="1">
        <v>90043</v>
      </c>
      <c r="H166" s="1">
        <v>95000</v>
      </c>
      <c r="I166" s="1">
        <v>585</v>
      </c>
      <c r="J166" s="1">
        <v>1144</v>
      </c>
      <c r="K166" s="1">
        <v>7</v>
      </c>
      <c r="L166" s="1">
        <v>176</v>
      </c>
      <c r="M166" s="1" t="s">
        <v>23</v>
      </c>
      <c r="N166" s="1" t="s">
        <v>26</v>
      </c>
      <c r="O166" s="1">
        <f t="shared" si="4"/>
        <v>-176</v>
      </c>
      <c r="T166" s="1">
        <f>IF(H166&lt;=AA$2,1,IF(H166&lt;=AA$3,2,IF(H166&lt;=AA$4,3,IF(H166&lt;=AA$5,4,5))))</f>
        <v>3</v>
      </c>
      <c r="U166" s="1" t="str">
        <f t="shared" si="5"/>
        <v>Gold</v>
      </c>
    </row>
    <row r="167" spans="1:21">
      <c r="A167" s="1">
        <v>1571457</v>
      </c>
      <c r="B167" s="1" t="s">
        <v>19</v>
      </c>
      <c r="C167" s="1" t="s">
        <v>20</v>
      </c>
      <c r="D167" s="2">
        <v>35114</v>
      </c>
      <c r="E167" s="1" t="s">
        <v>16</v>
      </c>
      <c r="F167" s="1">
        <v>1</v>
      </c>
      <c r="G167" s="1">
        <v>90001</v>
      </c>
      <c r="H167" s="1">
        <v>99000</v>
      </c>
      <c r="I167" s="1">
        <v>963</v>
      </c>
      <c r="J167" s="1">
        <v>1099</v>
      </c>
      <c r="K167" s="1">
        <v>13</v>
      </c>
      <c r="L167" s="1">
        <v>248</v>
      </c>
      <c r="M167" s="1" t="s">
        <v>31</v>
      </c>
      <c r="N167" s="1" t="s">
        <v>18</v>
      </c>
      <c r="O167" s="1">
        <f t="shared" si="4"/>
        <v>-248</v>
      </c>
      <c r="T167" s="1">
        <f>IF(H167&lt;=AA$2,1,IF(H167&lt;=AA$3,2,IF(H167&lt;=AA$4,3,IF(H167&lt;=AA$5,4,5))))</f>
        <v>3</v>
      </c>
      <c r="U167" s="1" t="str">
        <f t="shared" si="5"/>
        <v>Gold</v>
      </c>
    </row>
    <row r="168" spans="1:21">
      <c r="A168" s="1">
        <v>1571887</v>
      </c>
      <c r="B168" s="1" t="s">
        <v>19</v>
      </c>
      <c r="C168" s="1" t="s">
        <v>15</v>
      </c>
      <c r="D168" s="2">
        <v>27983</v>
      </c>
      <c r="E168" s="1" t="s">
        <v>16</v>
      </c>
      <c r="F168" s="1">
        <v>5</v>
      </c>
      <c r="G168" s="1">
        <v>90013</v>
      </c>
      <c r="H168" s="1">
        <v>99000</v>
      </c>
      <c r="I168" s="1">
        <v>610</v>
      </c>
      <c r="J168" s="1">
        <v>520</v>
      </c>
      <c r="K168" s="1">
        <v>7</v>
      </c>
      <c r="L168" s="1">
        <v>68</v>
      </c>
      <c r="M168" s="1" t="s">
        <v>21</v>
      </c>
      <c r="N168" s="1" t="s">
        <v>18</v>
      </c>
      <c r="O168" s="1">
        <f t="shared" si="4"/>
        <v>-68</v>
      </c>
      <c r="T168" s="1">
        <f>IF(H168&lt;=AA$2,1,IF(H168&lt;=AA$3,2,IF(H168&lt;=AA$4,3,IF(H168&lt;=AA$5,4,5))))</f>
        <v>3</v>
      </c>
      <c r="U168" s="1" t="str">
        <f t="shared" si="5"/>
        <v>Silver</v>
      </c>
    </row>
    <row r="169" spans="1:21">
      <c r="A169" s="1">
        <v>1571944</v>
      </c>
      <c r="B169" s="1" t="s">
        <v>19</v>
      </c>
      <c r="C169" s="1" t="s">
        <v>20</v>
      </c>
      <c r="D169" s="2">
        <v>24796</v>
      </c>
      <c r="E169" s="1" t="s">
        <v>16</v>
      </c>
      <c r="F169" s="1">
        <v>5</v>
      </c>
      <c r="G169" s="1">
        <v>90001</v>
      </c>
      <c r="H169" s="1">
        <v>86000</v>
      </c>
      <c r="I169" s="1">
        <v>312</v>
      </c>
      <c r="J169" s="1">
        <v>226</v>
      </c>
      <c r="K169" s="1">
        <v>2</v>
      </c>
      <c r="L169" s="1">
        <v>100</v>
      </c>
      <c r="M169" s="1" t="s">
        <v>31</v>
      </c>
      <c r="N169" s="1" t="s">
        <v>22</v>
      </c>
      <c r="O169" s="1">
        <f t="shared" si="4"/>
        <v>-100</v>
      </c>
      <c r="T169" s="1">
        <f>IF(H169&lt;=AA$2,1,IF(H169&lt;=AA$3,2,IF(H169&lt;=AA$4,3,IF(H169&lt;=AA$5,4,5))))</f>
        <v>3</v>
      </c>
      <c r="U169" s="1" t="str">
        <f t="shared" si="5"/>
        <v>Bronze</v>
      </c>
    </row>
    <row r="170" spans="1:21">
      <c r="A170" s="1">
        <v>1572715</v>
      </c>
      <c r="B170" s="1" t="s">
        <v>14</v>
      </c>
      <c r="C170" s="1" t="s">
        <v>15</v>
      </c>
      <c r="D170" s="2">
        <v>35545</v>
      </c>
      <c r="E170" s="1" t="s">
        <v>25</v>
      </c>
      <c r="F170" s="1">
        <v>4</v>
      </c>
      <c r="G170" s="1">
        <v>90026</v>
      </c>
      <c r="H170" s="1">
        <v>43000</v>
      </c>
      <c r="I170" s="1">
        <v>93</v>
      </c>
      <c r="J170" s="1">
        <v>69</v>
      </c>
      <c r="K170" s="1">
        <v>1</v>
      </c>
      <c r="L170" s="1">
        <v>223</v>
      </c>
      <c r="M170" s="1" t="s">
        <v>31</v>
      </c>
      <c r="N170" s="1" t="s">
        <v>22</v>
      </c>
      <c r="O170" s="1">
        <f t="shared" si="4"/>
        <v>-223</v>
      </c>
      <c r="T170" s="1">
        <f>IF(H170&lt;=AA$2,1,IF(H170&lt;=AA$3,2,IF(H170&lt;=AA$4,3,IF(H170&lt;=AA$5,4,5))))</f>
        <v>1</v>
      </c>
      <c r="U170" s="1" t="str">
        <f t="shared" si="5"/>
        <v>Bronze</v>
      </c>
    </row>
    <row r="171" spans="1:21">
      <c r="A171" s="1">
        <v>1572877</v>
      </c>
      <c r="B171" s="1" t="s">
        <v>14</v>
      </c>
      <c r="C171" s="1" t="s">
        <v>20</v>
      </c>
      <c r="D171" s="2">
        <v>36369</v>
      </c>
      <c r="E171" s="1" t="s">
        <v>25</v>
      </c>
      <c r="F171" s="1">
        <v>1</v>
      </c>
      <c r="G171" s="1">
        <v>90032</v>
      </c>
      <c r="H171" s="1">
        <v>42000</v>
      </c>
      <c r="I171" s="1">
        <v>245</v>
      </c>
      <c r="J171" s="1">
        <v>183</v>
      </c>
      <c r="K171" s="1">
        <v>4</v>
      </c>
      <c r="L171" s="1">
        <v>60</v>
      </c>
      <c r="M171" s="1" t="s">
        <v>31</v>
      </c>
      <c r="N171" s="1" t="s">
        <v>22</v>
      </c>
      <c r="O171" s="1">
        <f t="shared" si="4"/>
        <v>-60</v>
      </c>
      <c r="T171" s="1">
        <f>IF(H171&lt;=AA$2,1,IF(H171&lt;=AA$3,2,IF(H171&lt;=AA$4,3,IF(H171&lt;=AA$5,4,5))))</f>
        <v>1</v>
      </c>
      <c r="U171" s="1" t="str">
        <f t="shared" si="5"/>
        <v>Bronze</v>
      </c>
    </row>
    <row r="172" spans="1:21">
      <c r="A172" s="1">
        <v>1573196</v>
      </c>
      <c r="B172" s="1" t="s">
        <v>14</v>
      </c>
      <c r="C172" s="1" t="s">
        <v>15</v>
      </c>
      <c r="D172" s="2">
        <v>36834</v>
      </c>
      <c r="E172" s="1" t="s">
        <v>16</v>
      </c>
      <c r="F172" s="1">
        <v>4</v>
      </c>
      <c r="G172" s="1">
        <v>90012</v>
      </c>
      <c r="H172" s="1">
        <v>70000</v>
      </c>
      <c r="I172" s="1">
        <v>127</v>
      </c>
      <c r="J172" s="1">
        <v>104</v>
      </c>
      <c r="K172" s="1">
        <v>3</v>
      </c>
      <c r="L172" s="1">
        <v>137</v>
      </c>
      <c r="M172" s="1" t="s">
        <v>21</v>
      </c>
      <c r="N172" s="1" t="s">
        <v>27</v>
      </c>
      <c r="O172" s="1">
        <f t="shared" si="4"/>
        <v>-137</v>
      </c>
      <c r="T172" s="1">
        <f>IF(H172&lt;=AA$2,1,IF(H172&lt;=AA$3,2,IF(H172&lt;=AA$4,3,IF(H172&lt;=AA$5,4,5))))</f>
        <v>2</v>
      </c>
      <c r="U172" s="1" t="str">
        <f t="shared" si="5"/>
        <v>Bronze</v>
      </c>
    </row>
    <row r="173" spans="1:21">
      <c r="A173" s="1">
        <v>1573273</v>
      </c>
      <c r="B173" s="1" t="s">
        <v>19</v>
      </c>
      <c r="C173" s="1" t="s">
        <v>20</v>
      </c>
      <c r="D173" s="2">
        <v>27646</v>
      </c>
      <c r="E173" s="1" t="s">
        <v>16</v>
      </c>
      <c r="F173" s="1">
        <v>5</v>
      </c>
      <c r="G173" s="1">
        <v>90023</v>
      </c>
      <c r="H173" s="1">
        <v>110000</v>
      </c>
      <c r="I173" s="1">
        <v>1497</v>
      </c>
      <c r="J173" s="1">
        <v>1157</v>
      </c>
      <c r="K173" s="1">
        <v>28</v>
      </c>
      <c r="L173" s="1">
        <v>220</v>
      </c>
      <c r="M173" s="1" t="s">
        <v>31</v>
      </c>
      <c r="N173" s="1" t="s">
        <v>26</v>
      </c>
      <c r="O173" s="1">
        <f t="shared" si="4"/>
        <v>-220</v>
      </c>
      <c r="T173" s="1">
        <f>IF(H173&lt;=AA$2,1,IF(H173&lt;=AA$3,2,IF(H173&lt;=AA$4,3,IF(H173&lt;=AA$5,4,5))))</f>
        <v>3</v>
      </c>
      <c r="U173" s="1" t="str">
        <f t="shared" si="5"/>
        <v>Gold</v>
      </c>
    </row>
    <row r="174" spans="1:21">
      <c r="A174" s="1">
        <v>1573758</v>
      </c>
      <c r="B174" s="1" t="s">
        <v>14</v>
      </c>
      <c r="C174" s="1" t="s">
        <v>24</v>
      </c>
      <c r="D174" s="2">
        <v>36684</v>
      </c>
      <c r="E174" s="1" t="s">
        <v>25</v>
      </c>
      <c r="F174" s="1">
        <v>3</v>
      </c>
      <c r="G174" s="1">
        <v>90013</v>
      </c>
      <c r="H174" s="1">
        <v>57000</v>
      </c>
      <c r="I174" s="1">
        <v>531</v>
      </c>
      <c r="J174" s="1">
        <v>986</v>
      </c>
      <c r="K174" s="1">
        <v>15</v>
      </c>
      <c r="L174" s="1">
        <v>13</v>
      </c>
      <c r="M174" s="1" t="s">
        <v>31</v>
      </c>
      <c r="N174" s="1" t="s">
        <v>22</v>
      </c>
      <c r="O174" s="1">
        <f t="shared" si="4"/>
        <v>-13</v>
      </c>
      <c r="T174" s="1">
        <f>IF(H174&lt;=AA$2,1,IF(H174&lt;=AA$3,2,IF(H174&lt;=AA$4,3,IF(H174&lt;=AA$5,4,5))))</f>
        <v>1</v>
      </c>
      <c r="U174" s="1" t="str">
        <f t="shared" si="5"/>
        <v>Silver</v>
      </c>
    </row>
    <row r="175" spans="1:21">
      <c r="A175" s="1">
        <v>1573908</v>
      </c>
      <c r="B175" s="1" t="s">
        <v>19</v>
      </c>
      <c r="C175" s="1" t="s">
        <v>20</v>
      </c>
      <c r="D175" s="2">
        <v>33126</v>
      </c>
      <c r="E175" s="1" t="s">
        <v>25</v>
      </c>
      <c r="F175" s="1">
        <v>4</v>
      </c>
      <c r="G175" s="1">
        <v>90039</v>
      </c>
      <c r="H175" s="1">
        <v>71000</v>
      </c>
      <c r="I175" s="1">
        <v>213</v>
      </c>
      <c r="J175" s="1">
        <v>293</v>
      </c>
      <c r="K175" s="1">
        <v>2</v>
      </c>
      <c r="L175" s="1">
        <v>42</v>
      </c>
      <c r="M175" s="1" t="s">
        <v>23</v>
      </c>
      <c r="N175" s="1" t="s">
        <v>27</v>
      </c>
      <c r="O175" s="1">
        <f t="shared" si="4"/>
        <v>-42</v>
      </c>
      <c r="T175" s="1">
        <f>IF(H175&lt;=AA$2,1,IF(H175&lt;=AA$3,2,IF(H175&lt;=AA$4,3,IF(H175&lt;=AA$5,4,5))))</f>
        <v>2</v>
      </c>
      <c r="U175" s="1" t="str">
        <f t="shared" si="5"/>
        <v>Silver</v>
      </c>
    </row>
    <row r="176" spans="1:21">
      <c r="A176" s="1">
        <v>1574015</v>
      </c>
      <c r="B176" s="1" t="s">
        <v>19</v>
      </c>
      <c r="C176" s="1" t="s">
        <v>20</v>
      </c>
      <c r="D176" s="2">
        <v>32258</v>
      </c>
      <c r="E176" s="1" t="s">
        <v>25</v>
      </c>
      <c r="F176" s="1">
        <v>2</v>
      </c>
      <c r="G176" s="1">
        <v>90049</v>
      </c>
      <c r="H176" s="1">
        <v>67000</v>
      </c>
      <c r="I176" s="1">
        <v>708</v>
      </c>
      <c r="J176" s="1">
        <v>549</v>
      </c>
      <c r="K176" s="1">
        <v>12</v>
      </c>
      <c r="L176" s="1">
        <v>133</v>
      </c>
      <c r="M176" s="1" t="s">
        <v>21</v>
      </c>
      <c r="N176" s="1" t="s">
        <v>26</v>
      </c>
      <c r="O176" s="1">
        <f t="shared" si="4"/>
        <v>-133</v>
      </c>
      <c r="T176" s="1">
        <f>IF(H176&lt;=AA$2,1,IF(H176&lt;=AA$3,2,IF(H176&lt;=AA$4,3,IF(H176&lt;=AA$5,4,5))))</f>
        <v>2</v>
      </c>
      <c r="U176" s="1" t="str">
        <f t="shared" si="5"/>
        <v>Silver</v>
      </c>
    </row>
    <row r="177" spans="1:21">
      <c r="A177" s="1">
        <v>1574042</v>
      </c>
      <c r="B177" s="1" t="s">
        <v>14</v>
      </c>
      <c r="C177" s="1" t="s">
        <v>24</v>
      </c>
      <c r="D177" s="2">
        <v>27321</v>
      </c>
      <c r="E177" s="1" t="s">
        <v>16</v>
      </c>
      <c r="F177" s="1">
        <v>3</v>
      </c>
      <c r="G177" s="1">
        <v>90013</v>
      </c>
      <c r="H177" s="1">
        <v>108000</v>
      </c>
      <c r="I177" s="1">
        <v>593</v>
      </c>
      <c r="J177" s="1">
        <v>1044</v>
      </c>
      <c r="K177" s="1">
        <v>9</v>
      </c>
      <c r="L177" s="1">
        <v>213</v>
      </c>
      <c r="M177" s="1" t="s">
        <v>31</v>
      </c>
      <c r="N177" s="1" t="s">
        <v>22</v>
      </c>
      <c r="O177" s="1">
        <f t="shared" si="4"/>
        <v>-213</v>
      </c>
      <c r="T177" s="1">
        <f>IF(H177&lt;=AA$2,1,IF(H177&lt;=AA$3,2,IF(H177&lt;=AA$4,3,IF(H177&lt;=AA$5,4,5))))</f>
        <v>3</v>
      </c>
      <c r="U177" s="1" t="str">
        <f t="shared" si="5"/>
        <v>Gold</v>
      </c>
    </row>
    <row r="178" spans="1:21">
      <c r="A178" s="1">
        <v>1574047</v>
      </c>
      <c r="B178" s="1" t="s">
        <v>14</v>
      </c>
      <c r="C178" s="1" t="s">
        <v>15</v>
      </c>
      <c r="D178" s="2">
        <v>26333</v>
      </c>
      <c r="E178" s="1" t="s">
        <v>16</v>
      </c>
      <c r="F178" s="1">
        <v>1</v>
      </c>
      <c r="G178" s="1">
        <v>90010</v>
      </c>
      <c r="H178" s="1">
        <v>49000</v>
      </c>
      <c r="I178" s="1">
        <v>298</v>
      </c>
      <c r="J178" s="1">
        <v>202</v>
      </c>
      <c r="K178" s="1">
        <v>2</v>
      </c>
      <c r="L178" s="1">
        <v>248</v>
      </c>
      <c r="M178" s="1" t="s">
        <v>31</v>
      </c>
      <c r="N178" s="1" t="s">
        <v>22</v>
      </c>
      <c r="O178" s="1">
        <f t="shared" si="4"/>
        <v>-248</v>
      </c>
      <c r="T178" s="1">
        <f>IF(H178&lt;=AA$2,1,IF(H178&lt;=AA$3,2,IF(H178&lt;=AA$4,3,IF(H178&lt;=AA$5,4,5))))</f>
        <v>1</v>
      </c>
      <c r="U178" s="1" t="str">
        <f t="shared" si="5"/>
        <v>Bronze</v>
      </c>
    </row>
    <row r="179" spans="1:21">
      <c r="A179" s="1">
        <v>1574098</v>
      </c>
      <c r="B179" s="1" t="s">
        <v>19</v>
      </c>
      <c r="C179" s="1" t="s">
        <v>24</v>
      </c>
      <c r="D179" s="2">
        <v>29183</v>
      </c>
      <c r="E179" s="1" t="s">
        <v>16</v>
      </c>
      <c r="F179" s="1">
        <v>4</v>
      </c>
      <c r="G179" s="1">
        <v>90050</v>
      </c>
      <c r="H179" s="1">
        <v>86000</v>
      </c>
      <c r="I179" s="1">
        <v>75</v>
      </c>
      <c r="J179" s="1">
        <v>68</v>
      </c>
      <c r="K179" s="1">
        <v>1</v>
      </c>
      <c r="L179" s="1">
        <v>176</v>
      </c>
      <c r="M179" s="1" t="s">
        <v>31</v>
      </c>
      <c r="N179" s="1" t="s">
        <v>27</v>
      </c>
      <c r="O179" s="1">
        <f t="shared" si="4"/>
        <v>-176</v>
      </c>
      <c r="T179" s="1">
        <f>IF(H179&lt;=AA$2,1,IF(H179&lt;=AA$3,2,IF(H179&lt;=AA$4,3,IF(H179&lt;=AA$5,4,5))))</f>
        <v>3</v>
      </c>
      <c r="U179" s="1" t="str">
        <f t="shared" si="5"/>
        <v>Bronze</v>
      </c>
    </row>
    <row r="180" spans="1:21">
      <c r="A180" s="1">
        <v>1574151</v>
      </c>
      <c r="B180" s="1" t="s">
        <v>14</v>
      </c>
      <c r="C180" s="1" t="s">
        <v>15</v>
      </c>
      <c r="D180" s="2">
        <v>29248</v>
      </c>
      <c r="E180" s="1" t="s">
        <v>16</v>
      </c>
      <c r="F180" s="1">
        <v>5</v>
      </c>
      <c r="G180" s="1">
        <v>90012</v>
      </c>
      <c r="H180" s="1">
        <v>61000</v>
      </c>
      <c r="I180" s="1">
        <v>778</v>
      </c>
      <c r="J180" s="1">
        <v>1144</v>
      </c>
      <c r="K180" s="1">
        <v>28</v>
      </c>
      <c r="L180" s="1">
        <v>95</v>
      </c>
      <c r="M180" s="1" t="s">
        <v>31</v>
      </c>
      <c r="N180" s="1" t="s">
        <v>22</v>
      </c>
      <c r="O180" s="1">
        <f t="shared" si="4"/>
        <v>-95</v>
      </c>
      <c r="T180" s="1">
        <f>IF(H180&lt;=AA$2,1,IF(H180&lt;=AA$3,2,IF(H180&lt;=AA$4,3,IF(H180&lt;=AA$5,4,5))))</f>
        <v>2</v>
      </c>
      <c r="U180" s="1" t="str">
        <f t="shared" si="5"/>
        <v>Gold</v>
      </c>
    </row>
    <row r="181" spans="1:21">
      <c r="A181" s="1">
        <v>1574379</v>
      </c>
      <c r="B181" s="1" t="s">
        <v>19</v>
      </c>
      <c r="C181" s="1" t="s">
        <v>15</v>
      </c>
      <c r="D181" s="2">
        <v>29099</v>
      </c>
      <c r="E181" s="1" t="s">
        <v>16</v>
      </c>
      <c r="F181" s="1">
        <v>2</v>
      </c>
      <c r="G181" s="1">
        <v>90047</v>
      </c>
      <c r="H181" s="1">
        <v>60000</v>
      </c>
      <c r="I181" s="1">
        <v>514</v>
      </c>
      <c r="J181" s="1">
        <v>636</v>
      </c>
      <c r="K181" s="1">
        <v>10</v>
      </c>
      <c r="L181" s="1">
        <v>265</v>
      </c>
      <c r="M181" s="1" t="s">
        <v>21</v>
      </c>
      <c r="N181" s="1" t="s">
        <v>27</v>
      </c>
      <c r="O181" s="1">
        <f t="shared" si="4"/>
        <v>-265</v>
      </c>
      <c r="T181" s="1">
        <f>IF(H181&lt;=AA$2,1,IF(H181&lt;=AA$3,2,IF(H181&lt;=AA$4,3,IF(H181&lt;=AA$5,4,5))))</f>
        <v>2</v>
      </c>
      <c r="U181" s="1" t="str">
        <f t="shared" si="5"/>
        <v>Silver</v>
      </c>
    </row>
    <row r="182" spans="1:21">
      <c r="A182" s="1">
        <v>1574687</v>
      </c>
      <c r="B182" s="1" t="s">
        <v>14</v>
      </c>
      <c r="C182" s="1" t="s">
        <v>15</v>
      </c>
      <c r="D182" s="2">
        <v>25123</v>
      </c>
      <c r="E182" s="1" t="s">
        <v>16</v>
      </c>
      <c r="F182" s="1">
        <v>1</v>
      </c>
      <c r="G182" s="1">
        <v>90030</v>
      </c>
      <c r="H182" s="1">
        <v>54000</v>
      </c>
      <c r="I182" s="1">
        <v>266</v>
      </c>
      <c r="J182" s="1">
        <v>338</v>
      </c>
      <c r="K182" s="1">
        <v>5</v>
      </c>
      <c r="L182" s="1">
        <v>281</v>
      </c>
      <c r="M182" s="1" t="s">
        <v>23</v>
      </c>
      <c r="N182" s="1" t="s">
        <v>27</v>
      </c>
      <c r="O182" s="1">
        <f t="shared" si="4"/>
        <v>-281</v>
      </c>
      <c r="T182" s="1">
        <f>IF(H182&lt;=AA$2,1,IF(H182&lt;=AA$3,2,IF(H182&lt;=AA$4,3,IF(H182&lt;=AA$5,4,5))))</f>
        <v>1</v>
      </c>
      <c r="U182" s="1" t="str">
        <f t="shared" si="5"/>
        <v>Silver</v>
      </c>
    </row>
    <row r="183" spans="1:21">
      <c r="A183" s="1">
        <v>1574764</v>
      </c>
      <c r="B183" s="1" t="s">
        <v>14</v>
      </c>
      <c r="C183" s="1" t="s">
        <v>20</v>
      </c>
      <c r="D183" s="2">
        <v>29270</v>
      </c>
      <c r="E183" s="1" t="s">
        <v>16</v>
      </c>
      <c r="F183" s="1">
        <v>4</v>
      </c>
      <c r="G183" s="1">
        <v>90041</v>
      </c>
      <c r="H183" s="1">
        <v>87000</v>
      </c>
      <c r="I183" s="1">
        <v>841</v>
      </c>
      <c r="J183" s="1">
        <v>689</v>
      </c>
      <c r="K183" s="1">
        <v>7</v>
      </c>
      <c r="L183" s="1">
        <v>181</v>
      </c>
      <c r="M183" s="1" t="s">
        <v>31</v>
      </c>
      <c r="N183" s="1" t="s">
        <v>22</v>
      </c>
      <c r="O183" s="1">
        <f t="shared" si="4"/>
        <v>-181</v>
      </c>
      <c r="T183" s="1">
        <f>IF(H183&lt;=AA$2,1,IF(H183&lt;=AA$3,2,IF(H183&lt;=AA$4,3,IF(H183&lt;=AA$5,4,5))))</f>
        <v>3</v>
      </c>
      <c r="U183" s="1" t="str">
        <f t="shared" si="5"/>
        <v>Silver</v>
      </c>
    </row>
    <row r="184" spans="1:21">
      <c r="A184" s="1">
        <v>1574841</v>
      </c>
      <c r="B184" s="1" t="s">
        <v>14</v>
      </c>
      <c r="C184" s="1" t="s">
        <v>20</v>
      </c>
      <c r="D184" s="2">
        <v>29896</v>
      </c>
      <c r="E184" s="1" t="s">
        <v>16</v>
      </c>
      <c r="F184" s="1">
        <v>2</v>
      </c>
      <c r="G184" s="1">
        <v>90037</v>
      </c>
      <c r="H184" s="1">
        <v>57000</v>
      </c>
      <c r="I184" s="1">
        <v>1212</v>
      </c>
      <c r="J184" s="1">
        <v>1122</v>
      </c>
      <c r="K184" s="1">
        <v>28</v>
      </c>
      <c r="L184" s="1">
        <v>228</v>
      </c>
      <c r="M184" s="1" t="s">
        <v>23</v>
      </c>
      <c r="N184" s="1" t="s">
        <v>27</v>
      </c>
      <c r="O184" s="1">
        <f t="shared" si="4"/>
        <v>-228</v>
      </c>
      <c r="T184" s="1">
        <f>IF(H184&lt;=AA$2,1,IF(H184&lt;=AA$3,2,IF(H184&lt;=AA$4,3,IF(H184&lt;=AA$5,4,5))))</f>
        <v>1</v>
      </c>
      <c r="U184" s="1" t="str">
        <f t="shared" si="5"/>
        <v>Gold</v>
      </c>
    </row>
    <row r="185" spans="1:21">
      <c r="A185" s="1">
        <v>1575294</v>
      </c>
      <c r="B185" s="1" t="s">
        <v>19</v>
      </c>
      <c r="C185" s="1" t="s">
        <v>20</v>
      </c>
      <c r="D185" s="2">
        <v>23248</v>
      </c>
      <c r="E185" s="1" t="s">
        <v>16</v>
      </c>
      <c r="F185" s="1">
        <v>3</v>
      </c>
      <c r="G185" s="1">
        <v>90061</v>
      </c>
      <c r="H185" s="1">
        <v>75000</v>
      </c>
      <c r="I185" s="1">
        <v>175</v>
      </c>
      <c r="J185" s="1">
        <v>172</v>
      </c>
      <c r="K185" s="1">
        <v>2</v>
      </c>
      <c r="L185" s="1">
        <v>211</v>
      </c>
      <c r="M185" s="1" t="s">
        <v>31</v>
      </c>
      <c r="N185" s="1" t="s">
        <v>27</v>
      </c>
      <c r="O185" s="1">
        <f t="shared" si="4"/>
        <v>-211</v>
      </c>
      <c r="T185" s="1">
        <f>IF(H185&lt;=AA$2,1,IF(H185&lt;=AA$3,2,IF(H185&lt;=AA$4,3,IF(H185&lt;=AA$5,4,5))))</f>
        <v>2</v>
      </c>
      <c r="U185" s="1" t="str">
        <f t="shared" si="5"/>
        <v>Bronze</v>
      </c>
    </row>
    <row r="186" spans="1:21">
      <c r="A186" s="1">
        <v>1575448</v>
      </c>
      <c r="B186" s="1" t="s">
        <v>19</v>
      </c>
      <c r="C186" s="1" t="s">
        <v>24</v>
      </c>
      <c r="D186" s="2">
        <v>35965</v>
      </c>
      <c r="E186" s="1" t="s">
        <v>16</v>
      </c>
      <c r="F186" s="1">
        <v>4</v>
      </c>
      <c r="G186" s="1">
        <v>90050</v>
      </c>
      <c r="H186" s="1">
        <v>100000</v>
      </c>
      <c r="I186" s="1">
        <v>486</v>
      </c>
      <c r="J186" s="1">
        <v>437</v>
      </c>
      <c r="K186" s="1">
        <v>5</v>
      </c>
      <c r="L186" s="1">
        <v>223</v>
      </c>
      <c r="M186" s="1" t="s">
        <v>31</v>
      </c>
      <c r="N186" s="1" t="s">
        <v>27</v>
      </c>
      <c r="O186" s="1">
        <f t="shared" si="4"/>
        <v>-223</v>
      </c>
      <c r="T186" s="1">
        <f>IF(H186&lt;=AA$2,1,IF(H186&lt;=AA$3,2,IF(H186&lt;=AA$4,3,IF(H186&lt;=AA$5,4,5))))</f>
        <v>3</v>
      </c>
      <c r="U186" s="1" t="str">
        <f t="shared" si="5"/>
        <v>Silver</v>
      </c>
    </row>
    <row r="187" spans="1:21">
      <c r="A187" s="1">
        <v>1575538</v>
      </c>
      <c r="B187" s="1" t="s">
        <v>19</v>
      </c>
      <c r="C187" s="1" t="s">
        <v>24</v>
      </c>
      <c r="D187" s="2">
        <v>35371</v>
      </c>
      <c r="E187" s="1" t="s">
        <v>16</v>
      </c>
      <c r="F187" s="1">
        <v>5</v>
      </c>
      <c r="G187" s="1">
        <v>90063</v>
      </c>
      <c r="H187" s="1">
        <v>129000</v>
      </c>
      <c r="I187" s="1">
        <v>813</v>
      </c>
      <c r="J187" s="1">
        <v>949</v>
      </c>
      <c r="K187" s="1">
        <v>24</v>
      </c>
      <c r="L187" s="1">
        <v>140</v>
      </c>
      <c r="M187" s="1" t="s">
        <v>21</v>
      </c>
      <c r="N187" s="1" t="s">
        <v>26</v>
      </c>
      <c r="O187" s="1">
        <f t="shared" si="4"/>
        <v>-140</v>
      </c>
      <c r="T187" s="1">
        <f>IF(H187&lt;=AA$2,1,IF(H187&lt;=AA$3,2,IF(H187&lt;=AA$4,3,IF(H187&lt;=AA$5,4,5))))</f>
        <v>4</v>
      </c>
      <c r="U187" s="1" t="str">
        <f t="shared" si="5"/>
        <v>Silver</v>
      </c>
    </row>
    <row r="188" spans="1:21">
      <c r="A188" s="1">
        <v>1575993</v>
      </c>
      <c r="B188" s="1" t="s">
        <v>19</v>
      </c>
      <c r="C188" s="1" t="s">
        <v>20</v>
      </c>
      <c r="D188" s="2">
        <v>31726</v>
      </c>
      <c r="E188" s="1" t="s">
        <v>16</v>
      </c>
      <c r="F188" s="1">
        <v>3</v>
      </c>
      <c r="G188" s="1">
        <v>90036</v>
      </c>
      <c r="H188" s="1">
        <v>92000</v>
      </c>
      <c r="I188" s="1">
        <v>406</v>
      </c>
      <c r="J188" s="1">
        <v>409</v>
      </c>
      <c r="K188" s="1">
        <v>3</v>
      </c>
      <c r="L188" s="1">
        <v>294</v>
      </c>
      <c r="M188" s="1" t="s">
        <v>31</v>
      </c>
      <c r="N188" s="1" t="s">
        <v>18</v>
      </c>
      <c r="O188" s="1">
        <f t="shared" si="4"/>
        <v>-294</v>
      </c>
      <c r="T188" s="1">
        <f>IF(H188&lt;=AA$2,1,IF(H188&lt;=AA$3,2,IF(H188&lt;=AA$4,3,IF(H188&lt;=AA$5,4,5))))</f>
        <v>3</v>
      </c>
      <c r="U188" s="1" t="str">
        <f t="shared" si="5"/>
        <v>Silver</v>
      </c>
    </row>
    <row r="189" spans="1:21">
      <c r="A189" s="1">
        <v>1576211</v>
      </c>
      <c r="B189" s="1" t="s">
        <v>14</v>
      </c>
      <c r="C189" s="1" t="s">
        <v>20</v>
      </c>
      <c r="D189" s="2">
        <v>31273</v>
      </c>
      <c r="E189" s="1" t="s">
        <v>25</v>
      </c>
      <c r="F189" s="1">
        <v>1</v>
      </c>
      <c r="G189" s="1">
        <v>90017</v>
      </c>
      <c r="H189" s="1">
        <v>31000</v>
      </c>
      <c r="I189" s="1">
        <v>1336</v>
      </c>
      <c r="J189" s="1">
        <v>1244</v>
      </c>
      <c r="K189" s="1">
        <v>15</v>
      </c>
      <c r="L189" s="1">
        <v>280</v>
      </c>
      <c r="M189" s="1" t="s">
        <v>23</v>
      </c>
      <c r="N189" s="1" t="s">
        <v>26</v>
      </c>
      <c r="O189" s="1">
        <f t="shared" si="4"/>
        <v>-280</v>
      </c>
      <c r="T189" s="1">
        <f>IF(H189&lt;=AA$2,1,IF(H189&lt;=AA$3,2,IF(H189&lt;=AA$4,3,IF(H189&lt;=AA$5,4,5))))</f>
        <v>1</v>
      </c>
      <c r="U189" s="1" t="str">
        <f t="shared" si="5"/>
        <v>Gold</v>
      </c>
    </row>
    <row r="190" spans="1:21">
      <c r="A190" s="1">
        <v>1576752</v>
      </c>
      <c r="B190" s="1" t="s">
        <v>19</v>
      </c>
      <c r="C190" s="1" t="s">
        <v>15</v>
      </c>
      <c r="D190" s="2">
        <v>25037</v>
      </c>
      <c r="E190" s="1" t="s">
        <v>16</v>
      </c>
      <c r="F190" s="1">
        <v>4</v>
      </c>
      <c r="G190" s="1">
        <v>90044</v>
      </c>
      <c r="H190" s="1">
        <v>82000</v>
      </c>
      <c r="I190" s="1">
        <v>1322</v>
      </c>
      <c r="J190" s="1">
        <v>1241</v>
      </c>
      <c r="K190" s="1">
        <v>11</v>
      </c>
      <c r="L190" s="1">
        <v>159</v>
      </c>
      <c r="M190" s="1" t="s">
        <v>23</v>
      </c>
      <c r="N190" s="1" t="s">
        <v>22</v>
      </c>
      <c r="O190" s="1">
        <f t="shared" si="4"/>
        <v>-159</v>
      </c>
      <c r="T190" s="1">
        <f>IF(H190&lt;=AA$2,1,IF(H190&lt;=AA$3,2,IF(H190&lt;=AA$4,3,IF(H190&lt;=AA$5,4,5))))</f>
        <v>2</v>
      </c>
      <c r="U190" s="1" t="str">
        <f t="shared" si="5"/>
        <v>Gold</v>
      </c>
    </row>
    <row r="191" spans="1:21">
      <c r="A191" s="1">
        <v>1576984</v>
      </c>
      <c r="B191" s="1" t="s">
        <v>19</v>
      </c>
      <c r="C191" s="1" t="s">
        <v>15</v>
      </c>
      <c r="D191" s="2">
        <v>24158</v>
      </c>
      <c r="E191" s="1" t="s">
        <v>16</v>
      </c>
      <c r="F191" s="1">
        <v>4</v>
      </c>
      <c r="G191" s="1">
        <v>90050</v>
      </c>
      <c r="H191" s="1">
        <v>87000</v>
      </c>
      <c r="I191" s="1">
        <v>152</v>
      </c>
      <c r="J191" s="1">
        <v>247</v>
      </c>
      <c r="K191" s="1">
        <v>6</v>
      </c>
      <c r="L191" s="1">
        <v>148</v>
      </c>
      <c r="M191" s="1" t="s">
        <v>21</v>
      </c>
      <c r="N191" s="1" t="s">
        <v>26</v>
      </c>
      <c r="O191" s="1">
        <f t="shared" si="4"/>
        <v>-148</v>
      </c>
      <c r="T191" s="1">
        <f>IF(H191&lt;=AA$2,1,IF(H191&lt;=AA$3,2,IF(H191&lt;=AA$4,3,IF(H191&lt;=AA$5,4,5))))</f>
        <v>3</v>
      </c>
      <c r="U191" s="1" t="str">
        <f t="shared" si="5"/>
        <v>Bronze</v>
      </c>
    </row>
    <row r="192" spans="1:21">
      <c r="A192" s="1">
        <v>1577095</v>
      </c>
      <c r="B192" s="1" t="s">
        <v>19</v>
      </c>
      <c r="C192" s="1" t="s">
        <v>20</v>
      </c>
      <c r="D192" s="2">
        <v>35768</v>
      </c>
      <c r="E192" s="1" t="s">
        <v>16</v>
      </c>
      <c r="F192" s="1">
        <v>2</v>
      </c>
      <c r="G192" s="1">
        <v>90030</v>
      </c>
      <c r="H192" s="1">
        <v>58000</v>
      </c>
      <c r="I192" s="1">
        <v>471</v>
      </c>
      <c r="J192" s="1">
        <v>319</v>
      </c>
      <c r="K192" s="1">
        <v>2</v>
      </c>
      <c r="L192" s="1">
        <v>128</v>
      </c>
      <c r="M192" s="1" t="s">
        <v>31</v>
      </c>
      <c r="N192" s="1" t="s">
        <v>18</v>
      </c>
      <c r="O192" s="1">
        <f t="shared" si="4"/>
        <v>-128</v>
      </c>
      <c r="T192" s="1">
        <f>IF(H192&lt;=AA$2,1,IF(H192&lt;=AA$3,2,IF(H192&lt;=AA$4,3,IF(H192&lt;=AA$5,4,5))))</f>
        <v>1</v>
      </c>
      <c r="U192" s="1" t="str">
        <f t="shared" si="5"/>
        <v>Silver</v>
      </c>
    </row>
    <row r="193" spans="1:21">
      <c r="A193" s="1">
        <v>1577691</v>
      </c>
      <c r="B193" s="1" t="s">
        <v>19</v>
      </c>
      <c r="C193" s="1" t="s">
        <v>24</v>
      </c>
      <c r="D193" s="2">
        <v>27846</v>
      </c>
      <c r="E193" s="1" t="s">
        <v>16</v>
      </c>
      <c r="F193" s="1">
        <v>5</v>
      </c>
      <c r="G193" s="1">
        <v>90001</v>
      </c>
      <c r="H193" s="1">
        <v>97000</v>
      </c>
      <c r="I193" s="1">
        <v>70</v>
      </c>
      <c r="J193" s="1">
        <v>89</v>
      </c>
      <c r="K193" s="1">
        <v>2</v>
      </c>
      <c r="L193" s="1">
        <v>205</v>
      </c>
      <c r="M193" s="1" t="s">
        <v>31</v>
      </c>
      <c r="N193" s="1" t="s">
        <v>22</v>
      </c>
      <c r="O193" s="1">
        <f t="shared" si="4"/>
        <v>-205</v>
      </c>
      <c r="T193" s="1">
        <f>IF(H193&lt;=AA$2,1,IF(H193&lt;=AA$3,2,IF(H193&lt;=AA$4,3,IF(H193&lt;=AA$5,4,5))))</f>
        <v>3</v>
      </c>
      <c r="U193" s="1" t="str">
        <f t="shared" si="5"/>
        <v>Bronze</v>
      </c>
    </row>
    <row r="194" spans="1:21">
      <c r="A194" s="1">
        <v>1577940</v>
      </c>
      <c r="B194" s="1" t="s">
        <v>14</v>
      </c>
      <c r="C194" s="1" t="s">
        <v>15</v>
      </c>
      <c r="D194" s="2">
        <v>26722</v>
      </c>
      <c r="E194" s="1" t="s">
        <v>16</v>
      </c>
      <c r="F194" s="1">
        <v>5</v>
      </c>
      <c r="G194" s="1">
        <v>90019</v>
      </c>
      <c r="H194" s="1">
        <v>94000</v>
      </c>
      <c r="I194" s="1">
        <v>634</v>
      </c>
      <c r="J194" s="1">
        <v>1206</v>
      </c>
      <c r="K194" s="1">
        <v>18</v>
      </c>
      <c r="L194" s="1">
        <v>181</v>
      </c>
      <c r="M194" s="1" t="s">
        <v>31</v>
      </c>
      <c r="N194" s="1" t="s">
        <v>26</v>
      </c>
      <c r="O194" s="1">
        <f t="shared" si="4"/>
        <v>-181</v>
      </c>
      <c r="T194" s="1">
        <f>IF(H194&lt;=AA$2,1,IF(H194&lt;=AA$3,2,IF(H194&lt;=AA$4,3,IF(H194&lt;=AA$5,4,5))))</f>
        <v>3</v>
      </c>
      <c r="U194" s="1" t="str">
        <f t="shared" si="5"/>
        <v>Gold</v>
      </c>
    </row>
    <row r="195" spans="1:21">
      <c r="A195" s="1">
        <v>1578327</v>
      </c>
      <c r="B195" s="1" t="s">
        <v>19</v>
      </c>
      <c r="C195" s="1" t="s">
        <v>24</v>
      </c>
      <c r="D195" s="2">
        <v>24708</v>
      </c>
      <c r="E195" s="1" t="s">
        <v>16</v>
      </c>
      <c r="F195" s="1">
        <v>1</v>
      </c>
      <c r="G195" s="1">
        <v>90024</v>
      </c>
      <c r="H195" s="1">
        <v>49000</v>
      </c>
      <c r="I195" s="1">
        <v>1015</v>
      </c>
      <c r="J195" s="1">
        <v>760</v>
      </c>
      <c r="K195" s="1">
        <v>11</v>
      </c>
      <c r="L195" s="1">
        <v>136</v>
      </c>
      <c r="M195" s="1" t="s">
        <v>21</v>
      </c>
      <c r="N195" s="1" t="s">
        <v>18</v>
      </c>
      <c r="O195" s="1">
        <f t="shared" ref="O195:O201" si="6">L195*-1</f>
        <v>-136</v>
      </c>
      <c r="T195" s="1">
        <f>IF(H195&lt;=AA$2,1,IF(H195&lt;=AA$3,2,IF(H195&lt;=AA$4,3,IF(H195&lt;=AA$5,4,5))))</f>
        <v>1</v>
      </c>
      <c r="U195" s="1" t="str">
        <f t="shared" ref="U195:U201" si="7">IF(J195&gt;=1000,"Gold",IF(J195&gt;=250,"Silver","Bronze"))</f>
        <v>Silver</v>
      </c>
    </row>
    <row r="196" spans="1:21">
      <c r="A196" s="1">
        <v>1578472</v>
      </c>
      <c r="B196" s="1" t="s">
        <v>14</v>
      </c>
      <c r="C196" s="1" t="s">
        <v>15</v>
      </c>
      <c r="D196" s="2">
        <v>22831</v>
      </c>
      <c r="E196" s="1" t="s">
        <v>16</v>
      </c>
      <c r="F196" s="1">
        <v>2</v>
      </c>
      <c r="G196" s="1">
        <v>90067</v>
      </c>
      <c r="H196" s="1">
        <v>76000</v>
      </c>
      <c r="I196" s="1">
        <v>385</v>
      </c>
      <c r="J196" s="1">
        <v>322</v>
      </c>
      <c r="K196" s="1">
        <v>7</v>
      </c>
      <c r="L196" s="1">
        <v>344</v>
      </c>
      <c r="M196" s="1" t="s">
        <v>23</v>
      </c>
      <c r="N196" s="1" t="s">
        <v>26</v>
      </c>
      <c r="O196" s="1">
        <f t="shared" si="6"/>
        <v>-344</v>
      </c>
      <c r="T196" s="1">
        <f>IF(H196&lt;=AA$2,1,IF(H196&lt;=AA$3,2,IF(H196&lt;=AA$4,3,IF(H196&lt;=AA$5,4,5))))</f>
        <v>2</v>
      </c>
      <c r="U196" s="1" t="str">
        <f t="shared" si="7"/>
        <v>Silver</v>
      </c>
    </row>
    <row r="197" spans="1:21">
      <c r="A197" s="1">
        <v>1578525</v>
      </c>
      <c r="B197" s="1" t="s">
        <v>19</v>
      </c>
      <c r="C197" s="1" t="s">
        <v>24</v>
      </c>
      <c r="D197" s="2">
        <v>23357</v>
      </c>
      <c r="E197" s="1" t="s">
        <v>16</v>
      </c>
      <c r="F197" s="1">
        <v>1</v>
      </c>
      <c r="G197" s="1">
        <v>90005</v>
      </c>
      <c r="H197" s="1">
        <v>82000</v>
      </c>
      <c r="I197" s="1">
        <v>1521</v>
      </c>
      <c r="J197" s="1">
        <v>1121</v>
      </c>
      <c r="K197" s="1">
        <v>25</v>
      </c>
      <c r="L197" s="1">
        <v>302</v>
      </c>
      <c r="M197" s="1" t="s">
        <v>31</v>
      </c>
      <c r="N197" s="1" t="s">
        <v>26</v>
      </c>
      <c r="O197" s="1">
        <f t="shared" si="6"/>
        <v>-302</v>
      </c>
      <c r="T197" s="1">
        <f>IF(H197&lt;=AA$2,1,IF(H197&lt;=AA$3,2,IF(H197&lt;=AA$4,3,IF(H197&lt;=AA$5,4,5))))</f>
        <v>2</v>
      </c>
      <c r="U197" s="1" t="str">
        <f t="shared" si="7"/>
        <v>Gold</v>
      </c>
    </row>
    <row r="198" spans="1:21">
      <c r="A198" s="1">
        <v>1579349</v>
      </c>
      <c r="B198" s="1" t="s">
        <v>19</v>
      </c>
      <c r="C198" s="1" t="s">
        <v>28</v>
      </c>
      <c r="D198" s="2">
        <v>29574</v>
      </c>
      <c r="E198" s="1" t="s">
        <v>16</v>
      </c>
      <c r="F198" s="1">
        <v>1</v>
      </c>
      <c r="G198" s="1">
        <v>90010</v>
      </c>
      <c r="H198" s="1">
        <v>49000</v>
      </c>
      <c r="I198" s="1">
        <v>217</v>
      </c>
      <c r="J198" s="1">
        <v>397</v>
      </c>
      <c r="K198" s="1">
        <v>10</v>
      </c>
      <c r="L198" s="1">
        <v>200</v>
      </c>
      <c r="M198" s="1" t="s">
        <v>31</v>
      </c>
      <c r="N198" s="1" t="s">
        <v>26</v>
      </c>
      <c r="O198" s="1">
        <f t="shared" si="6"/>
        <v>-200</v>
      </c>
      <c r="T198" s="1">
        <f>IF(H198&lt;=AA$2,1,IF(H198&lt;=AA$3,2,IF(H198&lt;=AA$4,3,IF(H198&lt;=AA$5,4,5))))</f>
        <v>1</v>
      </c>
      <c r="U198" s="1" t="str">
        <f t="shared" si="7"/>
        <v>Silver</v>
      </c>
    </row>
    <row r="199" spans="1:21">
      <c r="A199" s="1">
        <v>1579389</v>
      </c>
      <c r="B199" s="1" t="s">
        <v>14</v>
      </c>
      <c r="C199" s="1" t="s">
        <v>30</v>
      </c>
      <c r="D199" s="2">
        <v>36667</v>
      </c>
      <c r="E199" s="1" t="s">
        <v>16</v>
      </c>
      <c r="F199" s="1">
        <v>1</v>
      </c>
      <c r="G199" s="1">
        <v>90009</v>
      </c>
      <c r="H199" s="1">
        <v>50000</v>
      </c>
      <c r="I199" s="1">
        <v>625</v>
      </c>
      <c r="J199" s="1">
        <v>514</v>
      </c>
      <c r="K199" s="1">
        <v>10</v>
      </c>
      <c r="L199" s="1">
        <v>233</v>
      </c>
      <c r="M199" s="1" t="s">
        <v>32</v>
      </c>
      <c r="N199" s="1" t="s">
        <v>27</v>
      </c>
      <c r="O199" s="1">
        <f t="shared" si="6"/>
        <v>-233</v>
      </c>
      <c r="T199" s="1">
        <f>IF(H199&lt;=AA$2,1,IF(H199&lt;=AA$3,2,IF(H199&lt;=AA$4,3,IF(H199&lt;=AA$5,4,5))))</f>
        <v>1</v>
      </c>
      <c r="U199" s="1" t="str">
        <f t="shared" si="7"/>
        <v>Silver</v>
      </c>
    </row>
    <row r="200" spans="1:21">
      <c r="A200" s="1">
        <v>1579857</v>
      </c>
      <c r="B200" s="1" t="s">
        <v>14</v>
      </c>
      <c r="C200" s="1" t="s">
        <v>20</v>
      </c>
      <c r="D200" s="2">
        <v>33264</v>
      </c>
      <c r="E200" s="1" t="s">
        <v>16</v>
      </c>
      <c r="F200" s="1">
        <v>1</v>
      </c>
      <c r="G200" s="1">
        <v>90055</v>
      </c>
      <c r="H200" s="1">
        <v>52000</v>
      </c>
      <c r="I200" s="1">
        <v>325</v>
      </c>
      <c r="J200" s="1">
        <v>586</v>
      </c>
      <c r="K200" s="1">
        <v>13</v>
      </c>
      <c r="L200" s="1">
        <v>219</v>
      </c>
      <c r="M200" s="1" t="s">
        <v>32</v>
      </c>
      <c r="N200" s="1" t="s">
        <v>27</v>
      </c>
      <c r="O200" s="1">
        <f t="shared" si="6"/>
        <v>-219</v>
      </c>
      <c r="T200" s="1">
        <f>IF(H200&lt;=AA$2,1,IF(H200&lt;=AA$3,2,IF(H200&lt;=AA$4,3,IF(H200&lt;=AA$5,4,5))))</f>
        <v>1</v>
      </c>
      <c r="U200" s="1" t="str">
        <f t="shared" si="7"/>
        <v>Silver</v>
      </c>
    </row>
    <row r="201" spans="1:21">
      <c r="A201" s="1">
        <v>1579979</v>
      </c>
      <c r="B201" s="1" t="s">
        <v>19</v>
      </c>
      <c r="C201" s="1" t="s">
        <v>20</v>
      </c>
      <c r="D201" s="2">
        <v>36346</v>
      </c>
      <c r="E201" s="1" t="s">
        <v>16</v>
      </c>
      <c r="F201" s="1">
        <v>5</v>
      </c>
      <c r="G201" s="1">
        <v>90043</v>
      </c>
      <c r="H201" s="1">
        <v>102000</v>
      </c>
      <c r="I201" s="1">
        <v>1080</v>
      </c>
      <c r="J201" s="1">
        <v>926</v>
      </c>
      <c r="K201" s="1">
        <v>10</v>
      </c>
      <c r="L201" s="1">
        <v>113</v>
      </c>
      <c r="M201" s="1" t="s">
        <v>31</v>
      </c>
      <c r="N201" s="1" t="s">
        <v>18</v>
      </c>
      <c r="O201" s="1">
        <f t="shared" si="6"/>
        <v>-113</v>
      </c>
      <c r="T201" s="1">
        <f>IF(H201&lt;=AA$2,1,IF(H201&lt;=AA$3,2,IF(H201&lt;=AA$4,3,IF(H201&lt;=AA$5,4,5))))</f>
        <v>3</v>
      </c>
      <c r="U201" s="1" t="str">
        <f t="shared" si="7"/>
        <v>Silver</v>
      </c>
    </row>
  </sheetData>
  <mergeCells count="1">
    <mergeCell ref="X17:Z17"/>
  </mergeCells>
  <phoneticPr fontId="1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C4A2C4-A8F2-4B19-8087-D4E32C15D801}"/>
</file>

<file path=customXml/itemProps2.xml><?xml version="1.0" encoding="utf-8"?>
<ds:datastoreItem xmlns:ds="http://schemas.openxmlformats.org/officeDocument/2006/customXml" ds:itemID="{3409A0D4-0771-459E-BA1D-70B403CA3D8E}"/>
</file>

<file path=customXml/itemProps3.xml><?xml version="1.0" encoding="utf-8"?>
<ds:datastoreItem xmlns:ds="http://schemas.openxmlformats.org/officeDocument/2006/customXml" ds:itemID="{DC44AC2F-FEDB-4F8F-AB45-8706C49DA5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KRISSANA PIPUTPRUEDTIGUL</cp:lastModifiedBy>
  <cp:revision/>
  <dcterms:created xsi:type="dcterms:W3CDTF">2022-10-01T15:05:45Z</dcterms:created>
  <dcterms:modified xsi:type="dcterms:W3CDTF">2025-04-21T02:32:16Z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