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acture8 Data Treatment and Transformation/"/>
    </mc:Choice>
  </mc:AlternateContent>
  <xr:revisionPtr revIDLastSave="31" documentId="8_{6A0E9720-38BB-8741-988D-F8236F97F937}" xr6:coauthVersionLast="47" xr6:coauthVersionMax="47" xr10:uidLastSave="{C6A54309-2525-E94E-9C62-E8ABB45B4B06}"/>
  <bookViews>
    <workbookView xWindow="1740" yWindow="1820" windowWidth="27560" windowHeight="16440" xr2:uid="{F7B33AA0-8338-EC4F-84CC-242D09A607E9}"/>
  </bookViews>
  <sheets>
    <sheet name="Gig" sheetId="1" r:id="rId1"/>
    <sheet name="Sheet1" sheetId="2" r:id="rId2"/>
  </sheets>
  <definedNames>
    <definedName name="_xlnm._FilterDatabase" localSheetId="0" hidden="1">Gig!$A$1:$E$605</definedName>
  </definedNames>
  <calcPr calcId="191028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I4" i="2"/>
  <c r="I3" i="2"/>
  <c r="I2" i="2"/>
  <c r="G4" i="2"/>
  <c r="G3" i="2"/>
  <c r="G2" i="2"/>
  <c r="L2" i="1"/>
  <c r="I9" i="1"/>
  <c r="H9" i="1"/>
  <c r="I8" i="1"/>
  <c r="H8" i="1"/>
  <c r="I7" i="1"/>
  <c r="H7" i="1"/>
  <c r="I6" i="1"/>
  <c r="H6" i="1"/>
  <c r="L4" i="1"/>
  <c r="H4" i="1"/>
  <c r="L3" i="1"/>
  <c r="H3" i="1"/>
  <c r="E605" i="1"/>
  <c r="H2" i="1"/>
  <c r="E18" i="1" l="1"/>
  <c r="E30" i="1"/>
  <c r="E42" i="1"/>
  <c r="E54" i="1"/>
  <c r="E66" i="1"/>
  <c r="E78" i="1"/>
  <c r="E90" i="1"/>
  <c r="E102" i="1"/>
  <c r="E114" i="1"/>
  <c r="E126" i="1"/>
  <c r="E138" i="1"/>
  <c r="E150" i="1"/>
  <c r="E162" i="1"/>
  <c r="E174" i="1"/>
  <c r="E186" i="1"/>
  <c r="E198" i="1"/>
  <c r="E210" i="1"/>
  <c r="E222" i="1"/>
  <c r="E234" i="1"/>
  <c r="E246" i="1"/>
  <c r="E258" i="1"/>
  <c r="E270" i="1"/>
  <c r="E282" i="1"/>
  <c r="E294" i="1"/>
  <c r="E306" i="1"/>
  <c r="E318" i="1"/>
  <c r="E330" i="1"/>
  <c r="E342" i="1"/>
  <c r="E354" i="1"/>
  <c r="E366" i="1"/>
  <c r="E378" i="1"/>
  <c r="E390" i="1"/>
  <c r="E402" i="1"/>
  <c r="E414" i="1"/>
  <c r="E426" i="1"/>
  <c r="E438" i="1"/>
  <c r="E450" i="1"/>
  <c r="E462" i="1"/>
  <c r="E474" i="1"/>
  <c r="E486" i="1"/>
  <c r="E498" i="1"/>
  <c r="E510" i="1"/>
  <c r="E522" i="1"/>
  <c r="E534" i="1"/>
  <c r="E546" i="1"/>
  <c r="E558" i="1"/>
  <c r="E570" i="1"/>
  <c r="E582" i="1"/>
  <c r="E594" i="1"/>
  <c r="E9" i="1"/>
  <c r="E19" i="1"/>
  <c r="E31" i="1"/>
  <c r="E43" i="1"/>
  <c r="E55" i="1"/>
  <c r="E67" i="1"/>
  <c r="E79" i="1"/>
  <c r="E91" i="1"/>
  <c r="E103" i="1"/>
  <c r="E115" i="1"/>
  <c r="E127" i="1"/>
  <c r="E139" i="1"/>
  <c r="E151" i="1"/>
  <c r="E163" i="1"/>
  <c r="E175" i="1"/>
  <c r="E187" i="1"/>
  <c r="E199" i="1"/>
  <c r="E211" i="1"/>
  <c r="E223" i="1"/>
  <c r="E235" i="1"/>
  <c r="E247" i="1"/>
  <c r="E259" i="1"/>
  <c r="E271" i="1"/>
  <c r="E283" i="1"/>
  <c r="E295" i="1"/>
  <c r="E307" i="1"/>
  <c r="E319" i="1"/>
  <c r="E331" i="1"/>
  <c r="E343" i="1"/>
  <c r="E355" i="1"/>
  <c r="E367" i="1"/>
  <c r="E379" i="1"/>
  <c r="E391" i="1"/>
  <c r="E403" i="1"/>
  <c r="E415" i="1"/>
  <c r="E427" i="1"/>
  <c r="E439" i="1"/>
  <c r="E451" i="1"/>
  <c r="E463" i="1"/>
  <c r="E475" i="1"/>
  <c r="E487" i="1"/>
  <c r="E499" i="1"/>
  <c r="E511" i="1"/>
  <c r="E523" i="1"/>
  <c r="E535" i="1"/>
  <c r="E547" i="1"/>
  <c r="E559" i="1"/>
  <c r="E571" i="1"/>
  <c r="E583" i="1"/>
  <c r="E595" i="1"/>
  <c r="E20" i="1"/>
  <c r="E32" i="1"/>
  <c r="E44" i="1"/>
  <c r="E56" i="1"/>
  <c r="E68" i="1"/>
  <c r="E80" i="1"/>
  <c r="E92" i="1"/>
  <c r="E104" i="1"/>
  <c r="E116" i="1"/>
  <c r="E128" i="1"/>
  <c r="E140" i="1"/>
  <c r="E152" i="1"/>
  <c r="E164" i="1"/>
  <c r="E176" i="1"/>
  <c r="E188" i="1"/>
  <c r="E200" i="1"/>
  <c r="E212" i="1"/>
  <c r="E224" i="1"/>
  <c r="E236" i="1"/>
  <c r="E248" i="1"/>
  <c r="E260" i="1"/>
  <c r="E272" i="1"/>
  <c r="E284" i="1"/>
  <c r="E296" i="1"/>
  <c r="E308" i="1"/>
  <c r="E320" i="1"/>
  <c r="E332" i="1"/>
  <c r="E344" i="1"/>
  <c r="E356" i="1"/>
  <c r="E368" i="1"/>
  <c r="E380" i="1"/>
  <c r="E392" i="1"/>
  <c r="E404" i="1"/>
  <c r="E416" i="1"/>
  <c r="E428" i="1"/>
  <c r="E440" i="1"/>
  <c r="E452" i="1"/>
  <c r="E464" i="1"/>
  <c r="E476" i="1"/>
  <c r="E488" i="1"/>
  <c r="E500" i="1"/>
  <c r="E512" i="1"/>
  <c r="E524" i="1"/>
  <c r="E536" i="1"/>
  <c r="E548" i="1"/>
  <c r="E560" i="1"/>
  <c r="E572" i="1"/>
  <c r="E584" i="1"/>
  <c r="E596" i="1"/>
  <c r="E21" i="1"/>
  <c r="E33" i="1"/>
  <c r="E45" i="1"/>
  <c r="E57" i="1"/>
  <c r="E69" i="1"/>
  <c r="E81" i="1"/>
  <c r="E93" i="1"/>
  <c r="E105" i="1"/>
  <c r="E117" i="1"/>
  <c r="E129" i="1"/>
  <c r="E141" i="1"/>
  <c r="E153" i="1"/>
  <c r="E165" i="1"/>
  <c r="E177" i="1"/>
  <c r="E189" i="1"/>
  <c r="E201" i="1"/>
  <c r="E213" i="1"/>
  <c r="E225" i="1"/>
  <c r="E237" i="1"/>
  <c r="E249" i="1"/>
  <c r="E261" i="1"/>
  <c r="E273" i="1"/>
  <c r="E285" i="1"/>
  <c r="E297" i="1"/>
  <c r="E309" i="1"/>
  <c r="E321" i="1"/>
  <c r="E333" i="1"/>
  <c r="E345" i="1"/>
  <c r="E357" i="1"/>
  <c r="E369" i="1"/>
  <c r="E381" i="1"/>
  <c r="E393" i="1"/>
  <c r="E405" i="1"/>
  <c r="E417" i="1"/>
  <c r="E429" i="1"/>
  <c r="E441" i="1"/>
  <c r="E453" i="1"/>
  <c r="E465" i="1"/>
  <c r="E477" i="1"/>
  <c r="E489" i="1"/>
  <c r="E501" i="1"/>
  <c r="E513" i="1"/>
  <c r="E525" i="1"/>
  <c r="E537" i="1"/>
  <c r="E549" i="1"/>
  <c r="E561" i="1"/>
  <c r="E573" i="1"/>
  <c r="E585" i="1"/>
  <c r="E597" i="1"/>
  <c r="E3" i="1"/>
  <c r="E4" i="1"/>
  <c r="E5" i="1"/>
  <c r="E6" i="1"/>
  <c r="E10" i="1"/>
  <c r="E22" i="1"/>
  <c r="E34" i="1"/>
  <c r="E46" i="1"/>
  <c r="E58" i="1"/>
  <c r="E70" i="1"/>
  <c r="E82" i="1"/>
  <c r="E94" i="1"/>
  <c r="E106" i="1"/>
  <c r="E118" i="1"/>
  <c r="E130" i="1"/>
  <c r="E142" i="1"/>
  <c r="E154" i="1"/>
  <c r="E166" i="1"/>
  <c r="E178" i="1"/>
  <c r="E190" i="1"/>
  <c r="E202" i="1"/>
  <c r="E214" i="1"/>
  <c r="E226" i="1"/>
  <c r="E238" i="1"/>
  <c r="E250" i="1"/>
  <c r="E262" i="1"/>
  <c r="E274" i="1"/>
  <c r="E286" i="1"/>
  <c r="E298" i="1"/>
  <c r="E310" i="1"/>
  <c r="E322" i="1"/>
  <c r="E334" i="1"/>
  <c r="E346" i="1"/>
  <c r="E358" i="1"/>
  <c r="E370" i="1"/>
  <c r="E382" i="1"/>
  <c r="E394" i="1"/>
  <c r="E406" i="1"/>
  <c r="E418" i="1"/>
  <c r="E430" i="1"/>
  <c r="E442" i="1"/>
  <c r="E454" i="1"/>
  <c r="E466" i="1"/>
  <c r="E478" i="1"/>
  <c r="E490" i="1"/>
  <c r="E502" i="1"/>
  <c r="E514" i="1"/>
  <c r="E526" i="1"/>
  <c r="E538" i="1"/>
  <c r="E550" i="1"/>
  <c r="E562" i="1"/>
  <c r="E574" i="1"/>
  <c r="E586" i="1"/>
  <c r="E598" i="1"/>
  <c r="E11" i="1"/>
  <c r="E23" i="1"/>
  <c r="E35" i="1"/>
  <c r="E47" i="1"/>
  <c r="E59" i="1"/>
  <c r="E71" i="1"/>
  <c r="E83" i="1"/>
  <c r="E95" i="1"/>
  <c r="E107" i="1"/>
  <c r="E119" i="1"/>
  <c r="E131" i="1"/>
  <c r="E143" i="1"/>
  <c r="E155" i="1"/>
  <c r="E167" i="1"/>
  <c r="E179" i="1"/>
  <c r="E191" i="1"/>
  <c r="E203" i="1"/>
  <c r="E215" i="1"/>
  <c r="E227" i="1"/>
  <c r="E239" i="1"/>
  <c r="E251" i="1"/>
  <c r="E263" i="1"/>
  <c r="E275" i="1"/>
  <c r="E287" i="1"/>
  <c r="E299" i="1"/>
  <c r="E311" i="1"/>
  <c r="E323" i="1"/>
  <c r="E335" i="1"/>
  <c r="E347" i="1"/>
  <c r="E359" i="1"/>
  <c r="E371" i="1"/>
  <c r="E383" i="1"/>
  <c r="E395" i="1"/>
  <c r="E407" i="1"/>
  <c r="E419" i="1"/>
  <c r="E431" i="1"/>
  <c r="E443" i="1"/>
  <c r="E455" i="1"/>
  <c r="E467" i="1"/>
  <c r="E479" i="1"/>
  <c r="E491" i="1"/>
  <c r="E503" i="1"/>
  <c r="E515" i="1"/>
  <c r="E527" i="1"/>
  <c r="E539" i="1"/>
  <c r="E551" i="1"/>
  <c r="E563" i="1"/>
  <c r="E575" i="1"/>
  <c r="E587" i="1"/>
  <c r="E599" i="1"/>
  <c r="E12" i="1"/>
  <c r="E24" i="1"/>
  <c r="E36" i="1"/>
  <c r="E48" i="1"/>
  <c r="E60" i="1"/>
  <c r="E72" i="1"/>
  <c r="E84" i="1"/>
  <c r="E96" i="1"/>
  <c r="E108" i="1"/>
  <c r="E120" i="1"/>
  <c r="E132" i="1"/>
  <c r="E144" i="1"/>
  <c r="E156" i="1"/>
  <c r="E168" i="1"/>
  <c r="E180" i="1"/>
  <c r="E192" i="1"/>
  <c r="E204" i="1"/>
  <c r="E216" i="1"/>
  <c r="E228" i="1"/>
  <c r="E240" i="1"/>
  <c r="E252" i="1"/>
  <c r="E264" i="1"/>
  <c r="E276" i="1"/>
  <c r="E288" i="1"/>
  <c r="E300" i="1"/>
  <c r="E312" i="1"/>
  <c r="E324" i="1"/>
  <c r="E336" i="1"/>
  <c r="E348" i="1"/>
  <c r="E360" i="1"/>
  <c r="E372" i="1"/>
  <c r="E384" i="1"/>
  <c r="E396" i="1"/>
  <c r="E408" i="1"/>
  <c r="E420" i="1"/>
  <c r="E432" i="1"/>
  <c r="E444" i="1"/>
  <c r="E456" i="1"/>
  <c r="E468" i="1"/>
  <c r="E480" i="1"/>
  <c r="E492" i="1"/>
  <c r="E504" i="1"/>
  <c r="E516" i="1"/>
  <c r="E528" i="1"/>
  <c r="E540" i="1"/>
  <c r="E552" i="1"/>
  <c r="E564" i="1"/>
  <c r="E576" i="1"/>
  <c r="E588" i="1"/>
  <c r="E600" i="1"/>
  <c r="E7" i="1"/>
  <c r="E13" i="1"/>
  <c r="E25" i="1"/>
  <c r="E37" i="1"/>
  <c r="E49" i="1"/>
  <c r="E61" i="1"/>
  <c r="E73" i="1"/>
  <c r="E85" i="1"/>
  <c r="E97" i="1"/>
  <c r="E109" i="1"/>
  <c r="E121" i="1"/>
  <c r="E133" i="1"/>
  <c r="E145" i="1"/>
  <c r="E157" i="1"/>
  <c r="E169" i="1"/>
  <c r="E181" i="1"/>
  <c r="E193" i="1"/>
  <c r="E205" i="1"/>
  <c r="E217" i="1"/>
  <c r="E229" i="1"/>
  <c r="E241" i="1"/>
  <c r="E253" i="1"/>
  <c r="E265" i="1"/>
  <c r="E277" i="1"/>
  <c r="E289" i="1"/>
  <c r="E301" i="1"/>
  <c r="E313" i="1"/>
  <c r="E325" i="1"/>
  <c r="E337" i="1"/>
  <c r="E349" i="1"/>
  <c r="E361" i="1"/>
  <c r="E373" i="1"/>
  <c r="E385" i="1"/>
  <c r="E397" i="1"/>
  <c r="E409" i="1"/>
  <c r="E421" i="1"/>
  <c r="E433" i="1"/>
  <c r="E445" i="1"/>
  <c r="E457" i="1"/>
  <c r="E469" i="1"/>
  <c r="E481" i="1"/>
  <c r="E493" i="1"/>
  <c r="E505" i="1"/>
  <c r="E517" i="1"/>
  <c r="E529" i="1"/>
  <c r="E541" i="1"/>
  <c r="E553" i="1"/>
  <c r="E565" i="1"/>
  <c r="E577" i="1"/>
  <c r="E589" i="1"/>
  <c r="E601" i="1"/>
  <c r="E14" i="1"/>
  <c r="E26" i="1"/>
  <c r="E38" i="1"/>
  <c r="E50" i="1"/>
  <c r="E62" i="1"/>
  <c r="E74" i="1"/>
  <c r="E86" i="1"/>
  <c r="E98" i="1"/>
  <c r="E110" i="1"/>
  <c r="E122" i="1"/>
  <c r="E134" i="1"/>
  <c r="E146" i="1"/>
  <c r="E158" i="1"/>
  <c r="E170" i="1"/>
  <c r="E182" i="1"/>
  <c r="E194" i="1"/>
  <c r="E206" i="1"/>
  <c r="E218" i="1"/>
  <c r="E230" i="1"/>
  <c r="E242" i="1"/>
  <c r="E254" i="1"/>
  <c r="E266" i="1"/>
  <c r="E278" i="1"/>
  <c r="E290" i="1"/>
  <c r="E302" i="1"/>
  <c r="E314" i="1"/>
  <c r="E326" i="1"/>
  <c r="E338" i="1"/>
  <c r="E350" i="1"/>
  <c r="E362" i="1"/>
  <c r="E374" i="1"/>
  <c r="E386" i="1"/>
  <c r="E398" i="1"/>
  <c r="E410" i="1"/>
  <c r="E422" i="1"/>
  <c r="E434" i="1"/>
  <c r="E446" i="1"/>
  <c r="E458" i="1"/>
  <c r="E470" i="1"/>
  <c r="E482" i="1"/>
  <c r="E494" i="1"/>
  <c r="E506" i="1"/>
  <c r="E518" i="1"/>
  <c r="E530" i="1"/>
  <c r="E542" i="1"/>
  <c r="E554" i="1"/>
  <c r="E566" i="1"/>
  <c r="E578" i="1"/>
  <c r="E590" i="1"/>
  <c r="E602" i="1"/>
  <c r="E15" i="1"/>
  <c r="E27" i="1"/>
  <c r="E39" i="1"/>
  <c r="E51" i="1"/>
  <c r="E63" i="1"/>
  <c r="E75" i="1"/>
  <c r="E87" i="1"/>
  <c r="E99" i="1"/>
  <c r="E111" i="1"/>
  <c r="E123" i="1"/>
  <c r="E135" i="1"/>
  <c r="E147" i="1"/>
  <c r="E159" i="1"/>
  <c r="E171" i="1"/>
  <c r="E183" i="1"/>
  <c r="E195" i="1"/>
  <c r="E207" i="1"/>
  <c r="E219" i="1"/>
  <c r="E231" i="1"/>
  <c r="E243" i="1"/>
  <c r="E255" i="1"/>
  <c r="E267" i="1"/>
  <c r="E279" i="1"/>
  <c r="E291" i="1"/>
  <c r="E303" i="1"/>
  <c r="E315" i="1"/>
  <c r="E327" i="1"/>
  <c r="E339" i="1"/>
  <c r="E351" i="1"/>
  <c r="E363" i="1"/>
  <c r="E375" i="1"/>
  <c r="E387" i="1"/>
  <c r="E399" i="1"/>
  <c r="E411" i="1"/>
  <c r="E423" i="1"/>
  <c r="E435" i="1"/>
  <c r="E447" i="1"/>
  <c r="E459" i="1"/>
  <c r="E471" i="1"/>
  <c r="E483" i="1"/>
  <c r="E495" i="1"/>
  <c r="E507" i="1"/>
  <c r="E519" i="1"/>
  <c r="E531" i="1"/>
  <c r="E543" i="1"/>
  <c r="E555" i="1"/>
  <c r="E567" i="1"/>
  <c r="E579" i="1"/>
  <c r="E591" i="1"/>
  <c r="E603" i="1"/>
  <c r="E2" i="1"/>
  <c r="E8" i="1"/>
  <c r="E16" i="1"/>
  <c r="E28" i="1"/>
  <c r="E40" i="1"/>
  <c r="E52" i="1"/>
  <c r="E64" i="1"/>
  <c r="E76" i="1"/>
  <c r="E88" i="1"/>
  <c r="E100" i="1"/>
  <c r="E112" i="1"/>
  <c r="E124" i="1"/>
  <c r="E136" i="1"/>
  <c r="E148" i="1"/>
  <c r="E160" i="1"/>
  <c r="E172" i="1"/>
  <c r="E184" i="1"/>
  <c r="E196" i="1"/>
  <c r="E208" i="1"/>
  <c r="E220" i="1"/>
  <c r="E232" i="1"/>
  <c r="E244" i="1"/>
  <c r="E256" i="1"/>
  <c r="E268" i="1"/>
  <c r="E280" i="1"/>
  <c r="E292" i="1"/>
  <c r="E304" i="1"/>
  <c r="E316" i="1"/>
  <c r="E328" i="1"/>
  <c r="E340" i="1"/>
  <c r="E352" i="1"/>
  <c r="E364" i="1"/>
  <c r="E376" i="1"/>
  <c r="E388" i="1"/>
  <c r="E400" i="1"/>
  <c r="E412" i="1"/>
  <c r="E424" i="1"/>
  <c r="E436" i="1"/>
  <c r="E448" i="1"/>
  <c r="E460" i="1"/>
  <c r="E472" i="1"/>
  <c r="E484" i="1"/>
  <c r="E496" i="1"/>
  <c r="E508" i="1"/>
  <c r="E520" i="1"/>
  <c r="E532" i="1"/>
  <c r="E544" i="1"/>
  <c r="E556" i="1"/>
  <c r="E568" i="1"/>
  <c r="E580" i="1"/>
  <c r="E592" i="1"/>
  <c r="E604" i="1"/>
  <c r="E17" i="1"/>
  <c r="E29" i="1"/>
  <c r="E41" i="1"/>
  <c r="E53" i="1"/>
  <c r="E65" i="1"/>
  <c r="E77" i="1"/>
  <c r="E89" i="1"/>
  <c r="E101" i="1"/>
  <c r="E113" i="1"/>
  <c r="E125" i="1"/>
  <c r="E137" i="1"/>
  <c r="E149" i="1"/>
  <c r="E161" i="1"/>
  <c r="E173" i="1"/>
  <c r="E185" i="1"/>
  <c r="E197" i="1"/>
  <c r="E209" i="1"/>
  <c r="E221" i="1"/>
  <c r="E233" i="1"/>
  <c r="E245" i="1"/>
  <c r="E257" i="1"/>
  <c r="E269" i="1"/>
  <c r="E281" i="1"/>
  <c r="E293" i="1"/>
  <c r="E305" i="1"/>
  <c r="E317" i="1"/>
  <c r="E329" i="1"/>
  <c r="E341" i="1"/>
  <c r="E353" i="1"/>
  <c r="E365" i="1"/>
  <c r="E377" i="1"/>
  <c r="E389" i="1"/>
  <c r="E401" i="1"/>
  <c r="E413" i="1"/>
  <c r="E425" i="1"/>
  <c r="E437" i="1"/>
  <c r="E449" i="1"/>
  <c r="E461" i="1"/>
  <c r="E473" i="1"/>
  <c r="E485" i="1"/>
  <c r="E497" i="1"/>
  <c r="E509" i="1"/>
  <c r="E521" i="1"/>
  <c r="E533" i="1"/>
  <c r="E545" i="1"/>
  <c r="E557" i="1"/>
  <c r="E569" i="1"/>
  <c r="E581" i="1"/>
  <c r="E593" i="1"/>
  <c r="B2" i="2" l="1"/>
</calcChain>
</file>

<file path=xl/sharedStrings.xml><?xml version="1.0" encoding="utf-8"?>
<sst xmlns="http://schemas.openxmlformats.org/spreadsheetml/2006/main" count="1210" uniqueCount="34">
  <si>
    <t>EmployeeID</t>
  </si>
  <si>
    <t>HourlyWage</t>
  </si>
  <si>
    <t>Industry</t>
  </si>
  <si>
    <t>Job</t>
  </si>
  <si>
    <t>categorical labels</t>
  </si>
  <si>
    <t>Exercise / Homework for Lecture 8</t>
  </si>
  <si>
    <t>Construction</t>
  </si>
  <si>
    <t>Analyst</t>
  </si>
  <si>
    <t>(1) worked in the automotive industry,</t>
  </si>
  <si>
    <t>Low</t>
  </si>
  <si>
    <t>Automotive</t>
  </si>
  <si>
    <t>Engineer</t>
  </si>
  <si>
    <t>(2) earned more than $30 per hour</t>
  </si>
  <si>
    <t>Medium</t>
  </si>
  <si>
    <t>Sales Rep</t>
  </si>
  <si>
    <t>(3) worked in the automotive industry and earned more than $30 per hour.</t>
  </si>
  <si>
    <t>High</t>
  </si>
  <si>
    <t>Other</t>
  </si>
  <si>
    <t>(4) the manager would like to know the hourly wage of the lowest-and the highest-paid employees at the company as a whole and the hourly wage of the lowest- and the highest-paid accountants who worked in the automotive and the tech industries.</t>
  </si>
  <si>
    <t>Accountant</t>
  </si>
  <si>
    <t>Max of  Accountant in Automotive</t>
  </si>
  <si>
    <t>Min of  Accountant in Automotive</t>
  </si>
  <si>
    <t>Max of  Accountant in Tech</t>
  </si>
  <si>
    <t>Programmer</t>
  </si>
  <si>
    <t>Min of  Accountant in Tech</t>
  </si>
  <si>
    <t>Consultant</t>
  </si>
  <si>
    <t>(5) transform the HourlyWage into 3 equal-width bins with categorical labels of Low, Medium, and High. Subsetting the data in to these 3 groups.</t>
  </si>
  <si>
    <t>Column E</t>
  </si>
  <si>
    <t>Tech</t>
  </si>
  <si>
    <t>TOTAL_RATE</t>
  </si>
  <si>
    <t>นับจำนวน ของ TOTAL_RATE</t>
  </si>
  <si>
    <t>PERCENTILE</t>
  </si>
  <si>
    <t>NO</t>
  </si>
  <si>
    <t>ผลรวมทั้งหมด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</si>
</sst>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3.5"/>
      <color rgb="FF000000"/>
      <name val="Times New Roman"/>
      <family val="1"/>
    </font>
    <font>
      <sz val="11"/>
      <color rgb="FF242424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0" borderId="0" xfId="0" pivotButton="1"/>
    <xf numFmtId="0" fontId="2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770.694236111114" createdVersion="8" refreshedVersion="8" minRefreshableVersion="3" recordCount="1078" xr:uid="{F0E1E7B7-6DFB-4B2D-AC9C-F590FA03C0A2}">
  <cacheSource type="worksheet">
    <worksheetSource ref="A1:A1079" sheet="Sheet1"/>
  </cacheSource>
  <cacheFields count="1">
    <cacheField name="TOTAL_RATE" numFmtId="0">
      <sharedItems containsSemiMixedTypes="0" containsString="0" containsNumber="1" minValue="3.8924500000000002" maxValue="6.7" count="141">
        <n v="5"/>
        <n v="4"/>
        <n v="3.97085"/>
        <n v="4.5"/>
        <n v="5.0966699999999996"/>
        <n v="4.5483799999999999"/>
        <n v="4.75"/>
        <n v="4.25"/>
        <n v="5.0391300000000001"/>
        <n v="4.6386700000000003"/>
        <n v="4.2742500000000003"/>
        <n v="6"/>
        <n v="5.75"/>
        <n v="3.9378299999999999"/>
        <n v="3.9843700000000002"/>
        <n v="3.9464800000000002"/>
        <n v="5.0970700000000004"/>
        <n v="5.0006199999999996"/>
        <n v="4.23339"/>
        <n v="4.9000000000000004"/>
        <n v="5.0485300000000004"/>
        <n v="4.5241899999999999"/>
        <n v="5.5794300000000003"/>
        <n v="5.25"/>
        <n v="5.0999999999999996"/>
        <n v="5.0613000000000001"/>
        <n v="4.9930300000000001"/>
        <n v="4.95"/>
        <n v="5.1484800000000002"/>
        <n v="4.5999999999999996"/>
        <n v="5.35"/>
        <n v="4.8499999999999996"/>
        <n v="4.3"/>
        <n v="5.1679599999999999"/>
        <n v="4.6640600000000001"/>
        <n v="4.55"/>
        <n v="5.5"/>
        <n v="5.4"/>
        <n v="4.6628699999999998"/>
        <n v="4.9609300000000003"/>
        <n v="4.7"/>
        <n v="4.8234300000000001"/>
        <n v="4.5882300000000003"/>
        <n v="5.2"/>
        <n v="5.0302699999999998"/>
        <n v="4.6399999999999997"/>
        <n v="5.3468200000000001"/>
        <n v="4.30572"/>
        <n v="4.2942499999999999"/>
        <n v="4.6243600000000002"/>
        <n v="4.41"/>
        <n v="5.0728"/>
        <n v="4.6500000000000004"/>
        <n v="4.63"/>
        <n v="4.4682899999999997"/>
        <n v="5.3967700000000001"/>
        <n v="4.6406200000000002"/>
        <n v="4.5487700000000002"/>
        <n v="4.8658400000000004"/>
        <n v="5.3"/>
        <n v="4.20519"/>
        <n v="4.6618599999999999"/>
        <n v="5.15"/>
        <n v="4.46"/>
        <n v="4.99688"/>
        <n v="4.0198099999999997"/>
        <n v="4.6221100000000002"/>
        <n v="5.02407"/>
        <n v="5.3725699999999996"/>
        <n v="5.0481400000000001"/>
        <n v="4.9689399999999999"/>
        <n v="4.5724099999999996"/>
        <n v="5.5241400000000001"/>
        <n v="4.6448700000000001"/>
        <n v="4.4296800000000003"/>
        <n v="4.2239500000000003"/>
        <n v="5.3940599999999996"/>
        <n v="5.1441299999999996"/>
        <n v="5.2742000000000004"/>
        <n v="5.1564500000000004"/>
        <n v="4.6266699999999998"/>
        <n v="5.7172999999999998"/>
        <n v="5.2421800000000003"/>
        <n v="4.2984099999999996"/>
        <n v="4.6579899999999999"/>
        <n v="4.79826"/>
        <n v="5.6309500000000003"/>
        <n v="4.5167999999999999"/>
        <n v="4.4211799999999997"/>
        <n v="4.1500000000000004"/>
        <n v="6.7"/>
        <n v="6.2"/>
        <n v="6.3"/>
        <n v="4.4194399999999998"/>
        <n v="4.7699999999999996"/>
        <n v="5.0484099999999996"/>
        <n v="4.7655900000000004"/>
        <n v="4.0349399999999997"/>
        <n v="3.8924500000000002"/>
        <n v="4.0366099999999996"/>
        <n v="4.8"/>
        <n v="4.0076400000000003"/>
        <n v="4.0117500000000001"/>
        <n v="5.1992099999999999"/>
        <n v="4.1698700000000004"/>
        <n v="4.8056599999999996"/>
        <n v="4.4365399999999999"/>
        <n v="5.6672599999999997"/>
        <n v="6.5239000000000003"/>
        <n v="4.2984"/>
        <n v="4.8960900000000001"/>
        <n v="4.9960899999999997"/>
        <n v="4.0243099999999998"/>
        <n v="4.9804599999999999"/>
        <n v="3.96875"/>
        <n v="4.0103299999999997"/>
        <n v="4.5193099999999999"/>
        <n v="5.0018099999999999"/>
        <n v="4.0115100000000004"/>
        <n v="6.0480400000000003"/>
        <n v="5.8216599999999996"/>
        <n v="4.17021"/>
        <n v="4.0029000000000003"/>
        <n v="4.0069499999999998"/>
        <n v="4.5531699999999997"/>
        <n v="4.0155799999999999"/>
        <n v="4.4303800000000004"/>
        <n v="4.5163000000000002"/>
        <n v="4.1017900000000003"/>
        <n v="4.0999999999999996"/>
        <n v="4.7338800000000001"/>
        <n v="4.2"/>
        <n v="5.1213300000000004"/>
        <n v="4.02372"/>
        <n v="5.0479399999999996"/>
        <n v="4.4000000000000004"/>
        <n v="5.3709800000000003"/>
        <n v="5.1203500000000002"/>
        <n v="4.17"/>
        <n v="4.5540000000000003"/>
        <n v="4.65399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8">
  <r>
    <x v="0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3"/>
  </r>
  <r>
    <x v="3"/>
  </r>
  <r>
    <x v="1"/>
  </r>
  <r>
    <x v="2"/>
  </r>
  <r>
    <x v="1"/>
  </r>
  <r>
    <x v="1"/>
  </r>
  <r>
    <x v="4"/>
  </r>
  <r>
    <x v="0"/>
  </r>
  <r>
    <x v="5"/>
  </r>
  <r>
    <x v="6"/>
  </r>
  <r>
    <x v="3"/>
  </r>
  <r>
    <x v="3"/>
  </r>
  <r>
    <x v="3"/>
  </r>
  <r>
    <x v="3"/>
  </r>
  <r>
    <x v="3"/>
  </r>
  <r>
    <x v="1"/>
  </r>
  <r>
    <x v="1"/>
  </r>
  <r>
    <x v="7"/>
  </r>
  <r>
    <x v="7"/>
  </r>
  <r>
    <x v="1"/>
  </r>
  <r>
    <x v="8"/>
  </r>
  <r>
    <x v="0"/>
  </r>
  <r>
    <x v="1"/>
  </r>
  <r>
    <x v="3"/>
  </r>
  <r>
    <x v="7"/>
  </r>
  <r>
    <x v="9"/>
  </r>
  <r>
    <x v="9"/>
  </r>
  <r>
    <x v="9"/>
  </r>
  <r>
    <x v="9"/>
  </r>
  <r>
    <x v="9"/>
  </r>
  <r>
    <x v="1"/>
  </r>
  <r>
    <x v="10"/>
  </r>
  <r>
    <x v="10"/>
  </r>
  <r>
    <x v="10"/>
  </r>
  <r>
    <x v="0"/>
  </r>
  <r>
    <x v="6"/>
  </r>
  <r>
    <x v="3"/>
  </r>
  <r>
    <x v="1"/>
  </r>
  <r>
    <x v="3"/>
  </r>
  <r>
    <x v="3"/>
  </r>
  <r>
    <x v="3"/>
  </r>
  <r>
    <x v="6"/>
  </r>
  <r>
    <x v="2"/>
  </r>
  <r>
    <x v="1"/>
  </r>
  <r>
    <x v="1"/>
  </r>
  <r>
    <x v="6"/>
  </r>
  <r>
    <x v="3"/>
  </r>
  <r>
    <x v="7"/>
  </r>
  <r>
    <x v="6"/>
  </r>
  <r>
    <x v="3"/>
  </r>
  <r>
    <x v="1"/>
  </r>
  <r>
    <x v="3"/>
  </r>
  <r>
    <x v="11"/>
  </r>
  <r>
    <x v="12"/>
  </r>
  <r>
    <x v="1"/>
  </r>
  <r>
    <x v="13"/>
  </r>
  <r>
    <x v="13"/>
  </r>
  <r>
    <x v="1"/>
  </r>
  <r>
    <x v="0"/>
  </r>
  <r>
    <x v="0"/>
  </r>
  <r>
    <x v="0"/>
  </r>
  <r>
    <x v="0"/>
  </r>
  <r>
    <x v="0"/>
  </r>
  <r>
    <x v="0"/>
  </r>
  <r>
    <x v="7"/>
  </r>
  <r>
    <x v="9"/>
  </r>
  <r>
    <x v="9"/>
  </r>
  <r>
    <x v="9"/>
  </r>
  <r>
    <x v="9"/>
  </r>
  <r>
    <x v="9"/>
  </r>
  <r>
    <x v="14"/>
  </r>
  <r>
    <x v="14"/>
  </r>
  <r>
    <x v="15"/>
  </r>
  <r>
    <x v="1"/>
  </r>
  <r>
    <x v="1"/>
  </r>
  <r>
    <x v="1"/>
  </r>
  <r>
    <x v="1"/>
  </r>
  <r>
    <x v="3"/>
  </r>
  <r>
    <x v="3"/>
  </r>
  <r>
    <x v="6"/>
  </r>
  <r>
    <x v="0"/>
  </r>
  <r>
    <x v="3"/>
  </r>
  <r>
    <x v="7"/>
  </r>
  <r>
    <x v="16"/>
  </r>
  <r>
    <x v="7"/>
  </r>
  <r>
    <x v="17"/>
  </r>
  <r>
    <x v="18"/>
  </r>
  <r>
    <x v="1"/>
  </r>
  <r>
    <x v="1"/>
  </r>
  <r>
    <x v="7"/>
  </r>
  <r>
    <x v="0"/>
  </r>
  <r>
    <x v="19"/>
  </r>
  <r>
    <x v="19"/>
  </r>
  <r>
    <x v="20"/>
  </r>
  <r>
    <x v="3"/>
  </r>
  <r>
    <x v="3"/>
  </r>
  <r>
    <x v="6"/>
  </r>
  <r>
    <x v="5"/>
  </r>
  <r>
    <x v="2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2"/>
  </r>
  <r>
    <x v="1"/>
  </r>
  <r>
    <x v="1"/>
  </r>
  <r>
    <x v="1"/>
  </r>
  <r>
    <x v="1"/>
  </r>
  <r>
    <x v="1"/>
  </r>
  <r>
    <x v="1"/>
  </r>
  <r>
    <x v="0"/>
  </r>
  <r>
    <x v="23"/>
  </r>
  <r>
    <x v="23"/>
  </r>
  <r>
    <x v="21"/>
  </r>
  <r>
    <x v="0"/>
  </r>
  <r>
    <x v="0"/>
  </r>
  <r>
    <x v="0"/>
  </r>
  <r>
    <x v="6"/>
  </r>
  <r>
    <x v="6"/>
  </r>
  <r>
    <x v="6"/>
  </r>
  <r>
    <x v="19"/>
  </r>
  <r>
    <x v="0"/>
  </r>
  <r>
    <x v="0"/>
  </r>
  <r>
    <x v="0"/>
  </r>
  <r>
    <x v="0"/>
  </r>
  <r>
    <x v="0"/>
  </r>
  <r>
    <x v="0"/>
  </r>
  <r>
    <x v="24"/>
  </r>
  <r>
    <x v="24"/>
  </r>
  <r>
    <x v="24"/>
  </r>
  <r>
    <x v="7"/>
  </r>
  <r>
    <x v="16"/>
  </r>
  <r>
    <x v="7"/>
  </r>
  <r>
    <x v="17"/>
  </r>
  <r>
    <x v="18"/>
  </r>
  <r>
    <x v="1"/>
  </r>
  <r>
    <x v="1"/>
  </r>
  <r>
    <x v="25"/>
  </r>
  <r>
    <x v="26"/>
  </r>
  <r>
    <x v="2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8"/>
  </r>
  <r>
    <x v="19"/>
  </r>
  <r>
    <x v="29"/>
  </r>
  <r>
    <x v="7"/>
  </r>
  <r>
    <x v="19"/>
  </r>
  <r>
    <x v="29"/>
  </r>
  <r>
    <x v="7"/>
  </r>
  <r>
    <x v="8"/>
  </r>
  <r>
    <x v="30"/>
  </r>
  <r>
    <x v="31"/>
  </r>
  <r>
    <x v="29"/>
  </r>
  <r>
    <x v="32"/>
  </r>
  <r>
    <x v="3"/>
  </r>
  <r>
    <x v="7"/>
  </r>
  <r>
    <x v="6"/>
  </r>
  <r>
    <x v="6"/>
  </r>
  <r>
    <x v="7"/>
  </r>
  <r>
    <x v="7"/>
  </r>
  <r>
    <x v="7"/>
  </r>
  <r>
    <x v="33"/>
  </r>
  <r>
    <x v="3"/>
  </r>
  <r>
    <x v="3"/>
  </r>
  <r>
    <x v="0"/>
  </r>
  <r>
    <x v="0"/>
  </r>
  <r>
    <x v="0"/>
  </r>
  <r>
    <x v="11"/>
  </r>
  <r>
    <x v="34"/>
  </r>
  <r>
    <x v="35"/>
  </r>
  <r>
    <x v="7"/>
  </r>
  <r>
    <x v="7"/>
  </r>
  <r>
    <x v="36"/>
  </r>
  <r>
    <x v="36"/>
  </r>
  <r>
    <x v="3"/>
  </r>
  <r>
    <x v="3"/>
  </r>
  <r>
    <x v="19"/>
  </r>
  <r>
    <x v="37"/>
  </r>
  <r>
    <x v="7"/>
  </r>
  <r>
    <x v="1"/>
  </r>
  <r>
    <x v="1"/>
  </r>
  <r>
    <x v="38"/>
  </r>
  <r>
    <x v="39"/>
  </r>
  <r>
    <x v="21"/>
  </r>
  <r>
    <x v="32"/>
  </r>
  <r>
    <x v="32"/>
  </r>
  <r>
    <x v="7"/>
  </r>
  <r>
    <x v="7"/>
  </r>
  <r>
    <x v="40"/>
  </r>
  <r>
    <x v="19"/>
  </r>
  <r>
    <x v="23"/>
  </r>
  <r>
    <x v="41"/>
  </r>
  <r>
    <x v="34"/>
  </r>
  <r>
    <x v="23"/>
  </r>
  <r>
    <x v="42"/>
  </r>
  <r>
    <x v="43"/>
  </r>
  <r>
    <x v="43"/>
  </r>
  <r>
    <x v="3"/>
  </r>
  <r>
    <x v="3"/>
  </r>
  <r>
    <x v="44"/>
  </r>
  <r>
    <x v="24"/>
  </r>
  <r>
    <x v="45"/>
  </r>
  <r>
    <x v="9"/>
  </r>
  <r>
    <x v="46"/>
  </r>
  <r>
    <x v="29"/>
  </r>
  <r>
    <x v="34"/>
  </r>
  <r>
    <x v="23"/>
  </r>
  <r>
    <x v="43"/>
  </r>
  <r>
    <x v="11"/>
  </r>
  <r>
    <x v="11"/>
  </r>
  <r>
    <x v="9"/>
  </r>
  <r>
    <x v="6"/>
  </r>
  <r>
    <x v="31"/>
  </r>
  <r>
    <x v="3"/>
  </r>
  <r>
    <x v="3"/>
  </r>
  <r>
    <x v="9"/>
  </r>
  <r>
    <x v="9"/>
  </r>
  <r>
    <x v="47"/>
  </r>
  <r>
    <x v="48"/>
  </r>
  <r>
    <x v="49"/>
  </r>
  <r>
    <x v="7"/>
  </r>
  <r>
    <x v="50"/>
  </r>
  <r>
    <x v="34"/>
  </r>
  <r>
    <x v="51"/>
  </r>
  <r>
    <x v="6"/>
  </r>
  <r>
    <x v="0"/>
  </r>
  <r>
    <x v="0"/>
  </r>
  <r>
    <x v="0"/>
  </r>
  <r>
    <x v="0"/>
  </r>
  <r>
    <x v="18"/>
  </r>
  <r>
    <x v="1"/>
  </r>
  <r>
    <x v="1"/>
  </r>
  <r>
    <x v="52"/>
  </r>
  <r>
    <x v="52"/>
  </r>
  <r>
    <x v="52"/>
  </r>
  <r>
    <x v="7"/>
  </r>
  <r>
    <x v="7"/>
  </r>
  <r>
    <x v="40"/>
  </r>
  <r>
    <x v="19"/>
  </r>
  <r>
    <x v="34"/>
  </r>
  <r>
    <x v="53"/>
  </r>
  <r>
    <x v="7"/>
  </r>
  <r>
    <x v="9"/>
  </r>
  <r>
    <x v="7"/>
  </r>
  <r>
    <x v="40"/>
  </r>
  <r>
    <x v="19"/>
  </r>
  <r>
    <x v="29"/>
  </r>
  <r>
    <x v="6"/>
  </r>
  <r>
    <x v="6"/>
  </r>
  <r>
    <x v="9"/>
  </r>
  <r>
    <x v="9"/>
  </r>
  <r>
    <x v="24"/>
  </r>
  <r>
    <x v="0"/>
  </r>
  <r>
    <x v="10"/>
  </r>
  <r>
    <x v="49"/>
  </r>
  <r>
    <x v="54"/>
  </r>
  <r>
    <x v="55"/>
  </r>
  <r>
    <x v="9"/>
  </r>
  <r>
    <x v="9"/>
  </r>
  <r>
    <x v="7"/>
  </r>
  <r>
    <x v="56"/>
  </r>
  <r>
    <x v="38"/>
  </r>
  <r>
    <x v="38"/>
  </r>
  <r>
    <x v="38"/>
  </r>
  <r>
    <x v="7"/>
  </r>
  <r>
    <x v="7"/>
  </r>
  <r>
    <x v="7"/>
  </r>
  <r>
    <x v="7"/>
  </r>
  <r>
    <x v="57"/>
  </r>
  <r>
    <x v="58"/>
  </r>
  <r>
    <x v="3"/>
  </r>
  <r>
    <x v="3"/>
  </r>
  <r>
    <x v="19"/>
  </r>
  <r>
    <x v="7"/>
  </r>
  <r>
    <x v="7"/>
  </r>
  <r>
    <x v="7"/>
  </r>
  <r>
    <x v="45"/>
  </r>
  <r>
    <x v="1"/>
  </r>
  <r>
    <x v="1"/>
  </r>
  <r>
    <x v="18"/>
  </r>
  <r>
    <x v="1"/>
  </r>
  <r>
    <x v="1"/>
  </r>
  <r>
    <x v="34"/>
  </r>
  <r>
    <x v="56"/>
  </r>
  <r>
    <x v="7"/>
  </r>
  <r>
    <x v="19"/>
  </r>
  <r>
    <x v="19"/>
  </r>
  <r>
    <x v="9"/>
  </r>
  <r>
    <x v="59"/>
  </r>
  <r>
    <x v="59"/>
  </r>
  <r>
    <x v="3"/>
  </r>
  <r>
    <x v="3"/>
  </r>
  <r>
    <x v="6"/>
  </r>
  <r>
    <x v="6"/>
  </r>
  <r>
    <x v="7"/>
  </r>
  <r>
    <x v="7"/>
  </r>
  <r>
    <x v="1"/>
  </r>
  <r>
    <x v="1"/>
  </r>
  <r>
    <x v="1"/>
  </r>
  <r>
    <x v="60"/>
  </r>
  <r>
    <x v="7"/>
  </r>
  <r>
    <x v="3"/>
  </r>
  <r>
    <x v="29"/>
  </r>
  <r>
    <x v="29"/>
  </r>
  <r>
    <x v="29"/>
  </r>
  <r>
    <x v="7"/>
  </r>
  <r>
    <x v="9"/>
  </r>
  <r>
    <x v="34"/>
  </r>
  <r>
    <x v="9"/>
  </r>
  <r>
    <x v="1"/>
  </r>
  <r>
    <x v="1"/>
  </r>
  <r>
    <x v="7"/>
  </r>
  <r>
    <x v="7"/>
  </r>
  <r>
    <x v="61"/>
  </r>
  <r>
    <x v="18"/>
  </r>
  <r>
    <x v="1"/>
  </r>
  <r>
    <x v="1"/>
  </r>
  <r>
    <x v="7"/>
  </r>
  <r>
    <x v="36"/>
  </r>
  <r>
    <x v="36"/>
  </r>
  <r>
    <x v="30"/>
  </r>
  <r>
    <x v="30"/>
  </r>
  <r>
    <x v="30"/>
  </r>
  <r>
    <x v="62"/>
  </r>
  <r>
    <x v="62"/>
  </r>
  <r>
    <x v="40"/>
  </r>
  <r>
    <x v="30"/>
  </r>
  <r>
    <x v="63"/>
  </r>
  <r>
    <x v="64"/>
  </r>
  <r>
    <x v="64"/>
  </r>
  <r>
    <x v="64"/>
  </r>
  <r>
    <x v="65"/>
  </r>
  <r>
    <x v="65"/>
  </r>
  <r>
    <x v="9"/>
  </r>
  <r>
    <x v="9"/>
  </r>
  <r>
    <x v="9"/>
  </r>
  <r>
    <x v="9"/>
  </r>
  <r>
    <x v="9"/>
  </r>
  <r>
    <x v="9"/>
  </r>
  <r>
    <x v="9"/>
  </r>
  <r>
    <x v="1"/>
  </r>
  <r>
    <x v="7"/>
  </r>
  <r>
    <x v="9"/>
  </r>
  <r>
    <x v="9"/>
  </r>
  <r>
    <x v="9"/>
  </r>
  <r>
    <x v="9"/>
  </r>
  <r>
    <x v="9"/>
  </r>
  <r>
    <x v="9"/>
  </r>
  <r>
    <x v="9"/>
  </r>
  <r>
    <x v="9"/>
  </r>
  <r>
    <x v="11"/>
  </r>
  <r>
    <x v="11"/>
  </r>
  <r>
    <x v="9"/>
  </r>
  <r>
    <x v="9"/>
  </r>
  <r>
    <x v="66"/>
  </r>
  <r>
    <x v="34"/>
  </r>
  <r>
    <x v="9"/>
  </r>
  <r>
    <x v="34"/>
  </r>
  <r>
    <x v="9"/>
  </r>
  <r>
    <x v="9"/>
  </r>
  <r>
    <x v="34"/>
  </r>
  <r>
    <x v="34"/>
  </r>
  <r>
    <x v="34"/>
  </r>
  <r>
    <x v="64"/>
  </r>
  <r>
    <x v="64"/>
  </r>
  <r>
    <x v="65"/>
  </r>
  <r>
    <x v="65"/>
  </r>
  <r>
    <x v="23"/>
  </r>
  <r>
    <x v="67"/>
  </r>
  <r>
    <x v="0"/>
  </r>
  <r>
    <x v="3"/>
  </r>
  <r>
    <x v="68"/>
  </r>
  <r>
    <x v="69"/>
  </r>
  <r>
    <x v="23"/>
  </r>
  <r>
    <x v="70"/>
  </r>
  <r>
    <x v="21"/>
  </r>
  <r>
    <x v="70"/>
  </r>
  <r>
    <x v="71"/>
  </r>
  <r>
    <x v="3"/>
  </r>
  <r>
    <x v="23"/>
  </r>
  <r>
    <x v="72"/>
  </r>
  <r>
    <x v="72"/>
  </r>
  <r>
    <x v="7"/>
  </r>
  <r>
    <x v="1"/>
  </r>
  <r>
    <x v="1"/>
  </r>
  <r>
    <x v="1"/>
  </r>
  <r>
    <x v="1"/>
  </r>
  <r>
    <x v="18"/>
  </r>
  <r>
    <x v="1"/>
  </r>
  <r>
    <x v="1"/>
  </r>
  <r>
    <x v="11"/>
  </r>
  <r>
    <x v="11"/>
  </r>
  <r>
    <x v="11"/>
  </r>
  <r>
    <x v="0"/>
  </r>
  <r>
    <x v="0"/>
  </r>
  <r>
    <x v="6"/>
  </r>
  <r>
    <x v="6"/>
  </r>
  <r>
    <x v="3"/>
  </r>
  <r>
    <x v="3"/>
  </r>
  <r>
    <x v="3"/>
  </r>
  <r>
    <x v="3"/>
  </r>
  <r>
    <x v="20"/>
  </r>
  <r>
    <x v="73"/>
  </r>
  <r>
    <x v="74"/>
  </r>
  <r>
    <x v="6"/>
  </r>
  <r>
    <x v="6"/>
  </r>
  <r>
    <x v="3"/>
  </r>
  <r>
    <x v="3"/>
  </r>
  <r>
    <x v="0"/>
  </r>
  <r>
    <x v="7"/>
  </r>
  <r>
    <x v="36"/>
  </r>
  <r>
    <x v="23"/>
  </r>
  <r>
    <x v="0"/>
  </r>
  <r>
    <x v="1"/>
  </r>
  <r>
    <x v="75"/>
  </r>
  <r>
    <x v="1"/>
  </r>
  <r>
    <x v="1"/>
  </r>
  <r>
    <x v="0"/>
  </r>
  <r>
    <x v="0"/>
  </r>
  <r>
    <x v="0"/>
  </r>
  <r>
    <x v="0"/>
  </r>
  <r>
    <x v="0"/>
  </r>
  <r>
    <x v="12"/>
  </r>
  <r>
    <x v="76"/>
  </r>
  <r>
    <x v="77"/>
  </r>
  <r>
    <x v="64"/>
  </r>
  <r>
    <x v="65"/>
  </r>
  <r>
    <x v="65"/>
  </r>
  <r>
    <x v="78"/>
  </r>
  <r>
    <x v="79"/>
  </r>
  <r>
    <x v="0"/>
  </r>
  <r>
    <x v="7"/>
  </r>
  <r>
    <x v="64"/>
  </r>
  <r>
    <x v="65"/>
  </r>
  <r>
    <x v="65"/>
  </r>
  <r>
    <x v="18"/>
  </r>
  <r>
    <x v="1"/>
  </r>
  <r>
    <x v="1"/>
  </r>
  <r>
    <x v="11"/>
  </r>
  <r>
    <x v="0"/>
  </r>
  <r>
    <x v="0"/>
  </r>
  <r>
    <x v="7"/>
  </r>
  <r>
    <x v="7"/>
  </r>
  <r>
    <x v="36"/>
  </r>
  <r>
    <x v="7"/>
  </r>
  <r>
    <x v="80"/>
  </r>
  <r>
    <x v="0"/>
  </r>
  <r>
    <x v="0"/>
  </r>
  <r>
    <x v="6"/>
  </r>
  <r>
    <x v="6"/>
  </r>
  <r>
    <x v="19"/>
  </r>
  <r>
    <x v="0"/>
  </r>
  <r>
    <x v="0"/>
  </r>
  <r>
    <x v="0"/>
  </r>
  <r>
    <x v="0"/>
  </r>
  <r>
    <x v="0"/>
  </r>
  <r>
    <x v="0"/>
  </r>
  <r>
    <x v="81"/>
  </r>
  <r>
    <x v="82"/>
  </r>
  <r>
    <x v="9"/>
  </r>
  <r>
    <x v="9"/>
  </r>
  <r>
    <x v="9"/>
  </r>
  <r>
    <x v="7"/>
  </r>
  <r>
    <x v="7"/>
  </r>
  <r>
    <x v="7"/>
  </r>
  <r>
    <x v="7"/>
  </r>
  <r>
    <x v="83"/>
  </r>
  <r>
    <x v="83"/>
  </r>
  <r>
    <x v="83"/>
  </r>
  <r>
    <x v="23"/>
  </r>
  <r>
    <x v="23"/>
  </r>
  <r>
    <x v="18"/>
  </r>
  <r>
    <x v="1"/>
  </r>
  <r>
    <x v="1"/>
  </r>
  <r>
    <x v="84"/>
  </r>
  <r>
    <x v="1"/>
  </r>
  <r>
    <x v="1"/>
  </r>
  <r>
    <x v="0"/>
  </r>
  <r>
    <x v="3"/>
  </r>
  <r>
    <x v="19"/>
  </r>
  <r>
    <x v="3"/>
  </r>
  <r>
    <x v="3"/>
  </r>
  <r>
    <x v="3"/>
  </r>
  <r>
    <x v="85"/>
  </r>
  <r>
    <x v="86"/>
  </r>
  <r>
    <x v="9"/>
  </r>
  <r>
    <x v="9"/>
  </r>
  <r>
    <x v="7"/>
  </r>
  <r>
    <x v="7"/>
  </r>
  <r>
    <x v="7"/>
  </r>
  <r>
    <x v="7"/>
  </r>
  <r>
    <x v="83"/>
  </r>
  <r>
    <x v="83"/>
  </r>
  <r>
    <x v="83"/>
  </r>
  <r>
    <x v="87"/>
  </r>
  <r>
    <x v="1"/>
  </r>
  <r>
    <x v="0"/>
  </r>
  <r>
    <x v="0"/>
  </r>
  <r>
    <x v="0"/>
  </r>
  <r>
    <x v="6"/>
  </r>
  <r>
    <x v="88"/>
  </r>
  <r>
    <x v="88"/>
  </r>
  <r>
    <x v="0"/>
  </r>
  <r>
    <x v="0"/>
  </r>
  <r>
    <x v="0"/>
  </r>
  <r>
    <x v="1"/>
  </r>
  <r>
    <x v="1"/>
  </r>
  <r>
    <x v="3"/>
  </r>
  <r>
    <x v="11"/>
  </r>
  <r>
    <x v="0"/>
  </r>
  <r>
    <x v="6"/>
  </r>
  <r>
    <x v="3"/>
  </r>
  <r>
    <x v="0"/>
  </r>
  <r>
    <x v="0"/>
  </r>
  <r>
    <x v="0"/>
  </r>
  <r>
    <x v="0"/>
  </r>
  <r>
    <x v="0"/>
  </r>
  <r>
    <x v="20"/>
  </r>
  <r>
    <x v="6"/>
  </r>
  <r>
    <x v="3"/>
  </r>
  <r>
    <x v="0"/>
  </r>
  <r>
    <x v="6"/>
  </r>
  <r>
    <x v="1"/>
  </r>
  <r>
    <x v="0"/>
  </r>
  <r>
    <x v="0"/>
  </r>
  <r>
    <x v="6"/>
  </r>
  <r>
    <x v="6"/>
  </r>
  <r>
    <x v="3"/>
  </r>
  <r>
    <x v="3"/>
  </r>
  <r>
    <x v="3"/>
  </r>
  <r>
    <x v="3"/>
  </r>
  <r>
    <x v="3"/>
  </r>
  <r>
    <x v="3"/>
  </r>
  <r>
    <x v="64"/>
  </r>
  <r>
    <x v="65"/>
  </r>
  <r>
    <x v="65"/>
  </r>
  <r>
    <x v="89"/>
  </r>
  <r>
    <x v="89"/>
  </r>
  <r>
    <x v="89"/>
  </r>
  <r>
    <x v="89"/>
  </r>
  <r>
    <x v="1"/>
  </r>
  <r>
    <x v="7"/>
  </r>
  <r>
    <x v="90"/>
  </r>
  <r>
    <x v="91"/>
  </r>
  <r>
    <x v="92"/>
  </r>
  <r>
    <x v="11"/>
  </r>
  <r>
    <x v="11"/>
  </r>
  <r>
    <x v="1"/>
  </r>
  <r>
    <x v="3"/>
  </r>
  <r>
    <x v="0"/>
  </r>
  <r>
    <x v="0"/>
  </r>
  <r>
    <x v="3"/>
  </r>
  <r>
    <x v="7"/>
  </r>
  <r>
    <x v="3"/>
  </r>
  <r>
    <x v="3"/>
  </r>
  <r>
    <x v="1"/>
  </r>
  <r>
    <x v="1"/>
  </r>
  <r>
    <x v="3"/>
  </r>
  <r>
    <x v="93"/>
  </r>
  <r>
    <x v="1"/>
  </r>
  <r>
    <x v="1"/>
  </r>
  <r>
    <x v="1"/>
  </r>
  <r>
    <x v="94"/>
  </r>
  <r>
    <x v="23"/>
  </r>
  <r>
    <x v="95"/>
  </r>
  <r>
    <x v="1"/>
  </r>
  <r>
    <x v="96"/>
  </r>
  <r>
    <x v="7"/>
  </r>
  <r>
    <x v="7"/>
  </r>
  <r>
    <x v="3"/>
  </r>
  <r>
    <x v="3"/>
  </r>
  <r>
    <x v="1"/>
  </r>
  <r>
    <x v="1"/>
  </r>
  <r>
    <x v="1"/>
  </r>
  <r>
    <x v="1"/>
  </r>
  <r>
    <x v="1"/>
  </r>
  <r>
    <x v="65"/>
  </r>
  <r>
    <x v="1"/>
  </r>
  <r>
    <x v="1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88"/>
  </r>
  <r>
    <x v="7"/>
  </r>
  <r>
    <x v="7"/>
  </r>
  <r>
    <x v="7"/>
  </r>
  <r>
    <x v="83"/>
  </r>
  <r>
    <x v="83"/>
  </r>
  <r>
    <x v="83"/>
  </r>
  <r>
    <x v="1"/>
  </r>
  <r>
    <x v="0"/>
  </r>
  <r>
    <x v="1"/>
  </r>
  <r>
    <x v="7"/>
  </r>
  <r>
    <x v="7"/>
  </r>
  <r>
    <x v="1"/>
  </r>
  <r>
    <x v="0"/>
  </r>
  <r>
    <x v="1"/>
  </r>
  <r>
    <x v="97"/>
  </r>
  <r>
    <x v="97"/>
  </r>
  <r>
    <x v="97"/>
  </r>
  <r>
    <x v="18"/>
  </r>
  <r>
    <x v="18"/>
  </r>
  <r>
    <x v="7"/>
  </r>
  <r>
    <x v="7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98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5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65"/>
  </r>
  <r>
    <x v="7"/>
  </r>
  <r>
    <x v="99"/>
  </r>
  <r>
    <x v="1"/>
  </r>
  <r>
    <x v="1"/>
  </r>
  <r>
    <x v="1"/>
  </r>
  <r>
    <x v="1"/>
  </r>
  <r>
    <x v="1"/>
  </r>
  <r>
    <x v="1"/>
  </r>
  <r>
    <x v="1"/>
  </r>
  <r>
    <x v="7"/>
  </r>
  <r>
    <x v="7"/>
  </r>
  <r>
    <x v="1"/>
  </r>
  <r>
    <x v="1"/>
  </r>
  <r>
    <x v="1"/>
  </r>
  <r>
    <x v="10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01"/>
  </r>
  <r>
    <x v="102"/>
  </r>
  <r>
    <x v="102"/>
  </r>
  <r>
    <x v="1"/>
  </r>
  <r>
    <x v="1"/>
  </r>
  <r>
    <x v="43"/>
  </r>
  <r>
    <x v="103"/>
  </r>
  <r>
    <x v="101"/>
  </r>
  <r>
    <x v="102"/>
  </r>
  <r>
    <x v="1"/>
  </r>
  <r>
    <x v="1"/>
  </r>
  <r>
    <x v="1"/>
  </r>
  <r>
    <x v="3"/>
  </r>
  <r>
    <x v="3"/>
  </r>
  <r>
    <x v="89"/>
  </r>
  <r>
    <x v="89"/>
  </r>
  <r>
    <x v="1"/>
  </r>
  <r>
    <x v="7"/>
  </r>
  <r>
    <x v="90"/>
  </r>
  <r>
    <x v="91"/>
  </r>
  <r>
    <x v="92"/>
  </r>
  <r>
    <x v="11"/>
  </r>
  <r>
    <x v="11"/>
  </r>
  <r>
    <x v="104"/>
  </r>
  <r>
    <x v="1"/>
  </r>
  <r>
    <x v="7"/>
  </r>
  <r>
    <x v="90"/>
  </r>
  <r>
    <x v="91"/>
  </r>
  <r>
    <x v="92"/>
  </r>
  <r>
    <x v="11"/>
  </r>
  <r>
    <x v="11"/>
  </r>
  <r>
    <x v="3"/>
  </r>
  <r>
    <x v="105"/>
  </r>
  <r>
    <x v="106"/>
  </r>
  <r>
    <x v="11"/>
  </r>
  <r>
    <x v="107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97"/>
  </r>
  <r>
    <x v="97"/>
  </r>
  <r>
    <x v="97"/>
  </r>
  <r>
    <x v="18"/>
  </r>
  <r>
    <x v="18"/>
  </r>
  <r>
    <x v="7"/>
  </r>
  <r>
    <x v="7"/>
  </r>
  <r>
    <x v="0"/>
  </r>
  <r>
    <x v="0"/>
  </r>
  <r>
    <x v="1"/>
  </r>
  <r>
    <x v="1"/>
  </r>
  <r>
    <x v="3"/>
  </r>
  <r>
    <x v="3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08"/>
  </r>
  <r>
    <x v="36"/>
  </r>
  <r>
    <x v="1"/>
  </r>
  <r>
    <x v="1"/>
  </r>
  <r>
    <x v="109"/>
  </r>
  <r>
    <x v="109"/>
  </r>
  <r>
    <x v="3"/>
  </r>
  <r>
    <x v="110"/>
  </r>
  <r>
    <x v="111"/>
  </r>
  <r>
    <x v="104"/>
  </r>
  <r>
    <x v="1"/>
  </r>
  <r>
    <x v="7"/>
  </r>
  <r>
    <x v="90"/>
  </r>
  <r>
    <x v="91"/>
  </r>
  <r>
    <x v="92"/>
  </r>
  <r>
    <x v="11"/>
  </r>
  <r>
    <x v="1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12"/>
  </r>
  <r>
    <x v="112"/>
  </r>
  <r>
    <x v="112"/>
  </r>
  <r>
    <x v="101"/>
  </r>
  <r>
    <x v="102"/>
  </r>
  <r>
    <x v="20"/>
  </r>
  <r>
    <x v="113"/>
  </r>
  <r>
    <x v="1"/>
  </r>
  <r>
    <x v="1"/>
  </r>
  <r>
    <x v="1"/>
  </r>
  <r>
    <x v="1"/>
  </r>
  <r>
    <x v="1"/>
  </r>
  <r>
    <x v="1"/>
  </r>
  <r>
    <x v="102"/>
  </r>
  <r>
    <x v="1"/>
  </r>
  <r>
    <x v="1"/>
  </r>
  <r>
    <x v="1"/>
  </r>
  <r>
    <x v="1"/>
  </r>
  <r>
    <x v="1"/>
  </r>
  <r>
    <x v="1"/>
  </r>
  <r>
    <x v="1"/>
  </r>
  <r>
    <x v="114"/>
  </r>
  <r>
    <x v="6"/>
  </r>
  <r>
    <x v="0"/>
  </r>
  <r>
    <x v="1"/>
  </r>
  <r>
    <x v="1"/>
  </r>
  <r>
    <x v="1"/>
  </r>
  <r>
    <x v="115"/>
  </r>
  <r>
    <x v="116"/>
  </r>
  <r>
    <x v="117"/>
  </r>
  <r>
    <x v="117"/>
  </r>
  <r>
    <x v="117"/>
  </r>
  <r>
    <x v="3"/>
  </r>
  <r>
    <x v="117"/>
  </r>
  <r>
    <x v="117"/>
  </r>
  <r>
    <x v="117"/>
  </r>
  <r>
    <x v="1"/>
  </r>
  <r>
    <x v="118"/>
  </r>
  <r>
    <x v="1"/>
  </r>
  <r>
    <x v="1"/>
  </r>
  <r>
    <x v="7"/>
  </r>
  <r>
    <x v="115"/>
  </r>
  <r>
    <x v="115"/>
  </r>
  <r>
    <x v="3"/>
  </r>
  <r>
    <x v="3"/>
  </r>
  <r>
    <x v="11"/>
  </r>
  <r>
    <x v="3"/>
  </r>
  <r>
    <x v="36"/>
  </r>
  <r>
    <x v="11"/>
  </r>
  <r>
    <x v="3"/>
  </r>
  <r>
    <x v="117"/>
  </r>
  <r>
    <x v="117"/>
  </r>
  <r>
    <x v="117"/>
  </r>
  <r>
    <x v="1"/>
  </r>
  <r>
    <x v="1"/>
  </r>
  <r>
    <x v="119"/>
  </r>
  <r>
    <x v="120"/>
  </r>
  <r>
    <x v="1"/>
  </r>
  <r>
    <x v="0"/>
  </r>
  <r>
    <x v="121"/>
  </r>
  <r>
    <x v="121"/>
  </r>
  <r>
    <x v="121"/>
  </r>
  <r>
    <x v="1"/>
  </r>
  <r>
    <x v="1"/>
  </r>
  <r>
    <x v="1"/>
  </r>
  <r>
    <x v="1"/>
  </r>
  <r>
    <x v="1"/>
  </r>
  <r>
    <x v="1"/>
  </r>
  <r>
    <x v="122"/>
  </r>
  <r>
    <x v="122"/>
  </r>
  <r>
    <x v="123"/>
  </r>
  <r>
    <x v="123"/>
  </r>
  <r>
    <x v="124"/>
  </r>
  <r>
    <x v="124"/>
  </r>
  <r>
    <x v="1"/>
  </r>
  <r>
    <x v="125"/>
  </r>
  <r>
    <x v="125"/>
  </r>
  <r>
    <x v="126"/>
  </r>
  <r>
    <x v="0"/>
  </r>
  <r>
    <x v="0"/>
  </r>
  <r>
    <x v="1"/>
  </r>
  <r>
    <x v="1"/>
  </r>
  <r>
    <x v="3"/>
  </r>
  <r>
    <x v="1"/>
  </r>
  <r>
    <x v="36"/>
  </r>
  <r>
    <x v="36"/>
  </r>
  <r>
    <x v="1"/>
  </r>
  <r>
    <x v="1"/>
  </r>
  <r>
    <x v="1"/>
  </r>
  <r>
    <x v="127"/>
  </r>
  <r>
    <x v="127"/>
  </r>
  <r>
    <x v="1"/>
  </r>
  <r>
    <x v="128"/>
  </r>
  <r>
    <x v="125"/>
  </r>
  <r>
    <x v="125"/>
  </r>
  <r>
    <x v="32"/>
  </r>
  <r>
    <x v="129"/>
  </r>
  <r>
    <x v="130"/>
  </r>
  <r>
    <x v="131"/>
  </r>
  <r>
    <x v="0"/>
  </r>
  <r>
    <x v="0"/>
  </r>
  <r>
    <x v="132"/>
  </r>
  <r>
    <x v="1"/>
  </r>
  <r>
    <x v="1"/>
  </r>
  <r>
    <x v="1"/>
  </r>
  <r>
    <x v="1"/>
  </r>
  <r>
    <x v="1"/>
  </r>
  <r>
    <x v="1"/>
  </r>
  <r>
    <x v="3"/>
  </r>
  <r>
    <x v="32"/>
  </r>
  <r>
    <x v="32"/>
  </r>
  <r>
    <x v="129"/>
  </r>
  <r>
    <x v="32"/>
  </r>
  <r>
    <x v="129"/>
  </r>
  <r>
    <x v="32"/>
  </r>
  <r>
    <x v="129"/>
  </r>
  <r>
    <x v="32"/>
  </r>
  <r>
    <x v="32"/>
  </r>
  <r>
    <x v="129"/>
  </r>
  <r>
    <x v="23"/>
  </r>
  <r>
    <x v="0"/>
  </r>
  <r>
    <x v="133"/>
  </r>
  <r>
    <x v="1"/>
  </r>
  <r>
    <x v="3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3"/>
  </r>
  <r>
    <x v="3"/>
  </r>
  <r>
    <x v="134"/>
  </r>
  <r>
    <x v="131"/>
  </r>
  <r>
    <x v="135"/>
  </r>
  <r>
    <x v="135"/>
  </r>
  <r>
    <x v="0"/>
  </r>
  <r>
    <x v="115"/>
  </r>
  <r>
    <x v="32"/>
  </r>
  <r>
    <x v="3"/>
  </r>
  <r>
    <x v="19"/>
  </r>
  <r>
    <x v="51"/>
  </r>
  <r>
    <x v="115"/>
  </r>
  <r>
    <x v="0"/>
  </r>
  <r>
    <x v="131"/>
  </r>
  <r>
    <x v="1"/>
  </r>
  <r>
    <x v="32"/>
  </r>
  <r>
    <x v="32"/>
  </r>
  <r>
    <x v="129"/>
  </r>
  <r>
    <x v="0"/>
  </r>
  <r>
    <x v="0"/>
  </r>
  <r>
    <x v="36"/>
  </r>
  <r>
    <x v="43"/>
  </r>
  <r>
    <x v="136"/>
  </r>
  <r>
    <x v="137"/>
  </r>
  <r>
    <x v="137"/>
  </r>
  <r>
    <x v="43"/>
  </r>
  <r>
    <x v="43"/>
  </r>
  <r>
    <x v="0"/>
  </r>
  <r>
    <x v="0"/>
  </r>
  <r>
    <x v="135"/>
  </r>
  <r>
    <x v="135"/>
  </r>
  <r>
    <x v="1"/>
  </r>
  <r>
    <x v="3"/>
  </r>
  <r>
    <x v="1"/>
  </r>
  <r>
    <x v="3"/>
  </r>
  <r>
    <x v="100"/>
  </r>
  <r>
    <x v="0"/>
  </r>
  <r>
    <x v="1"/>
  </r>
  <r>
    <x v="1"/>
  </r>
  <r>
    <x v="1"/>
  </r>
  <r>
    <x v="1"/>
  </r>
  <r>
    <x v="4"/>
  </r>
  <r>
    <x v="0"/>
  </r>
  <r>
    <x v="5"/>
  </r>
  <r>
    <x v="9"/>
  </r>
  <r>
    <x v="7"/>
  </r>
  <r>
    <x v="9"/>
  </r>
  <r>
    <x v="9"/>
  </r>
  <r>
    <x v="1"/>
  </r>
  <r>
    <x v="1"/>
  </r>
  <r>
    <x v="1"/>
  </r>
  <r>
    <x v="7"/>
  </r>
  <r>
    <x v="7"/>
  </r>
  <r>
    <x v="43"/>
  </r>
  <r>
    <x v="0"/>
  </r>
  <r>
    <x v="0"/>
  </r>
  <r>
    <x v="36"/>
  </r>
  <r>
    <x v="1"/>
  </r>
  <r>
    <x v="1"/>
  </r>
  <r>
    <x v="1"/>
  </r>
  <r>
    <x v="1"/>
  </r>
  <r>
    <x v="138"/>
  </r>
  <r>
    <x v="138"/>
  </r>
  <r>
    <x v="3"/>
  </r>
  <r>
    <x v="113"/>
  </r>
  <r>
    <x v="1"/>
  </r>
  <r>
    <x v="0"/>
  </r>
  <r>
    <x v="127"/>
  </r>
  <r>
    <x v="127"/>
  </r>
  <r>
    <x v="3"/>
  </r>
  <r>
    <x v="7"/>
  </r>
  <r>
    <x v="97"/>
  </r>
  <r>
    <x v="97"/>
  </r>
  <r>
    <x v="97"/>
  </r>
  <r>
    <x v="18"/>
  </r>
  <r>
    <x v="18"/>
  </r>
  <r>
    <x v="7"/>
  </r>
  <r>
    <x v="7"/>
  </r>
  <r>
    <x v="0"/>
  </r>
  <r>
    <x v="0"/>
  </r>
  <r>
    <x v="11"/>
  </r>
  <r>
    <x v="7"/>
  </r>
  <r>
    <x v="23"/>
  </r>
  <r>
    <x v="0"/>
  </r>
  <r>
    <x v="0"/>
  </r>
  <r>
    <x v="127"/>
  </r>
  <r>
    <x v="127"/>
  </r>
  <r>
    <x v="1"/>
  </r>
  <r>
    <x v="1"/>
  </r>
  <r>
    <x v="0"/>
  </r>
  <r>
    <x v="36"/>
  </r>
  <r>
    <x v="36"/>
  </r>
  <r>
    <x v="139"/>
  </r>
  <r>
    <x v="140"/>
  </r>
  <r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EBCF2-26E6-422E-A72F-8F144DFCED17}" name="PivotTable1" cacheId="3" applyNumberFormats="0" applyBorderFormats="0" applyFontFormats="0" applyPatternFormats="0" applyAlignmentFormats="0" applyWidthHeightFormats="1" dataCaption="ค่า" updatedVersion="8" minRefreshableVersion="3" useAutoFormatting="1" itemPrintTitles="1" createdVersion="8" indent="0" compact="0" compactData="0" multipleFieldFilters="0">
  <location ref="D1:E143" firstHeaderRow="1" firstDataRow="1" firstDataCol="1"/>
  <pivotFields count="1">
    <pivotField axis="axisRow" dataField="1" compact="0" outline="0" showAll="0">
      <items count="142">
        <item x="98"/>
        <item x="13"/>
        <item x="15"/>
        <item x="114"/>
        <item x="2"/>
        <item x="14"/>
        <item x="1"/>
        <item x="122"/>
        <item x="123"/>
        <item x="101"/>
        <item x="115"/>
        <item x="118"/>
        <item x="102"/>
        <item x="125"/>
        <item x="65"/>
        <item x="133"/>
        <item x="112"/>
        <item x="97"/>
        <item x="99"/>
        <item x="129"/>
        <item x="128"/>
        <item x="89"/>
        <item x="104"/>
        <item x="138"/>
        <item x="121"/>
        <item x="131"/>
        <item x="60"/>
        <item x="75"/>
        <item x="18"/>
        <item x="7"/>
        <item x="10"/>
        <item x="48"/>
        <item x="109"/>
        <item x="83"/>
        <item x="32"/>
        <item x="47"/>
        <item x="135"/>
        <item x="50"/>
        <item x="93"/>
        <item x="88"/>
        <item x="74"/>
        <item x="126"/>
        <item x="106"/>
        <item x="63"/>
        <item x="54"/>
        <item x="3"/>
        <item x="127"/>
        <item x="87"/>
        <item x="116"/>
        <item x="21"/>
        <item x="5"/>
        <item x="57"/>
        <item x="35"/>
        <item x="124"/>
        <item x="139"/>
        <item x="71"/>
        <item x="42"/>
        <item x="29"/>
        <item x="66"/>
        <item x="49"/>
        <item x="80"/>
        <item x="53"/>
        <item x="9"/>
        <item x="45"/>
        <item x="56"/>
        <item x="73"/>
        <item x="52"/>
        <item x="140"/>
        <item x="84"/>
        <item x="61"/>
        <item x="38"/>
        <item x="34"/>
        <item x="40"/>
        <item x="130"/>
        <item x="6"/>
        <item x="96"/>
        <item x="94"/>
        <item x="85"/>
        <item x="100"/>
        <item x="105"/>
        <item x="41"/>
        <item x="31"/>
        <item x="58"/>
        <item x="110"/>
        <item x="19"/>
        <item x="27"/>
        <item x="39"/>
        <item x="70"/>
        <item x="113"/>
        <item x="26"/>
        <item x="111"/>
        <item x="64"/>
        <item x="0"/>
        <item x="17"/>
        <item x="117"/>
        <item x="67"/>
        <item x="44"/>
        <item x="8"/>
        <item x="134"/>
        <item x="69"/>
        <item x="95"/>
        <item x="20"/>
        <item x="25"/>
        <item x="51"/>
        <item x="4"/>
        <item x="16"/>
        <item x="24"/>
        <item x="137"/>
        <item x="132"/>
        <item x="77"/>
        <item x="28"/>
        <item x="62"/>
        <item x="79"/>
        <item x="33"/>
        <item x="103"/>
        <item x="43"/>
        <item x="82"/>
        <item x="23"/>
        <item x="78"/>
        <item x="59"/>
        <item x="46"/>
        <item x="30"/>
        <item x="136"/>
        <item x="68"/>
        <item x="76"/>
        <item x="55"/>
        <item x="37"/>
        <item x="36"/>
        <item x="72"/>
        <item x="22"/>
        <item x="86"/>
        <item x="107"/>
        <item x="81"/>
        <item x="12"/>
        <item x="120"/>
        <item x="11"/>
        <item x="119"/>
        <item x="91"/>
        <item x="92"/>
        <item x="108"/>
        <item x="90"/>
        <item t="default"/>
      </items>
    </pivotField>
  </pivotFields>
  <rowFields count="1">
    <field x="0"/>
  </rowFields>
  <rowItems count="1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 t="grand">
      <x/>
    </i>
  </rowItems>
  <colItems count="1">
    <i/>
  </colItems>
  <dataFields count="1">
    <dataField name="นับจำนวน ของ TOTAL_RAT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C9CE-1851-C54B-BAF2-611A4D73B4AD}">
  <dimension ref="A1:L605"/>
  <sheetViews>
    <sheetView tabSelected="1" topLeftCell="B1" workbookViewId="0">
      <selection activeCell="G29" sqref="G29"/>
    </sheetView>
  </sheetViews>
  <sheetFormatPr baseColWidth="10" defaultColWidth="8.83203125" defaultRowHeight="14" x14ac:dyDescent="0.15"/>
  <cols>
    <col min="1" max="1" width="13.33203125" customWidth="1"/>
    <col min="2" max="2" width="13" customWidth="1"/>
    <col min="3" max="3" width="14.33203125" customWidth="1"/>
    <col min="4" max="4" width="14.5" customWidth="1"/>
    <col min="5" max="5" width="17.33203125" bestFit="1" customWidth="1"/>
    <col min="7" max="7" width="40.83203125" bestFit="1" customWidth="1"/>
    <col min="8" max="8" width="18.83203125" bestFit="1" customWidth="1"/>
    <col min="9" max="9" width="13.6640625" bestFit="1" customWidth="1"/>
  </cols>
  <sheetData>
    <row r="1" spans="1:12" ht="18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G1" s="10" t="s">
        <v>5</v>
      </c>
      <c r="H1" s="10"/>
      <c r="I1" s="10"/>
      <c r="K1" s="11" t="s">
        <v>4</v>
      </c>
      <c r="L1" s="11"/>
    </row>
    <row r="2" spans="1:12" ht="18" x14ac:dyDescent="0.2">
      <c r="A2" s="2">
        <v>1</v>
      </c>
      <c r="B2" s="2">
        <v>32.81</v>
      </c>
      <c r="C2" s="2" t="s">
        <v>6</v>
      </c>
      <c r="D2" s="2" t="s">
        <v>7</v>
      </c>
      <c r="E2" s="3" t="str">
        <f>IF(B2&lt;=$L$2,"Low",IF(B2&lt;=$L$3,"Medium",IF(B2&lt;=$L$4,"High")))</f>
        <v>Low</v>
      </c>
      <c r="G2" s="5" t="s">
        <v>8</v>
      </c>
      <c r="H2">
        <f>COUNTIF(C:C,"Automotive")</f>
        <v>190</v>
      </c>
      <c r="K2" s="3" t="s">
        <v>9</v>
      </c>
      <c r="L2" s="3">
        <f>PERCENTILE(B:B, 1/3)</f>
        <v>37.229999999999997</v>
      </c>
    </row>
    <row r="3" spans="1:12" ht="18" x14ac:dyDescent="0.2">
      <c r="A3" s="2">
        <v>2</v>
      </c>
      <c r="B3" s="2">
        <v>46</v>
      </c>
      <c r="C3" s="2" t="s">
        <v>10</v>
      </c>
      <c r="D3" s="2" t="s">
        <v>11</v>
      </c>
      <c r="E3" s="3" t="str">
        <f t="shared" ref="E3:E66" si="0">IF(B3&lt;=$L$2,"Low",IF(B3&lt;=$L$3,"Medium",IF(B3&lt;=$L$4,"High")))</f>
        <v>High</v>
      </c>
      <c r="G3" s="5" t="s">
        <v>12</v>
      </c>
      <c r="H3">
        <f>COUNTIF(B:B,"&gt;30")</f>
        <v>536</v>
      </c>
      <c r="K3" s="3" t="s">
        <v>13</v>
      </c>
      <c r="L3" s="3">
        <f>PERCENTILE(B:B, 2/3)</f>
        <v>44.57</v>
      </c>
    </row>
    <row r="4" spans="1:12" ht="18" x14ac:dyDescent="0.2">
      <c r="A4" s="2">
        <v>3</v>
      </c>
      <c r="B4" s="2">
        <v>43.13</v>
      </c>
      <c r="C4" s="2" t="s">
        <v>6</v>
      </c>
      <c r="D4" s="2" t="s">
        <v>14</v>
      </c>
      <c r="E4" s="3" t="str">
        <f t="shared" si="0"/>
        <v>Medium</v>
      </c>
      <c r="G4" s="5" t="s">
        <v>15</v>
      </c>
      <c r="H4">
        <f>COUNTIFS(C:C,"Automotive",B:B,"&gt;30")</f>
        <v>181</v>
      </c>
      <c r="K4" s="3" t="s">
        <v>16</v>
      </c>
      <c r="L4" s="3">
        <f>PERCENTILE(B:B, 3/3)</f>
        <v>51</v>
      </c>
    </row>
    <row r="5" spans="1:12" ht="18" x14ac:dyDescent="0.2">
      <c r="A5" s="2">
        <v>4</v>
      </c>
      <c r="B5" s="2">
        <v>48.09</v>
      </c>
      <c r="C5" s="2" t="s">
        <v>10</v>
      </c>
      <c r="D5" s="2" t="s">
        <v>17</v>
      </c>
      <c r="E5" s="3" t="str">
        <f t="shared" si="0"/>
        <v>High</v>
      </c>
      <c r="G5" s="5" t="s">
        <v>18</v>
      </c>
      <c r="H5" s="4" t="s">
        <v>1</v>
      </c>
      <c r="I5" s="4" t="s">
        <v>0</v>
      </c>
    </row>
    <row r="6" spans="1:12" ht="18" x14ac:dyDescent="0.2">
      <c r="A6" s="2">
        <v>5</v>
      </c>
      <c r="B6" s="2">
        <v>43.62</v>
      </c>
      <c r="C6" s="2" t="s">
        <v>10</v>
      </c>
      <c r="D6" s="2" t="s">
        <v>19</v>
      </c>
      <c r="E6" s="3" t="str">
        <f t="shared" si="0"/>
        <v>Medium</v>
      </c>
      <c r="G6" s="6" t="s">
        <v>20</v>
      </c>
      <c r="H6">
        <f>_xlfn.MAXIFS(B:B, C:C, "Automotive",D:D,"Accountant")</f>
        <v>49.32</v>
      </c>
      <c r="I6">
        <f>_xlfn.XLOOKUP(_xlfn.MAXIFS(B:B, C:C, "Automotive", D:D, "Accountant"), B:B, A:A)</f>
        <v>471</v>
      </c>
    </row>
    <row r="7" spans="1:12" ht="18" x14ac:dyDescent="0.2">
      <c r="A7" s="2">
        <v>6</v>
      </c>
      <c r="B7" s="2">
        <v>46.98</v>
      </c>
      <c r="C7" s="2" t="s">
        <v>6</v>
      </c>
      <c r="D7" s="2" t="s">
        <v>11</v>
      </c>
      <c r="E7" s="3" t="str">
        <f t="shared" si="0"/>
        <v>High</v>
      </c>
      <c r="G7" s="6" t="s">
        <v>21</v>
      </c>
      <c r="H7">
        <f>_xlfn.MINIFS(B:B, C:C, "Automotive",D:D,"Accountant")</f>
        <v>28.74</v>
      </c>
      <c r="I7">
        <f>_xlfn.XLOOKUP(_xlfn.MINIFS(B:B, C:C, "Automotive", D:D, "Accountant"), B:B, A:A)</f>
        <v>567</v>
      </c>
    </row>
    <row r="8" spans="1:12" ht="18" x14ac:dyDescent="0.2">
      <c r="A8" s="2">
        <v>7</v>
      </c>
      <c r="B8" s="2">
        <v>43.03</v>
      </c>
      <c r="C8" s="2" t="s">
        <v>6</v>
      </c>
      <c r="D8" s="2" t="s">
        <v>14</v>
      </c>
      <c r="E8" s="3" t="str">
        <f t="shared" si="0"/>
        <v>Medium</v>
      </c>
      <c r="G8" s="6" t="s">
        <v>22</v>
      </c>
      <c r="H8">
        <f>_xlfn.MAXIFS(B:B, C:C, "Tech",D:D,"Accountant")</f>
        <v>49.49</v>
      </c>
      <c r="I8">
        <f>_xlfn.XLOOKUP(_xlfn.MAXIFS(B:B, C:C, "Tech", D:D, "Accountant"), B:B, A:A)</f>
        <v>141</v>
      </c>
    </row>
    <row r="9" spans="1:12" ht="18" x14ac:dyDescent="0.2">
      <c r="A9" s="2">
        <v>8</v>
      </c>
      <c r="B9" s="2">
        <v>40.96</v>
      </c>
      <c r="C9" s="2" t="s">
        <v>6</v>
      </c>
      <c r="D9" s="2" t="s">
        <v>23</v>
      </c>
      <c r="E9" s="3" t="str">
        <f t="shared" si="0"/>
        <v>Medium</v>
      </c>
      <c r="G9" s="6" t="s">
        <v>24</v>
      </c>
      <c r="H9">
        <f>_xlfn.MINIFS(B:B, C:C, "Tech",D:D,"Accountant")</f>
        <v>36.130000000000003</v>
      </c>
      <c r="I9">
        <f>_xlfn.XLOOKUP(_xlfn.MINIFS(B:B, C:C, "Tech", D:D, "Accountant"), B:B, A:A)</f>
        <v>113</v>
      </c>
    </row>
    <row r="10" spans="1:12" ht="18" x14ac:dyDescent="0.2">
      <c r="A10" s="2">
        <v>9</v>
      </c>
      <c r="B10" s="2">
        <v>38.89</v>
      </c>
      <c r="C10" s="2" t="s">
        <v>6</v>
      </c>
      <c r="D10" s="2" t="s">
        <v>25</v>
      </c>
      <c r="E10" s="3" t="str">
        <f t="shared" si="0"/>
        <v>Medium</v>
      </c>
      <c r="G10" s="7" t="s">
        <v>26</v>
      </c>
      <c r="H10" s="3" t="s">
        <v>27</v>
      </c>
    </row>
    <row r="11" spans="1:12" x14ac:dyDescent="0.15">
      <c r="A11" s="2">
        <v>10</v>
      </c>
      <c r="B11" s="2">
        <v>46.13</v>
      </c>
      <c r="C11" s="2" t="s">
        <v>6</v>
      </c>
      <c r="D11" s="2" t="s">
        <v>19</v>
      </c>
      <c r="E11" s="3" t="str">
        <f t="shared" si="0"/>
        <v>High</v>
      </c>
    </row>
    <row r="12" spans="1:12" x14ac:dyDescent="0.15">
      <c r="A12" s="2">
        <v>11</v>
      </c>
      <c r="B12" s="2">
        <v>28</v>
      </c>
      <c r="C12" s="2" t="s">
        <v>10</v>
      </c>
      <c r="D12" s="2" t="s">
        <v>11</v>
      </c>
      <c r="E12" s="3" t="str">
        <f t="shared" si="0"/>
        <v>Low</v>
      </c>
    </row>
    <row r="13" spans="1:12" x14ac:dyDescent="0.15">
      <c r="A13" s="2">
        <v>12</v>
      </c>
      <c r="B13" s="2">
        <v>31.24</v>
      </c>
      <c r="C13" s="2" t="s">
        <v>6</v>
      </c>
      <c r="D13" s="2" t="s">
        <v>25</v>
      </c>
      <c r="E13" s="3" t="str">
        <f t="shared" si="0"/>
        <v>Low</v>
      </c>
    </row>
    <row r="14" spans="1:12" x14ac:dyDescent="0.15">
      <c r="A14" s="2">
        <v>13</v>
      </c>
      <c r="B14" s="2">
        <v>37.229999999999997</v>
      </c>
      <c r="C14" s="2" t="s">
        <v>6</v>
      </c>
      <c r="D14" s="2" t="s">
        <v>17</v>
      </c>
      <c r="E14" s="3" t="str">
        <f t="shared" si="0"/>
        <v>Low</v>
      </c>
    </row>
    <row r="15" spans="1:12" x14ac:dyDescent="0.15">
      <c r="A15" s="2">
        <v>14</v>
      </c>
      <c r="B15" s="2">
        <v>32.35</v>
      </c>
      <c r="C15" s="2" t="s">
        <v>6</v>
      </c>
      <c r="D15" s="2" t="s">
        <v>19</v>
      </c>
      <c r="E15" s="3" t="str">
        <f t="shared" si="0"/>
        <v>Low</v>
      </c>
    </row>
    <row r="16" spans="1:12" x14ac:dyDescent="0.15">
      <c r="A16" s="2">
        <v>15</v>
      </c>
      <c r="B16" s="2">
        <v>37.53</v>
      </c>
      <c r="C16" s="2" t="s">
        <v>6</v>
      </c>
      <c r="D16" s="2" t="s">
        <v>14</v>
      </c>
      <c r="E16" s="3" t="str">
        <f t="shared" si="0"/>
        <v>Medium</v>
      </c>
    </row>
    <row r="17" spans="1:5" x14ac:dyDescent="0.15">
      <c r="A17" s="2">
        <v>16</v>
      </c>
      <c r="B17" s="2">
        <v>24.76</v>
      </c>
      <c r="C17" s="2" t="s">
        <v>10</v>
      </c>
      <c r="D17" s="2" t="s">
        <v>23</v>
      </c>
      <c r="E17" s="3" t="str">
        <f t="shared" si="0"/>
        <v>Low</v>
      </c>
    </row>
    <row r="18" spans="1:5" x14ac:dyDescent="0.15">
      <c r="A18" s="2">
        <v>17</v>
      </c>
      <c r="B18" s="2">
        <v>47</v>
      </c>
      <c r="C18" s="2" t="s">
        <v>10</v>
      </c>
      <c r="D18" s="2" t="s">
        <v>17</v>
      </c>
      <c r="E18" s="3" t="str">
        <f t="shared" si="0"/>
        <v>High</v>
      </c>
    </row>
    <row r="19" spans="1:5" x14ac:dyDescent="0.15">
      <c r="A19" s="2">
        <v>18</v>
      </c>
      <c r="B19" s="2">
        <v>47.25</v>
      </c>
      <c r="C19" s="2" t="s">
        <v>10</v>
      </c>
      <c r="D19" s="2" t="s">
        <v>17</v>
      </c>
      <c r="E19" s="3" t="str">
        <f t="shared" si="0"/>
        <v>High</v>
      </c>
    </row>
    <row r="20" spans="1:5" x14ac:dyDescent="0.15">
      <c r="A20" s="2">
        <v>19</v>
      </c>
      <c r="B20" s="2">
        <v>42.53</v>
      </c>
      <c r="C20" s="2" t="s">
        <v>10</v>
      </c>
      <c r="D20" s="2" t="s">
        <v>11</v>
      </c>
      <c r="E20" s="3" t="str">
        <f t="shared" si="0"/>
        <v>Medium</v>
      </c>
    </row>
    <row r="21" spans="1:5" x14ac:dyDescent="0.15">
      <c r="A21" s="2">
        <v>20</v>
      </c>
      <c r="B21" s="2">
        <v>26.09</v>
      </c>
      <c r="C21" s="2" t="s">
        <v>6</v>
      </c>
      <c r="D21" s="2" t="s">
        <v>25</v>
      </c>
      <c r="E21" s="3" t="str">
        <f t="shared" si="0"/>
        <v>Low</v>
      </c>
    </row>
    <row r="22" spans="1:5" x14ac:dyDescent="0.15">
      <c r="A22" s="2">
        <v>21</v>
      </c>
      <c r="B22" s="2">
        <v>49.59</v>
      </c>
      <c r="C22" s="2" t="s">
        <v>6</v>
      </c>
      <c r="D22" s="2"/>
      <c r="E22" s="3" t="str">
        <f t="shared" si="0"/>
        <v>High</v>
      </c>
    </row>
    <row r="23" spans="1:5" x14ac:dyDescent="0.15">
      <c r="A23" s="2">
        <v>22</v>
      </c>
      <c r="B23" s="2">
        <v>47.97</v>
      </c>
      <c r="C23" s="2" t="s">
        <v>6</v>
      </c>
      <c r="D23" s="2" t="s">
        <v>19</v>
      </c>
      <c r="E23" s="3" t="str">
        <f t="shared" si="0"/>
        <v>High</v>
      </c>
    </row>
    <row r="24" spans="1:5" x14ac:dyDescent="0.15">
      <c r="A24" s="2">
        <v>23</v>
      </c>
      <c r="B24" s="2">
        <v>48.77</v>
      </c>
      <c r="C24" s="2" t="s">
        <v>6</v>
      </c>
      <c r="D24" s="2" t="s">
        <v>11</v>
      </c>
      <c r="E24" s="3" t="str">
        <f t="shared" si="0"/>
        <v>High</v>
      </c>
    </row>
    <row r="25" spans="1:5" x14ac:dyDescent="0.15">
      <c r="A25" s="2">
        <v>24</v>
      </c>
      <c r="B25" s="2">
        <v>42.58</v>
      </c>
      <c r="C25" s="2"/>
      <c r="D25" s="2" t="s">
        <v>14</v>
      </c>
      <c r="E25" s="3" t="str">
        <f t="shared" si="0"/>
        <v>Medium</v>
      </c>
    </row>
    <row r="26" spans="1:5" x14ac:dyDescent="0.15">
      <c r="A26" s="2">
        <v>25</v>
      </c>
      <c r="B26" s="2">
        <v>49.7</v>
      </c>
      <c r="C26" s="2" t="s">
        <v>10</v>
      </c>
      <c r="D26" s="2" t="s">
        <v>11</v>
      </c>
      <c r="E26" s="3" t="str">
        <f t="shared" si="0"/>
        <v>High</v>
      </c>
    </row>
    <row r="27" spans="1:5" x14ac:dyDescent="0.15">
      <c r="A27" s="2">
        <v>26</v>
      </c>
      <c r="B27" s="2">
        <v>42.18</v>
      </c>
      <c r="C27" s="2" t="s">
        <v>10</v>
      </c>
      <c r="D27" s="2" t="s">
        <v>11</v>
      </c>
      <c r="E27" s="3" t="str">
        <f t="shared" si="0"/>
        <v>Medium</v>
      </c>
    </row>
    <row r="28" spans="1:5" x14ac:dyDescent="0.15">
      <c r="A28" s="2">
        <v>27</v>
      </c>
      <c r="B28" s="2">
        <v>29.3</v>
      </c>
      <c r="C28" s="2" t="s">
        <v>6</v>
      </c>
      <c r="D28" s="2" t="s">
        <v>25</v>
      </c>
      <c r="E28" s="3" t="str">
        <f t="shared" si="0"/>
        <v>Low</v>
      </c>
    </row>
    <row r="29" spans="1:5" x14ac:dyDescent="0.15">
      <c r="A29" s="2">
        <v>28</v>
      </c>
      <c r="B29" s="2">
        <v>38.24</v>
      </c>
      <c r="C29" s="2" t="s">
        <v>6</v>
      </c>
      <c r="D29" s="2" t="s">
        <v>23</v>
      </c>
      <c r="E29" s="3" t="str">
        <f t="shared" si="0"/>
        <v>Medium</v>
      </c>
    </row>
    <row r="30" spans="1:5" x14ac:dyDescent="0.15">
      <c r="A30" s="2">
        <v>29</v>
      </c>
      <c r="B30" s="2">
        <v>48.87</v>
      </c>
      <c r="C30" s="2" t="s">
        <v>28</v>
      </c>
      <c r="D30" s="2" t="s">
        <v>14</v>
      </c>
      <c r="E30" s="3" t="str">
        <f t="shared" si="0"/>
        <v>High</v>
      </c>
    </row>
    <row r="31" spans="1:5" x14ac:dyDescent="0.15">
      <c r="A31" s="2">
        <v>30</v>
      </c>
      <c r="B31" s="2">
        <v>46.39</v>
      </c>
      <c r="C31" s="2" t="s">
        <v>10</v>
      </c>
      <c r="D31" s="2" t="s">
        <v>11</v>
      </c>
      <c r="E31" s="3" t="str">
        <f t="shared" si="0"/>
        <v>High</v>
      </c>
    </row>
    <row r="32" spans="1:5" x14ac:dyDescent="0.15">
      <c r="A32" s="2">
        <v>31</v>
      </c>
      <c r="B32" s="2">
        <v>46.66</v>
      </c>
      <c r="C32" s="2" t="s">
        <v>10</v>
      </c>
      <c r="D32" s="2" t="s">
        <v>11</v>
      </c>
      <c r="E32" s="3" t="str">
        <f t="shared" si="0"/>
        <v>High</v>
      </c>
    </row>
    <row r="33" spans="1:5" x14ac:dyDescent="0.15">
      <c r="A33" s="2">
        <v>32</v>
      </c>
      <c r="B33" s="2">
        <v>31.08</v>
      </c>
      <c r="C33" s="2" t="s">
        <v>6</v>
      </c>
      <c r="D33" s="2" t="s">
        <v>19</v>
      </c>
      <c r="E33" s="3" t="str">
        <f t="shared" si="0"/>
        <v>Low</v>
      </c>
    </row>
    <row r="34" spans="1:5" x14ac:dyDescent="0.15">
      <c r="A34" s="2">
        <v>33</v>
      </c>
      <c r="B34" s="2">
        <v>42.91</v>
      </c>
      <c r="C34" s="2" t="s">
        <v>6</v>
      </c>
      <c r="D34" s="2" t="s">
        <v>25</v>
      </c>
      <c r="E34" s="3" t="str">
        <f t="shared" si="0"/>
        <v>Medium</v>
      </c>
    </row>
    <row r="35" spans="1:5" x14ac:dyDescent="0.15">
      <c r="A35" s="2">
        <v>34</v>
      </c>
      <c r="B35" s="2">
        <v>37.53</v>
      </c>
      <c r="C35" s="2" t="s">
        <v>6</v>
      </c>
      <c r="D35" s="2" t="s">
        <v>14</v>
      </c>
      <c r="E35" s="3" t="str">
        <f t="shared" si="0"/>
        <v>Medium</v>
      </c>
    </row>
    <row r="36" spans="1:5" x14ac:dyDescent="0.15">
      <c r="A36" s="2">
        <v>35</v>
      </c>
      <c r="B36" s="2">
        <v>36.47</v>
      </c>
      <c r="C36" s="2" t="s">
        <v>6</v>
      </c>
      <c r="D36" s="2" t="s">
        <v>17</v>
      </c>
      <c r="E36" s="3" t="str">
        <f t="shared" si="0"/>
        <v>Low</v>
      </c>
    </row>
    <row r="37" spans="1:5" x14ac:dyDescent="0.15">
      <c r="A37" s="2">
        <v>36</v>
      </c>
      <c r="B37" s="2">
        <v>38.28</v>
      </c>
      <c r="C37" s="2" t="s">
        <v>10</v>
      </c>
      <c r="D37" s="2" t="s">
        <v>19</v>
      </c>
      <c r="E37" s="3" t="str">
        <f t="shared" si="0"/>
        <v>Medium</v>
      </c>
    </row>
    <row r="38" spans="1:5" x14ac:dyDescent="0.15">
      <c r="A38" s="2">
        <v>37</v>
      </c>
      <c r="B38" s="2">
        <v>48.53</v>
      </c>
      <c r="C38" s="2" t="s">
        <v>6</v>
      </c>
      <c r="D38" s="2" t="s">
        <v>11</v>
      </c>
      <c r="E38" s="3" t="str">
        <f t="shared" si="0"/>
        <v>High</v>
      </c>
    </row>
    <row r="39" spans="1:5" x14ac:dyDescent="0.15">
      <c r="A39" s="2">
        <v>38</v>
      </c>
      <c r="B39" s="2">
        <v>39.729999999999997</v>
      </c>
      <c r="C39" s="2" t="s">
        <v>6</v>
      </c>
      <c r="D39" s="2" t="s">
        <v>23</v>
      </c>
      <c r="E39" s="3" t="str">
        <f t="shared" si="0"/>
        <v>Medium</v>
      </c>
    </row>
    <row r="40" spans="1:5" x14ac:dyDescent="0.15">
      <c r="A40" s="2">
        <v>39</v>
      </c>
      <c r="B40" s="2">
        <v>32.17</v>
      </c>
      <c r="C40" s="2" t="s">
        <v>6</v>
      </c>
      <c r="D40" s="2" t="s">
        <v>14</v>
      </c>
      <c r="E40" s="3" t="str">
        <f t="shared" si="0"/>
        <v>Low</v>
      </c>
    </row>
    <row r="41" spans="1:5" x14ac:dyDescent="0.15">
      <c r="A41" s="2">
        <v>40</v>
      </c>
      <c r="B41" s="2">
        <v>34.76</v>
      </c>
      <c r="C41" s="2" t="s">
        <v>28</v>
      </c>
      <c r="D41" s="2" t="s">
        <v>23</v>
      </c>
      <c r="E41" s="3" t="str">
        <f t="shared" si="0"/>
        <v>Low</v>
      </c>
    </row>
    <row r="42" spans="1:5" x14ac:dyDescent="0.15">
      <c r="A42" s="2">
        <v>41</v>
      </c>
      <c r="B42" s="2">
        <v>38.76</v>
      </c>
      <c r="C42" s="2" t="s">
        <v>6</v>
      </c>
      <c r="D42" s="2" t="s">
        <v>25</v>
      </c>
      <c r="E42" s="3" t="str">
        <f t="shared" si="0"/>
        <v>Medium</v>
      </c>
    </row>
    <row r="43" spans="1:5" x14ac:dyDescent="0.15">
      <c r="A43" s="2">
        <v>42</v>
      </c>
      <c r="B43" s="2">
        <v>48.53</v>
      </c>
      <c r="C43" s="2" t="s">
        <v>6</v>
      </c>
      <c r="D43" s="2" t="s">
        <v>11</v>
      </c>
      <c r="E43" s="3" t="str">
        <f t="shared" si="0"/>
        <v>High</v>
      </c>
    </row>
    <row r="44" spans="1:5" x14ac:dyDescent="0.15">
      <c r="A44" s="2">
        <v>43</v>
      </c>
      <c r="B44" s="2">
        <v>41.26</v>
      </c>
      <c r="C44" s="2" t="s">
        <v>28</v>
      </c>
      <c r="D44" s="2" t="s">
        <v>19</v>
      </c>
      <c r="E44" s="3" t="str">
        <f t="shared" si="0"/>
        <v>Medium</v>
      </c>
    </row>
    <row r="45" spans="1:5" x14ac:dyDescent="0.15">
      <c r="A45" s="2">
        <v>44</v>
      </c>
      <c r="B45" s="2">
        <v>48.66</v>
      </c>
      <c r="C45" s="2" t="s">
        <v>10</v>
      </c>
      <c r="D45" s="2" t="s">
        <v>11</v>
      </c>
      <c r="E45" s="3" t="str">
        <f t="shared" si="0"/>
        <v>High</v>
      </c>
    </row>
    <row r="46" spans="1:5" x14ac:dyDescent="0.15">
      <c r="A46" s="2">
        <v>45</v>
      </c>
      <c r="B46" s="2">
        <v>33.78</v>
      </c>
      <c r="C46" s="2" t="s">
        <v>6</v>
      </c>
      <c r="D46" s="2" t="s">
        <v>11</v>
      </c>
      <c r="E46" s="3" t="str">
        <f t="shared" si="0"/>
        <v>Low</v>
      </c>
    </row>
    <row r="47" spans="1:5" x14ac:dyDescent="0.15">
      <c r="A47" s="2">
        <v>46</v>
      </c>
      <c r="B47" s="2">
        <v>47.46</v>
      </c>
      <c r="C47" s="2" t="s">
        <v>10</v>
      </c>
      <c r="D47" s="2" t="s">
        <v>11</v>
      </c>
      <c r="E47" s="3" t="str">
        <f t="shared" si="0"/>
        <v>High</v>
      </c>
    </row>
    <row r="48" spans="1:5" x14ac:dyDescent="0.15">
      <c r="A48" s="2">
        <v>47</v>
      </c>
      <c r="B48" s="2">
        <v>32</v>
      </c>
      <c r="C48" s="2" t="s">
        <v>10</v>
      </c>
      <c r="D48" s="2" t="s">
        <v>14</v>
      </c>
      <c r="E48" s="3" t="str">
        <f t="shared" si="0"/>
        <v>Low</v>
      </c>
    </row>
    <row r="49" spans="1:5" x14ac:dyDescent="0.15">
      <c r="A49" s="2">
        <v>48</v>
      </c>
      <c r="B49" s="2">
        <v>35.409999999999997</v>
      </c>
      <c r="C49" s="2" t="s">
        <v>6</v>
      </c>
      <c r="D49" s="2" t="s">
        <v>23</v>
      </c>
      <c r="E49" s="3" t="str">
        <f t="shared" si="0"/>
        <v>Low</v>
      </c>
    </row>
    <row r="50" spans="1:5" x14ac:dyDescent="0.15">
      <c r="A50" s="2">
        <v>49</v>
      </c>
      <c r="B50" s="2">
        <v>44.57</v>
      </c>
      <c r="C50" s="2" t="s">
        <v>6</v>
      </c>
      <c r="D50" s="2" t="s">
        <v>25</v>
      </c>
      <c r="E50" s="3" t="str">
        <f t="shared" si="0"/>
        <v>Medium</v>
      </c>
    </row>
    <row r="51" spans="1:5" x14ac:dyDescent="0.15">
      <c r="A51" s="2">
        <v>50</v>
      </c>
      <c r="B51" s="2">
        <v>45.42</v>
      </c>
      <c r="C51" s="2" t="s">
        <v>6</v>
      </c>
      <c r="D51" s="2" t="s">
        <v>17</v>
      </c>
      <c r="E51" s="3" t="str">
        <f t="shared" si="0"/>
        <v>High</v>
      </c>
    </row>
    <row r="52" spans="1:5" x14ac:dyDescent="0.15">
      <c r="A52" s="2">
        <v>51</v>
      </c>
      <c r="B52" s="2">
        <v>43.26</v>
      </c>
      <c r="C52" s="2" t="s">
        <v>6</v>
      </c>
      <c r="D52" s="2" t="s">
        <v>19</v>
      </c>
      <c r="E52" s="3" t="str">
        <f t="shared" si="0"/>
        <v>Medium</v>
      </c>
    </row>
    <row r="53" spans="1:5" x14ac:dyDescent="0.15">
      <c r="A53" s="2">
        <v>52</v>
      </c>
      <c r="B53" s="2">
        <v>33.659999999999997</v>
      </c>
      <c r="C53" s="2" t="s">
        <v>6</v>
      </c>
      <c r="D53" s="2" t="s">
        <v>11</v>
      </c>
      <c r="E53" s="3" t="str">
        <f t="shared" si="0"/>
        <v>Low</v>
      </c>
    </row>
    <row r="54" spans="1:5" x14ac:dyDescent="0.15">
      <c r="A54" s="2">
        <v>53</v>
      </c>
      <c r="B54" s="2">
        <v>33.659999999999997</v>
      </c>
      <c r="C54" s="2" t="s">
        <v>6</v>
      </c>
      <c r="D54" s="2" t="s">
        <v>11</v>
      </c>
      <c r="E54" s="3" t="str">
        <f t="shared" si="0"/>
        <v>Low</v>
      </c>
    </row>
    <row r="55" spans="1:5" x14ac:dyDescent="0.15">
      <c r="A55" s="2">
        <v>54</v>
      </c>
      <c r="B55" s="2">
        <v>48.95</v>
      </c>
      <c r="C55" s="2" t="s">
        <v>10</v>
      </c>
      <c r="D55" s="2" t="s">
        <v>11</v>
      </c>
      <c r="E55" s="3" t="str">
        <f t="shared" si="0"/>
        <v>High</v>
      </c>
    </row>
    <row r="56" spans="1:5" x14ac:dyDescent="0.15">
      <c r="A56" s="2">
        <v>55</v>
      </c>
      <c r="B56" s="2">
        <v>47.18</v>
      </c>
      <c r="C56" s="2" t="s">
        <v>6</v>
      </c>
      <c r="D56" s="2" t="s">
        <v>14</v>
      </c>
      <c r="E56" s="3" t="str">
        <f t="shared" si="0"/>
        <v>High</v>
      </c>
    </row>
    <row r="57" spans="1:5" x14ac:dyDescent="0.15">
      <c r="A57" s="2">
        <v>56</v>
      </c>
      <c r="B57" s="2">
        <v>44.57</v>
      </c>
      <c r="C57" s="2" t="s">
        <v>6</v>
      </c>
      <c r="D57" s="2" t="s">
        <v>23</v>
      </c>
      <c r="E57" s="3" t="str">
        <f t="shared" si="0"/>
        <v>Medium</v>
      </c>
    </row>
    <row r="58" spans="1:5" x14ac:dyDescent="0.15">
      <c r="A58" s="2">
        <v>57</v>
      </c>
      <c r="B58" s="2">
        <v>43.73</v>
      </c>
      <c r="C58" s="2" t="s">
        <v>6</v>
      </c>
      <c r="D58" s="2" t="s">
        <v>25</v>
      </c>
      <c r="E58" s="3" t="str">
        <f t="shared" si="0"/>
        <v>Medium</v>
      </c>
    </row>
    <row r="59" spans="1:5" x14ac:dyDescent="0.15">
      <c r="A59" s="2">
        <v>58</v>
      </c>
      <c r="B59" s="2">
        <v>44.9</v>
      </c>
      <c r="C59" s="2" t="s">
        <v>6</v>
      </c>
      <c r="D59" s="2"/>
      <c r="E59" s="3" t="str">
        <f t="shared" si="0"/>
        <v>High</v>
      </c>
    </row>
    <row r="60" spans="1:5" x14ac:dyDescent="0.15">
      <c r="A60" s="2">
        <v>59</v>
      </c>
      <c r="B60" s="2">
        <v>42.92</v>
      </c>
      <c r="C60" s="2" t="s">
        <v>10</v>
      </c>
      <c r="D60" s="2" t="s">
        <v>19</v>
      </c>
      <c r="E60" s="3" t="str">
        <f t="shared" si="0"/>
        <v>Medium</v>
      </c>
    </row>
    <row r="61" spans="1:5" x14ac:dyDescent="0.15">
      <c r="A61" s="2">
        <v>60</v>
      </c>
      <c r="B61" s="2">
        <v>42.85</v>
      </c>
      <c r="C61" s="2" t="s">
        <v>6</v>
      </c>
      <c r="D61" s="2" t="s">
        <v>23</v>
      </c>
      <c r="E61" s="3" t="str">
        <f t="shared" si="0"/>
        <v>Medium</v>
      </c>
    </row>
    <row r="62" spans="1:5" x14ac:dyDescent="0.15">
      <c r="A62" s="2">
        <v>61</v>
      </c>
      <c r="B62" s="2">
        <v>32.35</v>
      </c>
      <c r="C62" s="2" t="s">
        <v>6</v>
      </c>
      <c r="D62" s="2" t="s">
        <v>19</v>
      </c>
      <c r="E62" s="3" t="str">
        <f t="shared" si="0"/>
        <v>Low</v>
      </c>
    </row>
    <row r="63" spans="1:5" x14ac:dyDescent="0.15">
      <c r="A63" s="2">
        <v>62</v>
      </c>
      <c r="B63" s="2">
        <v>27.18</v>
      </c>
      <c r="C63" s="2" t="s">
        <v>6</v>
      </c>
      <c r="D63" s="2" t="s">
        <v>11</v>
      </c>
      <c r="E63" s="3" t="str">
        <f t="shared" si="0"/>
        <v>Low</v>
      </c>
    </row>
    <row r="64" spans="1:5" x14ac:dyDescent="0.15">
      <c r="A64" s="2">
        <v>63</v>
      </c>
      <c r="B64" s="2">
        <v>32.96</v>
      </c>
      <c r="C64" s="2" t="s">
        <v>6</v>
      </c>
      <c r="D64" s="2" t="s">
        <v>14</v>
      </c>
      <c r="E64" s="3" t="str">
        <f t="shared" si="0"/>
        <v>Low</v>
      </c>
    </row>
    <row r="65" spans="1:5" x14ac:dyDescent="0.15">
      <c r="A65" s="2">
        <v>64</v>
      </c>
      <c r="B65" s="2">
        <v>33.979999999999997</v>
      </c>
      <c r="C65" s="2" t="s">
        <v>6</v>
      </c>
      <c r="D65" s="2" t="s">
        <v>23</v>
      </c>
      <c r="E65" s="3" t="str">
        <f t="shared" si="0"/>
        <v>Low</v>
      </c>
    </row>
    <row r="66" spans="1:5" x14ac:dyDescent="0.15">
      <c r="A66" s="2">
        <v>65</v>
      </c>
      <c r="B66" s="2">
        <v>34.07</v>
      </c>
      <c r="C66" s="2" t="s">
        <v>10</v>
      </c>
      <c r="D66" s="2" t="s">
        <v>25</v>
      </c>
      <c r="E66" s="3" t="str">
        <f t="shared" si="0"/>
        <v>Low</v>
      </c>
    </row>
    <row r="67" spans="1:5" x14ac:dyDescent="0.15">
      <c r="A67" s="2">
        <v>66</v>
      </c>
      <c r="B67" s="2">
        <v>26.09</v>
      </c>
      <c r="C67" s="2" t="s">
        <v>6</v>
      </c>
      <c r="D67" s="2"/>
      <c r="E67" s="3" t="str">
        <f t="shared" ref="E67:E130" si="1">IF(B67&lt;=$L$2,"Low",IF(B67&lt;=$L$3,"Medium",IF(B67&lt;=$L$4,"High")))</f>
        <v>Low</v>
      </c>
    </row>
    <row r="68" spans="1:5" x14ac:dyDescent="0.15">
      <c r="A68" s="2">
        <v>67</v>
      </c>
      <c r="B68" s="2">
        <v>41.5</v>
      </c>
      <c r="C68" s="2" t="s">
        <v>10</v>
      </c>
      <c r="D68" s="2" t="s">
        <v>19</v>
      </c>
      <c r="E68" s="3" t="str">
        <f t="shared" si="1"/>
        <v>Medium</v>
      </c>
    </row>
    <row r="69" spans="1:5" x14ac:dyDescent="0.15">
      <c r="A69" s="2">
        <v>68</v>
      </c>
      <c r="B69" s="2">
        <v>25.4</v>
      </c>
      <c r="C69" s="2" t="s">
        <v>6</v>
      </c>
      <c r="D69" s="2" t="s">
        <v>11</v>
      </c>
      <c r="E69" s="3" t="str">
        <f t="shared" si="1"/>
        <v>Low</v>
      </c>
    </row>
    <row r="70" spans="1:5" x14ac:dyDescent="0.15">
      <c r="A70" s="2">
        <v>69</v>
      </c>
      <c r="B70" s="2">
        <v>35.78</v>
      </c>
      <c r="C70" s="2" t="s">
        <v>6</v>
      </c>
      <c r="D70" s="2" t="s">
        <v>14</v>
      </c>
      <c r="E70" s="3" t="str">
        <f t="shared" si="1"/>
        <v>Low</v>
      </c>
    </row>
    <row r="71" spans="1:5" x14ac:dyDescent="0.15">
      <c r="A71" s="2">
        <v>70</v>
      </c>
      <c r="B71" s="2">
        <v>49.77</v>
      </c>
      <c r="C71" s="2" t="s">
        <v>6</v>
      </c>
      <c r="D71" s="2" t="s">
        <v>19</v>
      </c>
      <c r="E71" s="3" t="str">
        <f t="shared" si="1"/>
        <v>High</v>
      </c>
    </row>
    <row r="72" spans="1:5" x14ac:dyDescent="0.15">
      <c r="A72" s="2">
        <v>71</v>
      </c>
      <c r="B72" s="2">
        <v>30.74</v>
      </c>
      <c r="C72" s="2" t="s">
        <v>6</v>
      </c>
      <c r="D72" s="2" t="s">
        <v>23</v>
      </c>
      <c r="E72" s="3" t="str">
        <f t="shared" si="1"/>
        <v>Low</v>
      </c>
    </row>
    <row r="73" spans="1:5" x14ac:dyDescent="0.15">
      <c r="A73" s="2">
        <v>72</v>
      </c>
      <c r="B73" s="2">
        <v>45.47</v>
      </c>
      <c r="C73" s="2" t="s">
        <v>10</v>
      </c>
      <c r="D73" s="2" t="s">
        <v>11</v>
      </c>
      <c r="E73" s="3" t="str">
        <f t="shared" si="1"/>
        <v>High</v>
      </c>
    </row>
    <row r="74" spans="1:5" x14ac:dyDescent="0.15">
      <c r="A74" s="2">
        <v>73</v>
      </c>
      <c r="B74" s="2">
        <v>43.73</v>
      </c>
      <c r="C74" s="2" t="s">
        <v>28</v>
      </c>
      <c r="D74" s="2" t="s">
        <v>25</v>
      </c>
      <c r="E74" s="3" t="str">
        <f t="shared" si="1"/>
        <v>Medium</v>
      </c>
    </row>
    <row r="75" spans="1:5" x14ac:dyDescent="0.15">
      <c r="A75" s="2">
        <v>74</v>
      </c>
      <c r="B75" s="2">
        <v>44.51</v>
      </c>
      <c r="C75" s="2" t="s">
        <v>6</v>
      </c>
      <c r="D75" s="2" t="s">
        <v>23</v>
      </c>
      <c r="E75" s="3" t="str">
        <f t="shared" si="1"/>
        <v>Medium</v>
      </c>
    </row>
    <row r="76" spans="1:5" x14ac:dyDescent="0.15">
      <c r="A76" s="2">
        <v>75</v>
      </c>
      <c r="B76" s="2">
        <v>42.92</v>
      </c>
      <c r="C76" s="2" t="s">
        <v>10</v>
      </c>
      <c r="D76" s="2" t="s">
        <v>19</v>
      </c>
      <c r="E76" s="3" t="str">
        <f t="shared" si="1"/>
        <v>Medium</v>
      </c>
    </row>
    <row r="77" spans="1:5" x14ac:dyDescent="0.15">
      <c r="A77" s="2">
        <v>76</v>
      </c>
      <c r="B77" s="2">
        <v>31.33</v>
      </c>
      <c r="C77" s="2" t="s">
        <v>6</v>
      </c>
      <c r="D77" s="2" t="s">
        <v>17</v>
      </c>
      <c r="E77" s="3" t="str">
        <f t="shared" si="1"/>
        <v>Low</v>
      </c>
    </row>
    <row r="78" spans="1:5" x14ac:dyDescent="0.15">
      <c r="A78" s="2">
        <v>77</v>
      </c>
      <c r="B78" s="2">
        <v>29</v>
      </c>
      <c r="C78" s="2" t="s">
        <v>10</v>
      </c>
      <c r="D78" s="2" t="s">
        <v>19</v>
      </c>
      <c r="E78" s="3" t="str">
        <f t="shared" si="1"/>
        <v>Low</v>
      </c>
    </row>
    <row r="79" spans="1:5" x14ac:dyDescent="0.15">
      <c r="A79" s="2">
        <v>78</v>
      </c>
      <c r="B79" s="2">
        <v>25.4</v>
      </c>
      <c r="C79" s="2" t="s">
        <v>6</v>
      </c>
      <c r="D79" s="2" t="s">
        <v>11</v>
      </c>
      <c r="E79" s="3" t="str">
        <f t="shared" si="1"/>
        <v>Low</v>
      </c>
    </row>
    <row r="80" spans="1:5" x14ac:dyDescent="0.15">
      <c r="A80" s="2">
        <v>79</v>
      </c>
      <c r="B80" s="2">
        <v>50</v>
      </c>
      <c r="C80" s="2" t="s">
        <v>10</v>
      </c>
      <c r="D80" s="2" t="s">
        <v>11</v>
      </c>
      <c r="E80" s="3" t="str">
        <f t="shared" si="1"/>
        <v>High</v>
      </c>
    </row>
    <row r="81" spans="1:5" x14ac:dyDescent="0.15">
      <c r="A81" s="2">
        <v>80</v>
      </c>
      <c r="B81" s="2">
        <v>34.76</v>
      </c>
      <c r="C81" s="2" t="s">
        <v>28</v>
      </c>
      <c r="D81" s="2" t="s">
        <v>11</v>
      </c>
      <c r="E81" s="3" t="str">
        <f t="shared" si="1"/>
        <v>Low</v>
      </c>
    </row>
    <row r="82" spans="1:5" x14ac:dyDescent="0.15">
      <c r="A82" s="2">
        <v>81</v>
      </c>
      <c r="B82" s="2">
        <v>34.01</v>
      </c>
      <c r="C82" s="2" t="s">
        <v>6</v>
      </c>
      <c r="D82" s="2" t="s">
        <v>14</v>
      </c>
      <c r="E82" s="3" t="str">
        <f t="shared" si="1"/>
        <v>Low</v>
      </c>
    </row>
    <row r="83" spans="1:5" x14ac:dyDescent="0.15">
      <c r="A83" s="2">
        <v>82</v>
      </c>
      <c r="B83" s="2">
        <v>41.26</v>
      </c>
      <c r="C83" s="2" t="s">
        <v>28</v>
      </c>
      <c r="D83" s="2" t="s">
        <v>23</v>
      </c>
      <c r="E83" s="3" t="str">
        <f t="shared" si="1"/>
        <v>Medium</v>
      </c>
    </row>
    <row r="84" spans="1:5" x14ac:dyDescent="0.15">
      <c r="A84" s="2">
        <v>83</v>
      </c>
      <c r="B84" s="2">
        <v>37.590000000000003</v>
      </c>
      <c r="C84" s="2" t="s">
        <v>6</v>
      </c>
      <c r="D84" s="2" t="s">
        <v>23</v>
      </c>
      <c r="E84" s="3" t="str">
        <f t="shared" si="1"/>
        <v>Medium</v>
      </c>
    </row>
    <row r="85" spans="1:5" x14ac:dyDescent="0.15">
      <c r="A85" s="2">
        <v>84</v>
      </c>
      <c r="B85" s="2">
        <v>42.92</v>
      </c>
      <c r="C85" s="2" t="s">
        <v>10</v>
      </c>
      <c r="D85" s="2" t="s">
        <v>19</v>
      </c>
      <c r="E85" s="3" t="str">
        <f t="shared" si="1"/>
        <v>Medium</v>
      </c>
    </row>
    <row r="86" spans="1:5" x14ac:dyDescent="0.15">
      <c r="A86" s="2">
        <v>85</v>
      </c>
      <c r="B86" s="2">
        <v>32.700000000000003</v>
      </c>
      <c r="C86" s="2" t="s">
        <v>6</v>
      </c>
      <c r="D86" s="2" t="s">
        <v>23</v>
      </c>
      <c r="E86" s="3" t="str">
        <f t="shared" si="1"/>
        <v>Low</v>
      </c>
    </row>
    <row r="87" spans="1:5" x14ac:dyDescent="0.15">
      <c r="A87" s="2">
        <v>86</v>
      </c>
      <c r="B87" s="2">
        <v>27.18</v>
      </c>
      <c r="C87" s="2" t="s">
        <v>6</v>
      </c>
      <c r="D87" s="2" t="s">
        <v>11</v>
      </c>
      <c r="E87" s="3" t="str">
        <f t="shared" si="1"/>
        <v>Low</v>
      </c>
    </row>
    <row r="88" spans="1:5" x14ac:dyDescent="0.15">
      <c r="A88" s="2">
        <v>87</v>
      </c>
      <c r="B88" s="2">
        <v>41.88</v>
      </c>
      <c r="C88" s="2" t="s">
        <v>10</v>
      </c>
      <c r="D88" s="2" t="s">
        <v>25</v>
      </c>
      <c r="E88" s="3" t="str">
        <f t="shared" si="1"/>
        <v>Medium</v>
      </c>
    </row>
    <row r="89" spans="1:5" x14ac:dyDescent="0.15">
      <c r="A89" s="2">
        <v>88</v>
      </c>
      <c r="B89" s="2">
        <v>31</v>
      </c>
      <c r="C89" s="2" t="s">
        <v>28</v>
      </c>
      <c r="D89" s="2" t="s">
        <v>17</v>
      </c>
      <c r="E89" s="3" t="str">
        <f t="shared" si="1"/>
        <v>Low</v>
      </c>
    </row>
    <row r="90" spans="1:5" x14ac:dyDescent="0.15">
      <c r="A90" s="2">
        <v>89</v>
      </c>
      <c r="B90" s="2">
        <v>41.93</v>
      </c>
      <c r="C90" s="2" t="s">
        <v>6</v>
      </c>
      <c r="D90" s="2"/>
      <c r="E90" s="3" t="str">
        <f t="shared" si="1"/>
        <v>Medium</v>
      </c>
    </row>
    <row r="91" spans="1:5" x14ac:dyDescent="0.15">
      <c r="A91" s="2">
        <v>90</v>
      </c>
      <c r="B91" s="2">
        <v>43</v>
      </c>
      <c r="C91" s="2" t="s">
        <v>10</v>
      </c>
      <c r="D91" s="2" t="s">
        <v>14</v>
      </c>
      <c r="E91" s="3" t="str">
        <f t="shared" si="1"/>
        <v>Medium</v>
      </c>
    </row>
    <row r="92" spans="1:5" x14ac:dyDescent="0.15">
      <c r="A92" s="2">
        <v>91</v>
      </c>
      <c r="B92" s="2">
        <v>33.450000000000003</v>
      </c>
      <c r="C92" s="2" t="s">
        <v>6</v>
      </c>
      <c r="D92" s="2" t="s">
        <v>19</v>
      </c>
      <c r="E92" s="3" t="str">
        <f t="shared" si="1"/>
        <v>Low</v>
      </c>
    </row>
    <row r="93" spans="1:5" x14ac:dyDescent="0.15">
      <c r="A93" s="2">
        <v>92</v>
      </c>
      <c r="B93" s="2">
        <v>49.77</v>
      </c>
      <c r="C93" s="2" t="s">
        <v>6</v>
      </c>
      <c r="D93" s="2" t="s">
        <v>19</v>
      </c>
      <c r="E93" s="3" t="str">
        <f t="shared" si="1"/>
        <v>High</v>
      </c>
    </row>
    <row r="94" spans="1:5" x14ac:dyDescent="0.15">
      <c r="A94" s="2">
        <v>93</v>
      </c>
      <c r="B94" s="2">
        <v>44.51</v>
      </c>
      <c r="C94" s="2" t="s">
        <v>6</v>
      </c>
      <c r="D94" s="2" t="s">
        <v>23</v>
      </c>
      <c r="E94" s="3" t="str">
        <f t="shared" si="1"/>
        <v>Medium</v>
      </c>
    </row>
    <row r="95" spans="1:5" x14ac:dyDescent="0.15">
      <c r="A95" s="2">
        <v>94</v>
      </c>
      <c r="B95" s="2">
        <v>45.01</v>
      </c>
      <c r="C95" s="2" t="s">
        <v>10</v>
      </c>
      <c r="D95" s="2" t="s">
        <v>11</v>
      </c>
      <c r="E95" s="3" t="str">
        <f t="shared" si="1"/>
        <v>High</v>
      </c>
    </row>
    <row r="96" spans="1:5" x14ac:dyDescent="0.15">
      <c r="A96" s="2">
        <v>95</v>
      </c>
      <c r="B96" s="2">
        <v>45.02</v>
      </c>
      <c r="C96" s="2" t="s">
        <v>10</v>
      </c>
      <c r="D96" s="2" t="s">
        <v>11</v>
      </c>
      <c r="E96" s="3" t="str">
        <f t="shared" si="1"/>
        <v>High</v>
      </c>
    </row>
    <row r="97" spans="1:5" x14ac:dyDescent="0.15">
      <c r="A97" s="2">
        <v>96</v>
      </c>
      <c r="B97" s="2">
        <v>41.14</v>
      </c>
      <c r="C97" s="2" t="s">
        <v>6</v>
      </c>
      <c r="D97" s="2" t="s">
        <v>11</v>
      </c>
      <c r="E97" s="3" t="str">
        <f t="shared" si="1"/>
        <v>Medium</v>
      </c>
    </row>
    <row r="98" spans="1:5" x14ac:dyDescent="0.15">
      <c r="A98" s="2">
        <v>97</v>
      </c>
      <c r="B98" s="2">
        <v>48.09</v>
      </c>
      <c r="C98" s="2" t="s">
        <v>6</v>
      </c>
      <c r="D98" s="2" t="s">
        <v>17</v>
      </c>
      <c r="E98" s="3" t="str">
        <f t="shared" si="1"/>
        <v>High</v>
      </c>
    </row>
    <row r="99" spans="1:5" x14ac:dyDescent="0.15">
      <c r="A99" s="2">
        <v>98</v>
      </c>
      <c r="B99" s="2">
        <v>46.18</v>
      </c>
      <c r="C99" s="2" t="s">
        <v>10</v>
      </c>
      <c r="D99" s="2" t="s">
        <v>11</v>
      </c>
      <c r="E99" s="3" t="str">
        <f t="shared" si="1"/>
        <v>High</v>
      </c>
    </row>
    <row r="100" spans="1:5" x14ac:dyDescent="0.15">
      <c r="A100" s="2">
        <v>99</v>
      </c>
      <c r="B100" s="2">
        <v>45.73</v>
      </c>
      <c r="C100" s="2" t="s">
        <v>10</v>
      </c>
      <c r="D100" s="2" t="s">
        <v>11</v>
      </c>
      <c r="E100" s="3" t="str">
        <f t="shared" si="1"/>
        <v>High</v>
      </c>
    </row>
    <row r="101" spans="1:5" x14ac:dyDescent="0.15">
      <c r="A101" s="2">
        <v>100</v>
      </c>
      <c r="B101" s="2">
        <v>47.13</v>
      </c>
      <c r="C101" s="2" t="s">
        <v>6</v>
      </c>
      <c r="D101" s="2" t="s">
        <v>11</v>
      </c>
      <c r="E101" s="3" t="str">
        <f t="shared" si="1"/>
        <v>High</v>
      </c>
    </row>
    <row r="102" spans="1:5" x14ac:dyDescent="0.15">
      <c r="A102" s="2">
        <v>101</v>
      </c>
      <c r="B102" s="2">
        <v>47.72</v>
      </c>
      <c r="C102" s="2" t="s">
        <v>6</v>
      </c>
      <c r="D102" s="2" t="s">
        <v>14</v>
      </c>
      <c r="E102" s="3" t="str">
        <f t="shared" si="1"/>
        <v>High</v>
      </c>
    </row>
    <row r="103" spans="1:5" x14ac:dyDescent="0.15">
      <c r="A103" s="2">
        <v>102</v>
      </c>
      <c r="B103" s="2">
        <v>40.18</v>
      </c>
      <c r="C103" s="2" t="s">
        <v>6</v>
      </c>
      <c r="D103" s="2" t="s">
        <v>23</v>
      </c>
      <c r="E103" s="3" t="str">
        <f t="shared" si="1"/>
        <v>Medium</v>
      </c>
    </row>
    <row r="104" spans="1:5" x14ac:dyDescent="0.15">
      <c r="A104" s="2">
        <v>103</v>
      </c>
      <c r="B104" s="2">
        <v>37.53</v>
      </c>
      <c r="C104" s="2" t="s">
        <v>6</v>
      </c>
      <c r="D104" s="2" t="s">
        <v>14</v>
      </c>
      <c r="E104" s="3" t="str">
        <f t="shared" si="1"/>
        <v>Medium</v>
      </c>
    </row>
    <row r="105" spans="1:5" x14ac:dyDescent="0.15">
      <c r="A105" s="2">
        <v>104</v>
      </c>
      <c r="B105" s="2">
        <v>29.56</v>
      </c>
      <c r="C105" s="2" t="s">
        <v>6</v>
      </c>
      <c r="D105" s="2" t="s">
        <v>25</v>
      </c>
      <c r="E105" s="3" t="str">
        <f t="shared" si="1"/>
        <v>Low</v>
      </c>
    </row>
    <row r="106" spans="1:5" x14ac:dyDescent="0.15">
      <c r="A106" s="2">
        <v>105</v>
      </c>
      <c r="B106" s="2">
        <v>48.71</v>
      </c>
      <c r="C106" s="2" t="s">
        <v>10</v>
      </c>
      <c r="D106" s="2" t="s">
        <v>11</v>
      </c>
      <c r="E106" s="3" t="str">
        <f t="shared" si="1"/>
        <v>High</v>
      </c>
    </row>
    <row r="107" spans="1:5" x14ac:dyDescent="0.15">
      <c r="A107" s="2">
        <v>106</v>
      </c>
      <c r="B107" s="2">
        <v>36.75</v>
      </c>
      <c r="C107" s="2" t="s">
        <v>6</v>
      </c>
      <c r="D107" s="2" t="s">
        <v>17</v>
      </c>
      <c r="E107" s="3" t="str">
        <f t="shared" si="1"/>
        <v>Low</v>
      </c>
    </row>
    <row r="108" spans="1:5" x14ac:dyDescent="0.15">
      <c r="A108" s="2">
        <v>107</v>
      </c>
      <c r="B108" s="2">
        <v>37.229999999999997</v>
      </c>
      <c r="C108" s="2" t="s">
        <v>6</v>
      </c>
      <c r="D108" s="2" t="s">
        <v>17</v>
      </c>
      <c r="E108" s="3" t="str">
        <f t="shared" si="1"/>
        <v>Low</v>
      </c>
    </row>
    <row r="109" spans="1:5" x14ac:dyDescent="0.15">
      <c r="A109" s="2">
        <v>108</v>
      </c>
      <c r="B109" s="2">
        <v>43.12</v>
      </c>
      <c r="C109" s="2" t="s">
        <v>6</v>
      </c>
      <c r="D109" s="2"/>
      <c r="E109" s="3" t="str">
        <f t="shared" si="1"/>
        <v>Medium</v>
      </c>
    </row>
    <row r="110" spans="1:5" x14ac:dyDescent="0.15">
      <c r="A110" s="2">
        <v>109</v>
      </c>
      <c r="B110" s="2">
        <v>43.95</v>
      </c>
      <c r="C110" s="2" t="s">
        <v>10</v>
      </c>
      <c r="D110" s="2" t="s">
        <v>11</v>
      </c>
      <c r="E110" s="3" t="str">
        <f t="shared" si="1"/>
        <v>Medium</v>
      </c>
    </row>
    <row r="111" spans="1:5" x14ac:dyDescent="0.15">
      <c r="A111" s="2">
        <v>110</v>
      </c>
      <c r="B111" s="2">
        <v>51</v>
      </c>
      <c r="C111" s="2" t="s">
        <v>6</v>
      </c>
      <c r="D111" s="2" t="s">
        <v>17</v>
      </c>
      <c r="E111" s="3" t="str">
        <f t="shared" si="1"/>
        <v>High</v>
      </c>
    </row>
    <row r="112" spans="1:5" x14ac:dyDescent="0.15">
      <c r="A112" s="2">
        <v>111</v>
      </c>
      <c r="B112" s="2">
        <v>42.04</v>
      </c>
      <c r="C112" s="2" t="s">
        <v>10</v>
      </c>
      <c r="D112" s="2" t="s">
        <v>11</v>
      </c>
      <c r="E112" s="3" t="str">
        <f t="shared" si="1"/>
        <v>Medium</v>
      </c>
    </row>
    <row r="113" spans="1:5" x14ac:dyDescent="0.15">
      <c r="A113" s="2">
        <v>112</v>
      </c>
      <c r="B113" s="2">
        <v>33.659999999999997</v>
      </c>
      <c r="C113" s="2" t="s">
        <v>6</v>
      </c>
      <c r="D113" s="2" t="s">
        <v>11</v>
      </c>
      <c r="E113" s="3" t="str">
        <f t="shared" si="1"/>
        <v>Low</v>
      </c>
    </row>
    <row r="114" spans="1:5" x14ac:dyDescent="0.15">
      <c r="A114" s="2">
        <v>113</v>
      </c>
      <c r="B114" s="2">
        <v>36.130000000000003</v>
      </c>
      <c r="C114" s="2" t="s">
        <v>28</v>
      </c>
      <c r="D114" s="2" t="s">
        <v>11</v>
      </c>
      <c r="E114" s="3" t="str">
        <f t="shared" si="1"/>
        <v>Low</v>
      </c>
    </row>
    <row r="115" spans="1:5" x14ac:dyDescent="0.15">
      <c r="A115" s="2">
        <v>114</v>
      </c>
      <c r="B115" s="2">
        <v>47.16</v>
      </c>
      <c r="C115" s="2" t="s">
        <v>10</v>
      </c>
      <c r="D115" s="2" t="s">
        <v>11</v>
      </c>
      <c r="E115" s="3" t="str">
        <f t="shared" si="1"/>
        <v>High</v>
      </c>
    </row>
    <row r="116" spans="1:5" x14ac:dyDescent="0.15">
      <c r="A116" s="2">
        <v>115</v>
      </c>
      <c r="B116" s="2">
        <v>40.18</v>
      </c>
      <c r="C116" s="2" t="s">
        <v>6</v>
      </c>
      <c r="D116" s="2" t="s">
        <v>23</v>
      </c>
      <c r="E116" s="3" t="str">
        <f t="shared" si="1"/>
        <v>Medium</v>
      </c>
    </row>
    <row r="117" spans="1:5" x14ac:dyDescent="0.15">
      <c r="A117" s="2">
        <v>116</v>
      </c>
      <c r="B117" s="2">
        <v>42.61</v>
      </c>
      <c r="C117" s="2" t="s">
        <v>10</v>
      </c>
      <c r="D117" s="2" t="s">
        <v>11</v>
      </c>
      <c r="E117" s="3" t="str">
        <f t="shared" si="1"/>
        <v>Medium</v>
      </c>
    </row>
    <row r="118" spans="1:5" x14ac:dyDescent="0.15">
      <c r="A118" s="2">
        <v>117</v>
      </c>
      <c r="B118" s="2">
        <v>35.71</v>
      </c>
      <c r="C118" s="2" t="s">
        <v>6</v>
      </c>
      <c r="D118" s="2" t="s">
        <v>23</v>
      </c>
      <c r="E118" s="3" t="str">
        <f t="shared" si="1"/>
        <v>Low</v>
      </c>
    </row>
    <row r="119" spans="1:5" x14ac:dyDescent="0.15">
      <c r="A119" s="2">
        <v>118</v>
      </c>
      <c r="B119" s="2">
        <v>36.11</v>
      </c>
      <c r="C119" s="2" t="s">
        <v>6</v>
      </c>
      <c r="D119" s="2" t="s">
        <v>25</v>
      </c>
      <c r="E119" s="3" t="str">
        <f t="shared" si="1"/>
        <v>Low</v>
      </c>
    </row>
    <row r="120" spans="1:5" x14ac:dyDescent="0.15">
      <c r="A120" s="2">
        <v>119</v>
      </c>
      <c r="B120" s="2">
        <v>48.93</v>
      </c>
      <c r="C120" s="2" t="s">
        <v>6</v>
      </c>
      <c r="D120" s="2" t="s">
        <v>17</v>
      </c>
      <c r="E120" s="3" t="str">
        <f t="shared" si="1"/>
        <v>High</v>
      </c>
    </row>
    <row r="121" spans="1:5" x14ac:dyDescent="0.15">
      <c r="A121" s="2">
        <v>120</v>
      </c>
      <c r="B121" s="2">
        <v>44.9</v>
      </c>
      <c r="C121" s="2" t="s">
        <v>6</v>
      </c>
      <c r="D121" s="2" t="s">
        <v>17</v>
      </c>
      <c r="E121" s="3" t="str">
        <f t="shared" si="1"/>
        <v>High</v>
      </c>
    </row>
    <row r="122" spans="1:5" x14ac:dyDescent="0.15">
      <c r="A122" s="2">
        <v>121</v>
      </c>
      <c r="B122" s="2">
        <v>48.71</v>
      </c>
      <c r="C122" s="2" t="s">
        <v>6</v>
      </c>
      <c r="D122" s="2" t="s">
        <v>17</v>
      </c>
      <c r="E122" s="3" t="str">
        <f t="shared" si="1"/>
        <v>High</v>
      </c>
    </row>
    <row r="123" spans="1:5" x14ac:dyDescent="0.15">
      <c r="A123" s="2">
        <v>122</v>
      </c>
      <c r="B123" s="2">
        <v>32.94</v>
      </c>
      <c r="C123" s="2" t="s">
        <v>6</v>
      </c>
      <c r="D123" s="2" t="s">
        <v>19</v>
      </c>
      <c r="E123" s="3" t="str">
        <f t="shared" si="1"/>
        <v>Low</v>
      </c>
    </row>
    <row r="124" spans="1:5" x14ac:dyDescent="0.15">
      <c r="A124" s="2">
        <v>123</v>
      </c>
      <c r="B124" s="2">
        <v>48.53</v>
      </c>
      <c r="C124" s="2" t="s">
        <v>6</v>
      </c>
      <c r="D124" s="2" t="s">
        <v>11</v>
      </c>
      <c r="E124" s="3" t="str">
        <f t="shared" si="1"/>
        <v>High</v>
      </c>
    </row>
    <row r="125" spans="1:5" x14ac:dyDescent="0.15">
      <c r="A125" s="2">
        <v>124</v>
      </c>
      <c r="B125" s="2">
        <v>44.9</v>
      </c>
      <c r="C125" s="2" t="s">
        <v>6</v>
      </c>
      <c r="D125" s="2" t="s">
        <v>17</v>
      </c>
      <c r="E125" s="3" t="str">
        <f t="shared" si="1"/>
        <v>High</v>
      </c>
    </row>
    <row r="126" spans="1:5" x14ac:dyDescent="0.15">
      <c r="A126" s="2">
        <v>125</v>
      </c>
      <c r="B126" s="2">
        <v>47.72</v>
      </c>
      <c r="C126" s="2" t="s">
        <v>28</v>
      </c>
      <c r="D126" s="2" t="s">
        <v>11</v>
      </c>
      <c r="E126" s="3" t="str">
        <f t="shared" si="1"/>
        <v>High</v>
      </c>
    </row>
    <row r="127" spans="1:5" x14ac:dyDescent="0.15">
      <c r="A127" s="2">
        <v>126</v>
      </c>
      <c r="B127" s="2">
        <v>42.58</v>
      </c>
      <c r="C127" s="2" t="s">
        <v>10</v>
      </c>
      <c r="D127" s="2" t="s">
        <v>14</v>
      </c>
      <c r="E127" s="3" t="str">
        <f t="shared" si="1"/>
        <v>Medium</v>
      </c>
    </row>
    <row r="128" spans="1:5" x14ac:dyDescent="0.15">
      <c r="A128" s="2">
        <v>127</v>
      </c>
      <c r="B128" s="2">
        <v>25.17</v>
      </c>
      <c r="C128" s="2" t="s">
        <v>28</v>
      </c>
      <c r="D128" s="2" t="s">
        <v>14</v>
      </c>
      <c r="E128" s="3" t="str">
        <f t="shared" si="1"/>
        <v>Low</v>
      </c>
    </row>
    <row r="129" spans="1:5" x14ac:dyDescent="0.15">
      <c r="A129" s="2">
        <v>128</v>
      </c>
      <c r="B129" s="2">
        <v>47.1</v>
      </c>
      <c r="C129" s="2" t="s">
        <v>10</v>
      </c>
      <c r="D129" s="2" t="s">
        <v>17</v>
      </c>
      <c r="E129" s="3" t="str">
        <f t="shared" si="1"/>
        <v>High</v>
      </c>
    </row>
    <row r="130" spans="1:5" x14ac:dyDescent="0.15">
      <c r="A130" s="2">
        <v>129</v>
      </c>
      <c r="B130" s="2">
        <v>47.79</v>
      </c>
      <c r="C130" s="2" t="s">
        <v>10</v>
      </c>
      <c r="D130" s="2" t="s">
        <v>11</v>
      </c>
      <c r="E130" s="3" t="str">
        <f t="shared" si="1"/>
        <v>High</v>
      </c>
    </row>
    <row r="131" spans="1:5" x14ac:dyDescent="0.15">
      <c r="A131" s="2">
        <v>130</v>
      </c>
      <c r="B131" s="2">
        <v>48.98</v>
      </c>
      <c r="C131" s="2" t="s">
        <v>10</v>
      </c>
      <c r="D131" s="2" t="s">
        <v>25</v>
      </c>
      <c r="E131" s="3" t="str">
        <f t="shared" ref="E131:E194" si="2">IF(B131&lt;=$L$2,"Low",IF(B131&lt;=$L$3,"Medium",IF(B131&lt;=$L$4,"High")))</f>
        <v>High</v>
      </c>
    </row>
    <row r="132" spans="1:5" x14ac:dyDescent="0.15">
      <c r="A132" s="2">
        <v>131</v>
      </c>
      <c r="B132" s="2">
        <v>44.59</v>
      </c>
      <c r="C132" s="2" t="s">
        <v>10</v>
      </c>
      <c r="D132" s="2" t="s">
        <v>11</v>
      </c>
      <c r="E132" s="3" t="str">
        <f t="shared" si="2"/>
        <v>High</v>
      </c>
    </row>
    <row r="133" spans="1:5" x14ac:dyDescent="0.15">
      <c r="A133" s="2">
        <v>132</v>
      </c>
      <c r="B133" s="2">
        <v>41.06</v>
      </c>
      <c r="C133" s="2" t="s">
        <v>6</v>
      </c>
      <c r="D133" s="2" t="s">
        <v>23</v>
      </c>
      <c r="E133" s="3" t="str">
        <f t="shared" si="2"/>
        <v>Medium</v>
      </c>
    </row>
    <row r="134" spans="1:5" x14ac:dyDescent="0.15">
      <c r="A134" s="2">
        <v>133</v>
      </c>
      <c r="B134" s="2">
        <v>43.83</v>
      </c>
      <c r="C134" s="2" t="s">
        <v>10</v>
      </c>
      <c r="D134" s="2" t="s">
        <v>11</v>
      </c>
      <c r="E134" s="3" t="str">
        <f t="shared" si="2"/>
        <v>Medium</v>
      </c>
    </row>
    <row r="135" spans="1:5" x14ac:dyDescent="0.15">
      <c r="A135" s="2">
        <v>134</v>
      </c>
      <c r="B135" s="2">
        <v>45.49</v>
      </c>
      <c r="C135" s="2" t="s">
        <v>28</v>
      </c>
      <c r="D135" s="2" t="s">
        <v>17</v>
      </c>
      <c r="E135" s="3" t="str">
        <f t="shared" si="2"/>
        <v>High</v>
      </c>
    </row>
    <row r="136" spans="1:5" x14ac:dyDescent="0.15">
      <c r="A136" s="2">
        <v>135</v>
      </c>
      <c r="B136" s="2">
        <v>44.57</v>
      </c>
      <c r="C136" s="2" t="s">
        <v>6</v>
      </c>
      <c r="D136" s="2" t="s">
        <v>25</v>
      </c>
      <c r="E136" s="3" t="str">
        <f t="shared" si="2"/>
        <v>Medium</v>
      </c>
    </row>
    <row r="137" spans="1:5" x14ac:dyDescent="0.15">
      <c r="A137" s="2">
        <v>136</v>
      </c>
      <c r="B137" s="2">
        <v>48.56</v>
      </c>
      <c r="C137" s="2" t="s">
        <v>10</v>
      </c>
      <c r="D137" s="2" t="s">
        <v>19</v>
      </c>
      <c r="E137" s="3" t="str">
        <f t="shared" si="2"/>
        <v>High</v>
      </c>
    </row>
    <row r="138" spans="1:5" x14ac:dyDescent="0.15">
      <c r="A138" s="2">
        <v>137</v>
      </c>
      <c r="B138" s="2">
        <v>48.87</v>
      </c>
      <c r="C138" s="2" t="s">
        <v>28</v>
      </c>
      <c r="D138" s="2" t="s">
        <v>14</v>
      </c>
      <c r="E138" s="3" t="str">
        <f t="shared" si="2"/>
        <v>High</v>
      </c>
    </row>
    <row r="139" spans="1:5" x14ac:dyDescent="0.15">
      <c r="A139" s="2">
        <v>138</v>
      </c>
      <c r="B139" s="2">
        <v>40.18</v>
      </c>
      <c r="C139" s="2" t="s">
        <v>6</v>
      </c>
      <c r="D139" s="2" t="s">
        <v>25</v>
      </c>
      <c r="E139" s="3" t="str">
        <f t="shared" si="2"/>
        <v>Medium</v>
      </c>
    </row>
    <row r="140" spans="1:5" x14ac:dyDescent="0.15">
      <c r="A140" s="2">
        <v>139</v>
      </c>
      <c r="B140" s="2">
        <v>42.18</v>
      </c>
      <c r="C140" s="2"/>
      <c r="D140" s="2" t="s">
        <v>11</v>
      </c>
      <c r="E140" s="3" t="str">
        <f t="shared" si="2"/>
        <v>Medium</v>
      </c>
    </row>
    <row r="141" spans="1:5" x14ac:dyDescent="0.15">
      <c r="A141" s="2">
        <v>140</v>
      </c>
      <c r="B141" s="2">
        <v>42.03</v>
      </c>
      <c r="C141" s="2" t="s">
        <v>10</v>
      </c>
      <c r="D141" s="2" t="s">
        <v>11</v>
      </c>
      <c r="E141" s="3" t="str">
        <f t="shared" si="2"/>
        <v>Medium</v>
      </c>
    </row>
    <row r="142" spans="1:5" x14ac:dyDescent="0.15">
      <c r="A142" s="2">
        <v>141</v>
      </c>
      <c r="B142" s="2">
        <v>49.49</v>
      </c>
      <c r="C142" s="2" t="s">
        <v>28</v>
      </c>
      <c r="D142" s="2" t="s">
        <v>19</v>
      </c>
      <c r="E142" s="3" t="str">
        <f t="shared" si="2"/>
        <v>High</v>
      </c>
    </row>
    <row r="143" spans="1:5" x14ac:dyDescent="0.15">
      <c r="A143" s="2">
        <v>142</v>
      </c>
      <c r="B143" s="2">
        <v>25.17</v>
      </c>
      <c r="C143" s="2" t="s">
        <v>10</v>
      </c>
      <c r="D143" s="2" t="s">
        <v>11</v>
      </c>
      <c r="E143" s="3" t="str">
        <f t="shared" si="2"/>
        <v>Low</v>
      </c>
    </row>
    <row r="144" spans="1:5" x14ac:dyDescent="0.15">
      <c r="A144" s="2">
        <v>143</v>
      </c>
      <c r="B144" s="2">
        <v>32.380000000000003</v>
      </c>
      <c r="C144" s="2" t="s">
        <v>6</v>
      </c>
      <c r="D144" s="2" t="s">
        <v>11</v>
      </c>
      <c r="E144" s="3" t="str">
        <f t="shared" si="2"/>
        <v>Low</v>
      </c>
    </row>
    <row r="145" spans="1:5" x14ac:dyDescent="0.15">
      <c r="A145" s="2">
        <v>144</v>
      </c>
      <c r="B145" s="2">
        <v>26.9</v>
      </c>
      <c r="C145" s="2" t="s">
        <v>6</v>
      </c>
      <c r="D145" s="2" t="s">
        <v>14</v>
      </c>
      <c r="E145" s="3" t="str">
        <f t="shared" si="2"/>
        <v>Low</v>
      </c>
    </row>
    <row r="146" spans="1:5" x14ac:dyDescent="0.15">
      <c r="A146" s="2">
        <v>145</v>
      </c>
      <c r="B146" s="2">
        <v>47.38</v>
      </c>
      <c r="C146" s="2" t="s">
        <v>10</v>
      </c>
      <c r="D146" s="2" t="s">
        <v>11</v>
      </c>
      <c r="E146" s="3" t="str">
        <f t="shared" si="2"/>
        <v>High</v>
      </c>
    </row>
    <row r="147" spans="1:5" x14ac:dyDescent="0.15">
      <c r="A147" s="2">
        <v>146</v>
      </c>
      <c r="B147" s="2">
        <v>48.53</v>
      </c>
      <c r="C147" s="2" t="s">
        <v>6</v>
      </c>
      <c r="D147" s="2" t="s">
        <v>11</v>
      </c>
      <c r="E147" s="3" t="str">
        <f t="shared" si="2"/>
        <v>High</v>
      </c>
    </row>
    <row r="148" spans="1:5" x14ac:dyDescent="0.15">
      <c r="A148" s="2">
        <v>147</v>
      </c>
      <c r="B148" s="2">
        <v>41.26</v>
      </c>
      <c r="C148" s="2" t="s">
        <v>10</v>
      </c>
      <c r="D148" s="2" t="s">
        <v>23</v>
      </c>
      <c r="E148" s="3" t="str">
        <f t="shared" si="2"/>
        <v>Medium</v>
      </c>
    </row>
    <row r="149" spans="1:5" x14ac:dyDescent="0.15">
      <c r="A149" s="2">
        <v>148</v>
      </c>
      <c r="B149" s="2">
        <v>44.51</v>
      </c>
      <c r="C149" s="2" t="s">
        <v>6</v>
      </c>
      <c r="D149" s="2" t="s">
        <v>23</v>
      </c>
      <c r="E149" s="3" t="str">
        <f t="shared" si="2"/>
        <v>Medium</v>
      </c>
    </row>
    <row r="150" spans="1:5" x14ac:dyDescent="0.15">
      <c r="A150" s="2">
        <v>149</v>
      </c>
      <c r="B150" s="2">
        <v>40.479999999999997</v>
      </c>
      <c r="C150" s="2" t="s">
        <v>10</v>
      </c>
      <c r="D150" s="2" t="s">
        <v>11</v>
      </c>
      <c r="E150" s="3" t="str">
        <f t="shared" si="2"/>
        <v>Medium</v>
      </c>
    </row>
    <row r="151" spans="1:5" x14ac:dyDescent="0.15">
      <c r="A151" s="2">
        <v>150</v>
      </c>
      <c r="B151" s="2">
        <v>26.09</v>
      </c>
      <c r="C151" s="2" t="s">
        <v>6</v>
      </c>
      <c r="D151" s="2" t="s">
        <v>17</v>
      </c>
      <c r="E151" s="3" t="str">
        <f t="shared" si="2"/>
        <v>Low</v>
      </c>
    </row>
    <row r="152" spans="1:5" x14ac:dyDescent="0.15">
      <c r="A152" s="2">
        <v>151</v>
      </c>
      <c r="B152" s="2">
        <v>44.98</v>
      </c>
      <c r="C152" s="2" t="s">
        <v>6</v>
      </c>
      <c r="D152" s="2" t="s">
        <v>23</v>
      </c>
      <c r="E152" s="3" t="str">
        <f t="shared" si="2"/>
        <v>High</v>
      </c>
    </row>
    <row r="153" spans="1:5" x14ac:dyDescent="0.15">
      <c r="A153" s="2">
        <v>152</v>
      </c>
      <c r="B153" s="2">
        <v>30.74</v>
      </c>
      <c r="C153" s="2" t="s">
        <v>6</v>
      </c>
      <c r="D153" s="2" t="s">
        <v>23</v>
      </c>
      <c r="E153" s="3" t="str">
        <f t="shared" si="2"/>
        <v>Low</v>
      </c>
    </row>
    <row r="154" spans="1:5" x14ac:dyDescent="0.15">
      <c r="A154" s="2">
        <v>153</v>
      </c>
      <c r="B154" s="2">
        <v>40.479999999999997</v>
      </c>
      <c r="C154" s="2" t="s">
        <v>6</v>
      </c>
      <c r="D154" s="2" t="s">
        <v>25</v>
      </c>
      <c r="E154" s="3" t="str">
        <f t="shared" si="2"/>
        <v>Medium</v>
      </c>
    </row>
    <row r="155" spans="1:5" x14ac:dyDescent="0.15">
      <c r="A155" s="2">
        <v>154</v>
      </c>
      <c r="B155" s="2">
        <v>40.340000000000003</v>
      </c>
      <c r="C155" s="2" t="s">
        <v>6</v>
      </c>
      <c r="D155" s="2" t="s">
        <v>17</v>
      </c>
      <c r="E155" s="3" t="str">
        <f t="shared" si="2"/>
        <v>Medium</v>
      </c>
    </row>
    <row r="156" spans="1:5" x14ac:dyDescent="0.15">
      <c r="A156" s="2">
        <v>155</v>
      </c>
      <c r="B156" s="2">
        <v>47.54</v>
      </c>
      <c r="C156" s="2" t="s">
        <v>10</v>
      </c>
      <c r="D156" s="2" t="s">
        <v>17</v>
      </c>
      <c r="E156" s="3" t="str">
        <f t="shared" si="2"/>
        <v>High</v>
      </c>
    </row>
    <row r="157" spans="1:5" x14ac:dyDescent="0.15">
      <c r="A157" s="2">
        <v>156</v>
      </c>
      <c r="B157" s="2">
        <v>25.4</v>
      </c>
      <c r="C157" s="2" t="s">
        <v>6</v>
      </c>
      <c r="D157" s="2" t="s">
        <v>11</v>
      </c>
      <c r="E157" s="3" t="str">
        <f t="shared" si="2"/>
        <v>Low</v>
      </c>
    </row>
    <row r="158" spans="1:5" x14ac:dyDescent="0.15">
      <c r="A158" s="2">
        <v>157</v>
      </c>
      <c r="B158" s="2">
        <v>36.299999999999997</v>
      </c>
      <c r="C158" s="2" t="s">
        <v>6</v>
      </c>
      <c r="D158" s="2" t="s">
        <v>19</v>
      </c>
      <c r="E158" s="3" t="str">
        <f t="shared" si="2"/>
        <v>Low</v>
      </c>
    </row>
    <row r="159" spans="1:5" x14ac:dyDescent="0.15">
      <c r="A159" s="2">
        <v>158</v>
      </c>
      <c r="B159" s="2">
        <v>44.38</v>
      </c>
      <c r="C159" s="2" t="s">
        <v>6</v>
      </c>
      <c r="D159" s="2" t="s">
        <v>17</v>
      </c>
      <c r="E159" s="3" t="str">
        <f t="shared" si="2"/>
        <v>Medium</v>
      </c>
    </row>
    <row r="160" spans="1:5" x14ac:dyDescent="0.15">
      <c r="A160" s="2">
        <v>159</v>
      </c>
      <c r="B160" s="2">
        <v>31.33</v>
      </c>
      <c r="C160" s="2" t="s">
        <v>6</v>
      </c>
      <c r="D160" s="2" t="s">
        <v>17</v>
      </c>
      <c r="E160" s="3" t="str">
        <f t="shared" si="2"/>
        <v>Low</v>
      </c>
    </row>
    <row r="161" spans="1:5" x14ac:dyDescent="0.15">
      <c r="A161" s="2">
        <v>160</v>
      </c>
      <c r="B161" s="2">
        <v>48.09</v>
      </c>
      <c r="C161" s="2" t="s">
        <v>6</v>
      </c>
      <c r="D161" s="2" t="s">
        <v>17</v>
      </c>
      <c r="E161" s="3" t="str">
        <f t="shared" si="2"/>
        <v>High</v>
      </c>
    </row>
    <row r="162" spans="1:5" x14ac:dyDescent="0.15">
      <c r="A162" s="2">
        <v>161</v>
      </c>
      <c r="B162" s="2">
        <v>46.35</v>
      </c>
      <c r="C162" s="2" t="s">
        <v>6</v>
      </c>
      <c r="D162" s="2" t="s">
        <v>17</v>
      </c>
      <c r="E162" s="3" t="str">
        <f t="shared" si="2"/>
        <v>High</v>
      </c>
    </row>
    <row r="163" spans="1:5" x14ac:dyDescent="0.15">
      <c r="A163" s="2">
        <v>162</v>
      </c>
      <c r="B163" s="2">
        <v>43.03</v>
      </c>
      <c r="C163" s="2" t="s">
        <v>6</v>
      </c>
      <c r="D163" s="2" t="s">
        <v>14</v>
      </c>
      <c r="E163" s="3" t="str">
        <f t="shared" si="2"/>
        <v>Medium</v>
      </c>
    </row>
    <row r="164" spans="1:5" x14ac:dyDescent="0.15">
      <c r="A164" s="2">
        <v>163</v>
      </c>
      <c r="B164" s="2">
        <v>48.08</v>
      </c>
      <c r="C164" s="2" t="s">
        <v>28</v>
      </c>
      <c r="D164" s="2" t="s">
        <v>14</v>
      </c>
      <c r="E164" s="3" t="str">
        <f t="shared" si="2"/>
        <v>High</v>
      </c>
    </row>
    <row r="165" spans="1:5" x14ac:dyDescent="0.15">
      <c r="A165" s="2">
        <v>164</v>
      </c>
      <c r="B165" s="2">
        <v>46.17</v>
      </c>
      <c r="C165" s="2" t="s">
        <v>10</v>
      </c>
      <c r="D165" s="2" t="s">
        <v>11</v>
      </c>
      <c r="E165" s="3" t="str">
        <f t="shared" si="2"/>
        <v>High</v>
      </c>
    </row>
    <row r="166" spans="1:5" x14ac:dyDescent="0.15">
      <c r="A166" s="2">
        <v>165</v>
      </c>
      <c r="B166" s="2">
        <v>31</v>
      </c>
      <c r="C166" s="2" t="s">
        <v>6</v>
      </c>
      <c r="D166" s="2" t="s">
        <v>11</v>
      </c>
      <c r="E166" s="3" t="str">
        <f t="shared" si="2"/>
        <v>Low</v>
      </c>
    </row>
    <row r="167" spans="1:5" x14ac:dyDescent="0.15">
      <c r="A167" s="2">
        <v>166</v>
      </c>
      <c r="B167" s="2">
        <v>40.18</v>
      </c>
      <c r="C167" s="2" t="s">
        <v>6</v>
      </c>
      <c r="D167" s="2" t="s">
        <v>23</v>
      </c>
      <c r="E167" s="3" t="str">
        <f t="shared" si="2"/>
        <v>Medium</v>
      </c>
    </row>
    <row r="168" spans="1:5" x14ac:dyDescent="0.15">
      <c r="A168" s="2">
        <v>167</v>
      </c>
      <c r="B168" s="2">
        <v>33</v>
      </c>
      <c r="C168" s="2" t="s">
        <v>28</v>
      </c>
      <c r="D168" s="2" t="s">
        <v>17</v>
      </c>
      <c r="E168" s="3" t="str">
        <f t="shared" si="2"/>
        <v>Low</v>
      </c>
    </row>
    <row r="169" spans="1:5" x14ac:dyDescent="0.15">
      <c r="A169" s="2">
        <v>168</v>
      </c>
      <c r="B169" s="2">
        <v>29.56</v>
      </c>
      <c r="C169" s="2" t="s">
        <v>6</v>
      </c>
      <c r="D169" s="2" t="s">
        <v>25</v>
      </c>
      <c r="E169" s="3" t="str">
        <f t="shared" si="2"/>
        <v>Low</v>
      </c>
    </row>
    <row r="170" spans="1:5" x14ac:dyDescent="0.15">
      <c r="A170" s="2">
        <v>169</v>
      </c>
      <c r="B170" s="2">
        <v>32.380000000000003</v>
      </c>
      <c r="C170" s="2" t="s">
        <v>6</v>
      </c>
      <c r="D170" s="2" t="s">
        <v>11</v>
      </c>
      <c r="E170" s="3" t="str">
        <f t="shared" si="2"/>
        <v>Low</v>
      </c>
    </row>
    <row r="171" spans="1:5" x14ac:dyDescent="0.15">
      <c r="A171" s="2">
        <v>170</v>
      </c>
      <c r="B171" s="2">
        <v>30.47</v>
      </c>
      <c r="C171" s="2" t="s">
        <v>6</v>
      </c>
      <c r="D171" s="2" t="s">
        <v>25</v>
      </c>
      <c r="E171" s="3" t="str">
        <f t="shared" si="2"/>
        <v>Low</v>
      </c>
    </row>
    <row r="172" spans="1:5" x14ac:dyDescent="0.15">
      <c r="A172" s="2">
        <v>171</v>
      </c>
      <c r="B172" s="2">
        <v>35.159999999999997</v>
      </c>
      <c r="C172" s="2" t="s">
        <v>6</v>
      </c>
      <c r="D172" s="2" t="s">
        <v>14</v>
      </c>
      <c r="E172" s="3" t="str">
        <f t="shared" si="2"/>
        <v>Low</v>
      </c>
    </row>
    <row r="173" spans="1:5" x14ac:dyDescent="0.15">
      <c r="A173" s="2">
        <v>172</v>
      </c>
      <c r="B173" s="2">
        <v>42.55</v>
      </c>
      <c r="C173" s="2" t="s">
        <v>6</v>
      </c>
      <c r="D173" s="2" t="s">
        <v>23</v>
      </c>
      <c r="E173" s="3" t="str">
        <f t="shared" si="2"/>
        <v>Medium</v>
      </c>
    </row>
    <row r="174" spans="1:5" x14ac:dyDescent="0.15">
      <c r="A174" s="2">
        <v>173</v>
      </c>
      <c r="B174" s="2">
        <v>42.84</v>
      </c>
      <c r="C174" s="2" t="s">
        <v>6</v>
      </c>
      <c r="D174" s="2" t="s">
        <v>25</v>
      </c>
      <c r="E174" s="3" t="str">
        <f t="shared" si="2"/>
        <v>Medium</v>
      </c>
    </row>
    <row r="175" spans="1:5" x14ac:dyDescent="0.15">
      <c r="A175" s="2">
        <v>174</v>
      </c>
      <c r="B175" s="2">
        <v>38.979999999999997</v>
      </c>
      <c r="C175" s="2" t="s">
        <v>6</v>
      </c>
      <c r="D175" s="2" t="s">
        <v>25</v>
      </c>
      <c r="E175" s="3" t="str">
        <f t="shared" si="2"/>
        <v>Medium</v>
      </c>
    </row>
    <row r="176" spans="1:5" x14ac:dyDescent="0.15">
      <c r="A176" s="2">
        <v>175</v>
      </c>
      <c r="B176" s="2">
        <v>48.8</v>
      </c>
      <c r="C176" s="2" t="s">
        <v>10</v>
      </c>
      <c r="D176" s="2"/>
      <c r="E176" s="3" t="str">
        <f t="shared" si="2"/>
        <v>High</v>
      </c>
    </row>
    <row r="177" spans="1:5" x14ac:dyDescent="0.15">
      <c r="A177" s="2">
        <v>176</v>
      </c>
      <c r="B177" s="2">
        <v>47.02</v>
      </c>
      <c r="C177" s="2" t="s">
        <v>10</v>
      </c>
      <c r="D177" s="2" t="s">
        <v>11</v>
      </c>
      <c r="E177" s="3" t="str">
        <f t="shared" si="2"/>
        <v>High</v>
      </c>
    </row>
    <row r="178" spans="1:5" x14ac:dyDescent="0.15">
      <c r="A178" s="2">
        <v>177</v>
      </c>
      <c r="B178" s="2">
        <v>40.18</v>
      </c>
      <c r="C178" s="2" t="s">
        <v>6</v>
      </c>
      <c r="D178" s="2" t="s">
        <v>23</v>
      </c>
      <c r="E178" s="3" t="str">
        <f t="shared" si="2"/>
        <v>Medium</v>
      </c>
    </row>
    <row r="179" spans="1:5" x14ac:dyDescent="0.15">
      <c r="A179" s="2">
        <v>178</v>
      </c>
      <c r="B179" s="2">
        <v>41.25</v>
      </c>
      <c r="C179" s="2" t="s">
        <v>10</v>
      </c>
      <c r="D179" s="2" t="s">
        <v>11</v>
      </c>
      <c r="E179" s="3" t="str">
        <f t="shared" si="2"/>
        <v>Medium</v>
      </c>
    </row>
    <row r="180" spans="1:5" x14ac:dyDescent="0.15">
      <c r="A180" s="2">
        <v>179</v>
      </c>
      <c r="B180" s="2">
        <v>48.09</v>
      </c>
      <c r="C180" s="2" t="s">
        <v>6</v>
      </c>
      <c r="D180" s="2" t="s">
        <v>19</v>
      </c>
      <c r="E180" s="3" t="str">
        <f t="shared" si="2"/>
        <v>High</v>
      </c>
    </row>
    <row r="181" spans="1:5" x14ac:dyDescent="0.15">
      <c r="A181" s="2">
        <v>180</v>
      </c>
      <c r="B181" s="2">
        <v>31.63</v>
      </c>
      <c r="C181" s="2" t="s">
        <v>6</v>
      </c>
      <c r="D181" s="2" t="s">
        <v>19</v>
      </c>
      <c r="E181" s="3" t="str">
        <f t="shared" si="2"/>
        <v>Low</v>
      </c>
    </row>
    <row r="182" spans="1:5" x14ac:dyDescent="0.15">
      <c r="A182" s="2">
        <v>181</v>
      </c>
      <c r="B182" s="2">
        <v>24.89</v>
      </c>
      <c r="C182" s="2" t="s">
        <v>6</v>
      </c>
      <c r="D182" s="2" t="s">
        <v>14</v>
      </c>
      <c r="E182" s="3" t="str">
        <f t="shared" si="2"/>
        <v>Low</v>
      </c>
    </row>
    <row r="183" spans="1:5" x14ac:dyDescent="0.15">
      <c r="A183" s="2">
        <v>182</v>
      </c>
      <c r="B183" s="2">
        <v>48.47</v>
      </c>
      <c r="C183" s="2" t="s">
        <v>6</v>
      </c>
      <c r="D183" s="2" t="s">
        <v>17</v>
      </c>
      <c r="E183" s="3" t="str">
        <f t="shared" si="2"/>
        <v>High</v>
      </c>
    </row>
    <row r="184" spans="1:5" x14ac:dyDescent="0.15">
      <c r="A184" s="2">
        <v>183</v>
      </c>
      <c r="B184" s="2">
        <v>41.65</v>
      </c>
      <c r="C184" s="2" t="s">
        <v>6</v>
      </c>
      <c r="D184" s="2" t="s">
        <v>11</v>
      </c>
      <c r="E184" s="3" t="str">
        <f t="shared" si="2"/>
        <v>Medium</v>
      </c>
    </row>
    <row r="185" spans="1:5" x14ac:dyDescent="0.15">
      <c r="A185" s="2">
        <v>184</v>
      </c>
      <c r="B185" s="2">
        <v>26.9</v>
      </c>
      <c r="C185" s="2" t="s">
        <v>6</v>
      </c>
      <c r="D185" s="2" t="s">
        <v>14</v>
      </c>
      <c r="E185" s="3" t="str">
        <f t="shared" si="2"/>
        <v>Low</v>
      </c>
    </row>
    <row r="186" spans="1:5" x14ac:dyDescent="0.15">
      <c r="A186" s="2">
        <v>185</v>
      </c>
      <c r="B186" s="2">
        <v>33.979999999999997</v>
      </c>
      <c r="C186" s="2" t="s">
        <v>6</v>
      </c>
      <c r="D186" s="2" t="s">
        <v>23</v>
      </c>
      <c r="E186" s="3" t="str">
        <f t="shared" si="2"/>
        <v>Low</v>
      </c>
    </row>
    <row r="187" spans="1:5" x14ac:dyDescent="0.15">
      <c r="A187" s="2">
        <v>186</v>
      </c>
      <c r="B187" s="2">
        <v>48.75</v>
      </c>
      <c r="C187" s="2" t="s">
        <v>6</v>
      </c>
      <c r="D187" s="2" t="s">
        <v>17</v>
      </c>
      <c r="E187" s="3" t="str">
        <f t="shared" si="2"/>
        <v>High</v>
      </c>
    </row>
    <row r="188" spans="1:5" x14ac:dyDescent="0.15">
      <c r="A188" s="2">
        <v>187</v>
      </c>
      <c r="B188" s="2">
        <v>44.57</v>
      </c>
      <c r="C188" s="2" t="s">
        <v>6</v>
      </c>
      <c r="D188" s="2" t="s">
        <v>19</v>
      </c>
      <c r="E188" s="3" t="str">
        <f t="shared" si="2"/>
        <v>Medium</v>
      </c>
    </row>
    <row r="189" spans="1:5" x14ac:dyDescent="0.15">
      <c r="A189" s="2">
        <v>188</v>
      </c>
      <c r="B189" s="2">
        <v>49</v>
      </c>
      <c r="C189" s="2" t="s">
        <v>10</v>
      </c>
      <c r="D189" s="2" t="s">
        <v>23</v>
      </c>
      <c r="E189" s="3" t="str">
        <f t="shared" si="2"/>
        <v>High</v>
      </c>
    </row>
    <row r="190" spans="1:5" x14ac:dyDescent="0.15">
      <c r="A190" s="2">
        <v>189</v>
      </c>
      <c r="B190" s="2">
        <v>44.57</v>
      </c>
      <c r="C190" s="2" t="s">
        <v>6</v>
      </c>
      <c r="D190" s="2" t="s">
        <v>25</v>
      </c>
      <c r="E190" s="3" t="str">
        <f t="shared" si="2"/>
        <v>Medium</v>
      </c>
    </row>
    <row r="191" spans="1:5" x14ac:dyDescent="0.15">
      <c r="A191" s="2">
        <v>190</v>
      </c>
      <c r="B191" s="2">
        <v>49.01</v>
      </c>
      <c r="C191" s="2" t="s">
        <v>10</v>
      </c>
      <c r="D191" s="2" t="s">
        <v>11</v>
      </c>
      <c r="E191" s="3" t="str">
        <f t="shared" si="2"/>
        <v>High</v>
      </c>
    </row>
    <row r="192" spans="1:5" x14ac:dyDescent="0.15">
      <c r="A192" s="2">
        <v>191</v>
      </c>
      <c r="B192" s="2">
        <v>40.76</v>
      </c>
      <c r="C192" s="2" t="s">
        <v>6</v>
      </c>
      <c r="D192" s="2" t="s">
        <v>17</v>
      </c>
      <c r="E192" s="3" t="str">
        <f t="shared" si="2"/>
        <v>Medium</v>
      </c>
    </row>
    <row r="193" spans="1:5" x14ac:dyDescent="0.15">
      <c r="A193" s="2">
        <v>192</v>
      </c>
      <c r="B193" s="2">
        <v>40.270000000000003</v>
      </c>
      <c r="C193" s="2" t="s">
        <v>6</v>
      </c>
      <c r="D193" s="2" t="s">
        <v>19</v>
      </c>
      <c r="E193" s="3" t="str">
        <f t="shared" si="2"/>
        <v>Medium</v>
      </c>
    </row>
    <row r="194" spans="1:5" x14ac:dyDescent="0.15">
      <c r="A194" s="2">
        <v>193</v>
      </c>
      <c r="B194" s="2">
        <v>45.04</v>
      </c>
      <c r="C194" s="2" t="s">
        <v>10</v>
      </c>
      <c r="D194" s="2" t="s">
        <v>17</v>
      </c>
      <c r="E194" s="3" t="str">
        <f t="shared" si="2"/>
        <v>High</v>
      </c>
    </row>
    <row r="195" spans="1:5" x14ac:dyDescent="0.15">
      <c r="A195" s="2">
        <v>194</v>
      </c>
      <c r="B195" s="2">
        <v>41.06</v>
      </c>
      <c r="C195" s="2" t="s">
        <v>6</v>
      </c>
      <c r="D195" s="2" t="s">
        <v>23</v>
      </c>
      <c r="E195" s="3" t="str">
        <f t="shared" ref="E195:E258" si="3">IF(B195&lt;=$L$2,"Low",IF(B195&lt;=$L$3,"Medium",IF(B195&lt;=$L$4,"High")))</f>
        <v>Medium</v>
      </c>
    </row>
    <row r="196" spans="1:5" x14ac:dyDescent="0.15">
      <c r="A196" s="2">
        <v>195</v>
      </c>
      <c r="B196" s="2">
        <v>40.18</v>
      </c>
      <c r="C196" s="2" t="s">
        <v>6</v>
      </c>
      <c r="D196" s="2" t="s">
        <v>23</v>
      </c>
      <c r="E196" s="3" t="str">
        <f t="shared" si="3"/>
        <v>Medium</v>
      </c>
    </row>
    <row r="197" spans="1:5" x14ac:dyDescent="0.15">
      <c r="A197" s="2">
        <v>196</v>
      </c>
      <c r="B197" s="2">
        <v>42.88</v>
      </c>
      <c r="C197" s="2" t="s">
        <v>6</v>
      </c>
      <c r="D197" s="2" t="s">
        <v>11</v>
      </c>
      <c r="E197" s="3" t="str">
        <f t="shared" si="3"/>
        <v>Medium</v>
      </c>
    </row>
    <row r="198" spans="1:5" x14ac:dyDescent="0.15">
      <c r="A198" s="2">
        <v>197</v>
      </c>
      <c r="B198" s="2">
        <v>48.87</v>
      </c>
      <c r="C198" s="2" t="s">
        <v>28</v>
      </c>
      <c r="D198" s="2" t="s">
        <v>14</v>
      </c>
      <c r="E198" s="3" t="str">
        <f t="shared" si="3"/>
        <v>High</v>
      </c>
    </row>
    <row r="199" spans="1:5" x14ac:dyDescent="0.15">
      <c r="A199" s="2">
        <v>198</v>
      </c>
      <c r="B199" s="2">
        <v>36.130000000000003</v>
      </c>
      <c r="C199" s="2" t="s">
        <v>28</v>
      </c>
      <c r="D199" s="2" t="s">
        <v>14</v>
      </c>
      <c r="E199" s="3" t="str">
        <f t="shared" si="3"/>
        <v>Low</v>
      </c>
    </row>
    <row r="200" spans="1:5" x14ac:dyDescent="0.15">
      <c r="A200" s="2">
        <v>199</v>
      </c>
      <c r="B200" s="2">
        <v>41.87</v>
      </c>
      <c r="C200" s="2" t="s">
        <v>10</v>
      </c>
      <c r="D200" s="2" t="s">
        <v>11</v>
      </c>
      <c r="E200" s="3" t="str">
        <f t="shared" si="3"/>
        <v>Medium</v>
      </c>
    </row>
    <row r="201" spans="1:5" x14ac:dyDescent="0.15">
      <c r="A201" s="2">
        <v>200</v>
      </c>
      <c r="B201" s="2">
        <v>47.44</v>
      </c>
      <c r="C201" s="2" t="s">
        <v>6</v>
      </c>
      <c r="D201" s="2" t="s">
        <v>14</v>
      </c>
      <c r="E201" s="3" t="str">
        <f t="shared" si="3"/>
        <v>High</v>
      </c>
    </row>
    <row r="202" spans="1:5" x14ac:dyDescent="0.15">
      <c r="A202" s="2">
        <v>201</v>
      </c>
      <c r="B202" s="2">
        <v>48.09</v>
      </c>
      <c r="C202" s="2" t="s">
        <v>6</v>
      </c>
      <c r="D202" s="2" t="s">
        <v>17</v>
      </c>
      <c r="E202" s="3" t="str">
        <f t="shared" si="3"/>
        <v>High</v>
      </c>
    </row>
    <row r="203" spans="1:5" x14ac:dyDescent="0.15">
      <c r="A203" s="2">
        <v>202</v>
      </c>
      <c r="B203" s="2">
        <v>45.66</v>
      </c>
      <c r="C203" s="2" t="s">
        <v>10</v>
      </c>
      <c r="D203" s="2" t="s">
        <v>11</v>
      </c>
      <c r="E203" s="3" t="str">
        <f t="shared" si="3"/>
        <v>High</v>
      </c>
    </row>
    <row r="204" spans="1:5" x14ac:dyDescent="0.15">
      <c r="A204" s="2">
        <v>203</v>
      </c>
      <c r="B204" s="2">
        <v>40.479999999999997</v>
      </c>
      <c r="C204" s="2" t="s">
        <v>6</v>
      </c>
      <c r="D204" s="2" t="s">
        <v>23</v>
      </c>
      <c r="E204" s="3" t="str">
        <f t="shared" si="3"/>
        <v>Medium</v>
      </c>
    </row>
    <row r="205" spans="1:5" x14ac:dyDescent="0.15">
      <c r="A205" s="2">
        <v>204</v>
      </c>
      <c r="B205" s="2">
        <v>44.94</v>
      </c>
      <c r="C205" s="2" t="s">
        <v>10</v>
      </c>
      <c r="D205" s="2" t="s">
        <v>11</v>
      </c>
      <c r="E205" s="3" t="str">
        <f t="shared" si="3"/>
        <v>High</v>
      </c>
    </row>
    <row r="206" spans="1:5" x14ac:dyDescent="0.15">
      <c r="A206" s="2">
        <v>205</v>
      </c>
      <c r="B206" s="2">
        <v>25</v>
      </c>
      <c r="C206" s="2" t="s">
        <v>10</v>
      </c>
      <c r="D206" s="2" t="s">
        <v>11</v>
      </c>
      <c r="E206" s="3" t="str">
        <f t="shared" si="3"/>
        <v>Low</v>
      </c>
    </row>
    <row r="207" spans="1:5" x14ac:dyDescent="0.15">
      <c r="A207" s="2">
        <v>206</v>
      </c>
      <c r="B207" s="2">
        <v>42.53</v>
      </c>
      <c r="C207" s="2" t="s">
        <v>10</v>
      </c>
      <c r="D207" s="2" t="s">
        <v>11</v>
      </c>
      <c r="E207" s="3" t="str">
        <f t="shared" si="3"/>
        <v>Medium</v>
      </c>
    </row>
    <row r="208" spans="1:5" x14ac:dyDescent="0.15">
      <c r="A208" s="2">
        <v>207</v>
      </c>
      <c r="B208" s="2">
        <v>35.409999999999997</v>
      </c>
      <c r="C208" s="2" t="s">
        <v>6</v>
      </c>
      <c r="D208" s="2" t="s">
        <v>23</v>
      </c>
      <c r="E208" s="3" t="str">
        <f t="shared" si="3"/>
        <v>Low</v>
      </c>
    </row>
    <row r="209" spans="1:5" x14ac:dyDescent="0.15">
      <c r="A209" s="2">
        <v>208</v>
      </c>
      <c r="B209" s="2">
        <v>41.88</v>
      </c>
      <c r="C209" s="2" t="s">
        <v>6</v>
      </c>
      <c r="D209" s="2" t="s">
        <v>11</v>
      </c>
      <c r="E209" s="3" t="str">
        <f t="shared" si="3"/>
        <v>Medium</v>
      </c>
    </row>
    <row r="210" spans="1:5" x14ac:dyDescent="0.15">
      <c r="A210" s="2">
        <v>209</v>
      </c>
      <c r="B210" s="2">
        <v>46.45</v>
      </c>
      <c r="C210" s="2" t="s">
        <v>10</v>
      </c>
      <c r="D210" s="2" t="s">
        <v>11</v>
      </c>
      <c r="E210" s="3" t="str">
        <f t="shared" si="3"/>
        <v>High</v>
      </c>
    </row>
    <row r="211" spans="1:5" x14ac:dyDescent="0.15">
      <c r="A211" s="2">
        <v>210</v>
      </c>
      <c r="B211" s="2">
        <v>30.76</v>
      </c>
      <c r="C211" s="2" t="s">
        <v>6</v>
      </c>
      <c r="D211" s="2" t="s">
        <v>25</v>
      </c>
      <c r="E211" s="3" t="str">
        <f t="shared" si="3"/>
        <v>Low</v>
      </c>
    </row>
    <row r="212" spans="1:5" x14ac:dyDescent="0.15">
      <c r="A212" s="2">
        <v>211</v>
      </c>
      <c r="B212" s="2">
        <v>42.18</v>
      </c>
      <c r="C212" s="2" t="s">
        <v>10</v>
      </c>
      <c r="D212" s="2" t="s">
        <v>11</v>
      </c>
      <c r="E212" s="3" t="str">
        <f t="shared" si="3"/>
        <v>Medium</v>
      </c>
    </row>
    <row r="213" spans="1:5" x14ac:dyDescent="0.15">
      <c r="A213" s="2">
        <v>212</v>
      </c>
      <c r="B213" s="2">
        <v>30.74</v>
      </c>
      <c r="C213" s="2" t="s">
        <v>6</v>
      </c>
      <c r="D213" s="2"/>
      <c r="E213" s="3" t="str">
        <f t="shared" si="3"/>
        <v>Low</v>
      </c>
    </row>
    <row r="214" spans="1:5" x14ac:dyDescent="0.15">
      <c r="A214" s="2">
        <v>213</v>
      </c>
      <c r="B214" s="2">
        <v>43.01</v>
      </c>
      <c r="C214" s="2" t="s">
        <v>6</v>
      </c>
      <c r="D214" s="2" t="s">
        <v>19</v>
      </c>
      <c r="E214" s="3" t="str">
        <f t="shared" si="3"/>
        <v>Medium</v>
      </c>
    </row>
    <row r="215" spans="1:5" x14ac:dyDescent="0.15">
      <c r="A215" s="2">
        <v>214</v>
      </c>
      <c r="B215" s="2">
        <v>27.18</v>
      </c>
      <c r="C215" s="2" t="s">
        <v>6</v>
      </c>
      <c r="D215" s="2" t="s">
        <v>11</v>
      </c>
      <c r="E215" s="3" t="str">
        <f t="shared" si="3"/>
        <v>Low</v>
      </c>
    </row>
    <row r="216" spans="1:5" x14ac:dyDescent="0.15">
      <c r="A216" s="2">
        <v>215</v>
      </c>
      <c r="B216" s="2">
        <v>45.19</v>
      </c>
      <c r="C216" s="2" t="s">
        <v>10</v>
      </c>
      <c r="D216" s="2" t="s">
        <v>17</v>
      </c>
      <c r="E216" s="3" t="str">
        <f t="shared" si="3"/>
        <v>High</v>
      </c>
    </row>
    <row r="217" spans="1:5" x14ac:dyDescent="0.15">
      <c r="A217" s="2">
        <v>216</v>
      </c>
      <c r="B217" s="2">
        <v>25.17</v>
      </c>
      <c r="C217" s="2" t="s">
        <v>28</v>
      </c>
      <c r="D217" s="2" t="s">
        <v>11</v>
      </c>
      <c r="E217" s="3" t="str">
        <f t="shared" si="3"/>
        <v>Low</v>
      </c>
    </row>
    <row r="218" spans="1:5" x14ac:dyDescent="0.15">
      <c r="A218" s="2">
        <v>217</v>
      </c>
      <c r="B218" s="2">
        <v>49.55</v>
      </c>
      <c r="C218" s="2" t="s">
        <v>28</v>
      </c>
      <c r="D218" s="2" t="s">
        <v>11</v>
      </c>
      <c r="E218" s="3" t="str">
        <f t="shared" si="3"/>
        <v>High</v>
      </c>
    </row>
    <row r="219" spans="1:5" x14ac:dyDescent="0.15">
      <c r="A219" s="2">
        <v>218</v>
      </c>
      <c r="B219" s="2">
        <v>38.979999999999997</v>
      </c>
      <c r="C219" s="2" t="s">
        <v>6</v>
      </c>
      <c r="D219" s="2" t="s">
        <v>14</v>
      </c>
      <c r="E219" s="3" t="str">
        <f t="shared" si="3"/>
        <v>Medium</v>
      </c>
    </row>
    <row r="220" spans="1:5" x14ac:dyDescent="0.15">
      <c r="A220" s="2">
        <v>219</v>
      </c>
      <c r="B220" s="2">
        <v>33.979999999999997</v>
      </c>
      <c r="C220" s="2" t="s">
        <v>6</v>
      </c>
      <c r="D220" s="2" t="s">
        <v>23</v>
      </c>
      <c r="E220" s="3" t="str">
        <f t="shared" si="3"/>
        <v>Low</v>
      </c>
    </row>
    <row r="221" spans="1:5" x14ac:dyDescent="0.15">
      <c r="A221" s="2">
        <v>220</v>
      </c>
      <c r="B221" s="2">
        <v>39.71</v>
      </c>
      <c r="C221" s="2" t="s">
        <v>10</v>
      </c>
      <c r="D221" s="2" t="s">
        <v>17</v>
      </c>
      <c r="E221" s="3" t="str">
        <f t="shared" si="3"/>
        <v>Medium</v>
      </c>
    </row>
    <row r="222" spans="1:5" x14ac:dyDescent="0.15">
      <c r="A222" s="2">
        <v>221</v>
      </c>
      <c r="B222" s="2">
        <v>24.76</v>
      </c>
      <c r="C222" s="2" t="s">
        <v>10</v>
      </c>
      <c r="D222" s="2" t="s">
        <v>23</v>
      </c>
      <c r="E222" s="3" t="str">
        <f t="shared" si="3"/>
        <v>Low</v>
      </c>
    </row>
    <row r="223" spans="1:5" x14ac:dyDescent="0.15">
      <c r="A223" s="2">
        <v>222</v>
      </c>
      <c r="B223" s="2">
        <v>47.81</v>
      </c>
      <c r="C223" s="2" t="s">
        <v>10</v>
      </c>
      <c r="D223" s="2" t="s">
        <v>11</v>
      </c>
      <c r="E223" s="3" t="str">
        <f t="shared" si="3"/>
        <v>High</v>
      </c>
    </row>
    <row r="224" spans="1:5" x14ac:dyDescent="0.15">
      <c r="A224" s="2">
        <v>223</v>
      </c>
      <c r="B224" s="2">
        <v>35.159999999999997</v>
      </c>
      <c r="C224" s="2" t="s">
        <v>6</v>
      </c>
      <c r="D224" s="2" t="s">
        <v>14</v>
      </c>
      <c r="E224" s="3" t="str">
        <f t="shared" si="3"/>
        <v>Low</v>
      </c>
    </row>
    <row r="225" spans="1:5" x14ac:dyDescent="0.15">
      <c r="A225" s="2">
        <v>224</v>
      </c>
      <c r="B225" s="2">
        <v>30.74</v>
      </c>
      <c r="C225" s="2" t="s">
        <v>6</v>
      </c>
      <c r="D225" s="2" t="s">
        <v>23</v>
      </c>
      <c r="E225" s="3" t="str">
        <f t="shared" si="3"/>
        <v>Low</v>
      </c>
    </row>
    <row r="226" spans="1:5" x14ac:dyDescent="0.15">
      <c r="A226" s="2">
        <v>225</v>
      </c>
      <c r="B226" s="2">
        <v>44.57</v>
      </c>
      <c r="C226" s="2" t="s">
        <v>6</v>
      </c>
      <c r="D226" s="2" t="s">
        <v>17</v>
      </c>
      <c r="E226" s="3" t="str">
        <f t="shared" si="3"/>
        <v>Medium</v>
      </c>
    </row>
    <row r="227" spans="1:5" x14ac:dyDescent="0.15">
      <c r="A227" s="2">
        <v>226</v>
      </c>
      <c r="B227" s="2">
        <v>33.979999999999997</v>
      </c>
      <c r="C227" s="2" t="s">
        <v>6</v>
      </c>
      <c r="D227" s="2" t="s">
        <v>23</v>
      </c>
      <c r="E227" s="3" t="str">
        <f t="shared" si="3"/>
        <v>Low</v>
      </c>
    </row>
    <row r="228" spans="1:5" x14ac:dyDescent="0.15">
      <c r="A228" s="2">
        <v>227</v>
      </c>
      <c r="B228" s="2">
        <v>49.69</v>
      </c>
      <c r="C228" s="2" t="s">
        <v>10</v>
      </c>
      <c r="D228" s="2" t="s">
        <v>11</v>
      </c>
      <c r="E228" s="3" t="str">
        <f t="shared" si="3"/>
        <v>High</v>
      </c>
    </row>
    <row r="229" spans="1:5" x14ac:dyDescent="0.15">
      <c r="A229" s="2">
        <v>228</v>
      </c>
      <c r="B229" s="2">
        <v>37.590000000000003</v>
      </c>
      <c r="C229" s="2" t="s">
        <v>10</v>
      </c>
      <c r="D229" s="2" t="s">
        <v>23</v>
      </c>
      <c r="E229" s="3" t="str">
        <f t="shared" si="3"/>
        <v>Medium</v>
      </c>
    </row>
    <row r="230" spans="1:5" x14ac:dyDescent="0.15">
      <c r="A230" s="2">
        <v>229</v>
      </c>
      <c r="B230" s="2">
        <v>40.880000000000003</v>
      </c>
      <c r="C230" s="2" t="s">
        <v>10</v>
      </c>
      <c r="D230" s="2" t="s">
        <v>11</v>
      </c>
      <c r="E230" s="3" t="str">
        <f t="shared" si="3"/>
        <v>Medium</v>
      </c>
    </row>
    <row r="231" spans="1:5" x14ac:dyDescent="0.15">
      <c r="A231" s="2">
        <v>230</v>
      </c>
      <c r="B231" s="2">
        <v>46.1</v>
      </c>
      <c r="C231" s="2" t="s">
        <v>10</v>
      </c>
      <c r="D231" s="2" t="s">
        <v>19</v>
      </c>
      <c r="E231" s="3" t="str">
        <f t="shared" si="3"/>
        <v>High</v>
      </c>
    </row>
    <row r="232" spans="1:5" x14ac:dyDescent="0.15">
      <c r="A232" s="2">
        <v>231</v>
      </c>
      <c r="B232" s="2">
        <v>33.659999999999997</v>
      </c>
      <c r="C232" s="2" t="s">
        <v>6</v>
      </c>
      <c r="D232" s="2" t="s">
        <v>11</v>
      </c>
      <c r="E232" s="3" t="str">
        <f t="shared" si="3"/>
        <v>Low</v>
      </c>
    </row>
    <row r="233" spans="1:5" x14ac:dyDescent="0.15">
      <c r="A233" s="2">
        <v>232</v>
      </c>
      <c r="B233" s="2">
        <v>46.02</v>
      </c>
      <c r="C233" s="2" t="s">
        <v>10</v>
      </c>
      <c r="D233" s="2" t="s">
        <v>11</v>
      </c>
      <c r="E233" s="3" t="str">
        <f t="shared" si="3"/>
        <v>High</v>
      </c>
    </row>
    <row r="234" spans="1:5" x14ac:dyDescent="0.15">
      <c r="A234" s="2">
        <v>233</v>
      </c>
      <c r="B234" s="2">
        <v>48</v>
      </c>
      <c r="C234" s="2" t="s">
        <v>10</v>
      </c>
      <c r="D234" s="2" t="s">
        <v>17</v>
      </c>
      <c r="E234" s="3" t="str">
        <f t="shared" si="3"/>
        <v>High</v>
      </c>
    </row>
    <row r="235" spans="1:5" x14ac:dyDescent="0.15">
      <c r="A235" s="2">
        <v>234</v>
      </c>
      <c r="B235" s="2">
        <v>46.35</v>
      </c>
      <c r="C235" s="2" t="s">
        <v>6</v>
      </c>
      <c r="D235" s="2" t="s">
        <v>23</v>
      </c>
      <c r="E235" s="3" t="str">
        <f t="shared" si="3"/>
        <v>High</v>
      </c>
    </row>
    <row r="236" spans="1:5" x14ac:dyDescent="0.15">
      <c r="A236" s="2">
        <v>235</v>
      </c>
      <c r="B236" s="2">
        <v>48.97</v>
      </c>
      <c r="C236" s="2" t="s">
        <v>10</v>
      </c>
      <c r="D236" s="2" t="s">
        <v>19</v>
      </c>
      <c r="E236" s="3" t="str">
        <f t="shared" si="3"/>
        <v>High</v>
      </c>
    </row>
    <row r="237" spans="1:5" x14ac:dyDescent="0.15">
      <c r="A237" s="2">
        <v>236</v>
      </c>
      <c r="B237" s="2">
        <v>44.54</v>
      </c>
      <c r="C237" s="2" t="s">
        <v>10</v>
      </c>
      <c r="D237" s="2" t="s">
        <v>19</v>
      </c>
      <c r="E237" s="3" t="str">
        <f t="shared" si="3"/>
        <v>Medium</v>
      </c>
    </row>
    <row r="238" spans="1:5" x14ac:dyDescent="0.15">
      <c r="A238" s="2">
        <v>237</v>
      </c>
      <c r="B238" s="2">
        <v>41.77</v>
      </c>
      <c r="C238" s="2" t="s">
        <v>10</v>
      </c>
      <c r="D238" s="2" t="s">
        <v>11</v>
      </c>
      <c r="E238" s="3" t="str">
        <f t="shared" si="3"/>
        <v>Medium</v>
      </c>
    </row>
    <row r="239" spans="1:5" x14ac:dyDescent="0.15">
      <c r="A239" s="2">
        <v>238</v>
      </c>
      <c r="B239" s="2">
        <v>41.26</v>
      </c>
      <c r="C239" s="2" t="s">
        <v>28</v>
      </c>
      <c r="D239" s="2" t="s">
        <v>19</v>
      </c>
      <c r="E239" s="3" t="str">
        <f t="shared" si="3"/>
        <v>Medium</v>
      </c>
    </row>
    <row r="240" spans="1:5" x14ac:dyDescent="0.15">
      <c r="A240" s="2">
        <v>239</v>
      </c>
      <c r="B240" s="2">
        <v>27.18</v>
      </c>
      <c r="C240" s="2" t="s">
        <v>6</v>
      </c>
      <c r="D240" s="2" t="s">
        <v>11</v>
      </c>
      <c r="E240" s="3" t="str">
        <f t="shared" si="3"/>
        <v>Low</v>
      </c>
    </row>
    <row r="241" spans="1:5" x14ac:dyDescent="0.15">
      <c r="A241" s="2">
        <v>240</v>
      </c>
      <c r="B241" s="2">
        <v>29.3</v>
      </c>
      <c r="C241" s="2" t="s">
        <v>6</v>
      </c>
      <c r="D241" s="2" t="s">
        <v>25</v>
      </c>
      <c r="E241" s="3" t="str">
        <f t="shared" si="3"/>
        <v>Low</v>
      </c>
    </row>
    <row r="242" spans="1:5" x14ac:dyDescent="0.15">
      <c r="A242" s="2">
        <v>241</v>
      </c>
      <c r="B242" s="2">
        <v>47.02</v>
      </c>
      <c r="C242" s="2" t="s">
        <v>6</v>
      </c>
      <c r="D242" s="2" t="s">
        <v>25</v>
      </c>
      <c r="E242" s="3" t="str">
        <f t="shared" si="3"/>
        <v>High</v>
      </c>
    </row>
    <row r="243" spans="1:5" x14ac:dyDescent="0.15">
      <c r="A243" s="2">
        <v>242</v>
      </c>
      <c r="B243" s="2">
        <v>47.13</v>
      </c>
      <c r="C243" s="2" t="s">
        <v>28</v>
      </c>
      <c r="D243" s="2" t="s">
        <v>25</v>
      </c>
      <c r="E243" s="3" t="str">
        <f t="shared" si="3"/>
        <v>High</v>
      </c>
    </row>
    <row r="244" spans="1:5" x14ac:dyDescent="0.15">
      <c r="A244" s="2">
        <v>243</v>
      </c>
      <c r="B244" s="2">
        <v>31</v>
      </c>
      <c r="C244" s="2" t="s">
        <v>6</v>
      </c>
      <c r="D244" s="2" t="s">
        <v>19</v>
      </c>
      <c r="E244" s="3" t="str">
        <f t="shared" si="3"/>
        <v>Low</v>
      </c>
    </row>
    <row r="245" spans="1:5" x14ac:dyDescent="0.15">
      <c r="A245" s="2">
        <v>244</v>
      </c>
      <c r="B245" s="2">
        <v>33.659999999999997</v>
      </c>
      <c r="C245" s="2" t="s">
        <v>6</v>
      </c>
      <c r="D245" s="2" t="s">
        <v>11</v>
      </c>
      <c r="E245" s="3" t="str">
        <f t="shared" si="3"/>
        <v>Low</v>
      </c>
    </row>
    <row r="246" spans="1:5" x14ac:dyDescent="0.15">
      <c r="A246" s="2">
        <v>245</v>
      </c>
      <c r="B246" s="2">
        <v>47.96</v>
      </c>
      <c r="C246" s="2" t="s">
        <v>10</v>
      </c>
      <c r="D246" s="2" t="s">
        <v>11</v>
      </c>
      <c r="E246" s="3" t="str">
        <f t="shared" si="3"/>
        <v>High</v>
      </c>
    </row>
    <row r="247" spans="1:5" x14ac:dyDescent="0.15">
      <c r="A247" s="2">
        <v>246</v>
      </c>
      <c r="B247" s="2">
        <v>36.11</v>
      </c>
      <c r="C247" s="2" t="s">
        <v>6</v>
      </c>
      <c r="D247" s="2" t="s">
        <v>25</v>
      </c>
      <c r="E247" s="3" t="str">
        <f t="shared" si="3"/>
        <v>Low</v>
      </c>
    </row>
    <row r="248" spans="1:5" x14ac:dyDescent="0.15">
      <c r="A248" s="2">
        <v>247</v>
      </c>
      <c r="B248" s="2">
        <v>43.26</v>
      </c>
      <c r="C248" s="2" t="s">
        <v>6</v>
      </c>
      <c r="D248" s="2" t="s">
        <v>19</v>
      </c>
      <c r="E248" s="3" t="str">
        <f t="shared" si="3"/>
        <v>Medium</v>
      </c>
    </row>
    <row r="249" spans="1:5" x14ac:dyDescent="0.15">
      <c r="A249" s="2">
        <v>248</v>
      </c>
      <c r="B249" s="2">
        <v>47.18</v>
      </c>
      <c r="C249" s="2" t="s">
        <v>6</v>
      </c>
      <c r="D249" s="2" t="s">
        <v>14</v>
      </c>
      <c r="E249" s="3" t="str">
        <f t="shared" si="3"/>
        <v>High</v>
      </c>
    </row>
    <row r="250" spans="1:5" x14ac:dyDescent="0.15">
      <c r="A250" s="2">
        <v>249</v>
      </c>
      <c r="B250" s="2">
        <v>41</v>
      </c>
      <c r="C250" s="2" t="s">
        <v>10</v>
      </c>
      <c r="D250" s="2" t="s">
        <v>11</v>
      </c>
      <c r="E250" s="3" t="str">
        <f t="shared" si="3"/>
        <v>Medium</v>
      </c>
    </row>
    <row r="251" spans="1:5" x14ac:dyDescent="0.15">
      <c r="A251" s="2">
        <v>250</v>
      </c>
      <c r="B251" s="2">
        <v>33</v>
      </c>
      <c r="C251" s="2" t="s">
        <v>28</v>
      </c>
      <c r="D251" s="2" t="s">
        <v>14</v>
      </c>
      <c r="E251" s="3" t="str">
        <f t="shared" si="3"/>
        <v>Low</v>
      </c>
    </row>
    <row r="252" spans="1:5" x14ac:dyDescent="0.15">
      <c r="A252" s="2">
        <v>251</v>
      </c>
      <c r="B252" s="2">
        <v>26.09</v>
      </c>
      <c r="C252" s="2" t="s">
        <v>28</v>
      </c>
      <c r="D252" s="2" t="s">
        <v>23</v>
      </c>
      <c r="E252" s="3" t="str">
        <f t="shared" si="3"/>
        <v>Low</v>
      </c>
    </row>
    <row r="253" spans="1:5" x14ac:dyDescent="0.15">
      <c r="A253" s="2">
        <v>252</v>
      </c>
      <c r="B253" s="2">
        <v>36.75</v>
      </c>
      <c r="C253" s="2" t="s">
        <v>6</v>
      </c>
      <c r="D253" s="2" t="s">
        <v>17</v>
      </c>
      <c r="E253" s="3" t="str">
        <f t="shared" si="3"/>
        <v>Low</v>
      </c>
    </row>
    <row r="254" spans="1:5" x14ac:dyDescent="0.15">
      <c r="A254" s="2">
        <v>253</v>
      </c>
      <c r="B254" s="2">
        <v>44.9</v>
      </c>
      <c r="C254" s="2" t="s">
        <v>6</v>
      </c>
      <c r="D254" s="2"/>
      <c r="E254" s="3" t="str">
        <f t="shared" si="3"/>
        <v>High</v>
      </c>
    </row>
    <row r="255" spans="1:5" x14ac:dyDescent="0.15">
      <c r="A255" s="2">
        <v>254</v>
      </c>
      <c r="B255" s="2">
        <v>44.9</v>
      </c>
      <c r="C255" s="2" t="s">
        <v>6</v>
      </c>
      <c r="D255" s="2" t="s">
        <v>17</v>
      </c>
      <c r="E255" s="3" t="str">
        <f t="shared" si="3"/>
        <v>High</v>
      </c>
    </row>
    <row r="256" spans="1:5" x14ac:dyDescent="0.15">
      <c r="A256" s="2">
        <v>255</v>
      </c>
      <c r="B256" s="2">
        <v>43.26</v>
      </c>
      <c r="C256" s="2" t="s">
        <v>6</v>
      </c>
      <c r="D256" s="2" t="s">
        <v>19</v>
      </c>
      <c r="E256" s="3" t="str">
        <f t="shared" si="3"/>
        <v>Medium</v>
      </c>
    </row>
    <row r="257" spans="1:5" x14ac:dyDescent="0.15">
      <c r="A257" s="2">
        <v>256</v>
      </c>
      <c r="B257" s="2">
        <v>43.26</v>
      </c>
      <c r="C257" s="2" t="s">
        <v>6</v>
      </c>
      <c r="D257" s="2" t="s">
        <v>19</v>
      </c>
      <c r="E257" s="3" t="str">
        <f t="shared" si="3"/>
        <v>Medium</v>
      </c>
    </row>
    <row r="258" spans="1:5" x14ac:dyDescent="0.15">
      <c r="A258" s="2">
        <v>257</v>
      </c>
      <c r="B258" s="2">
        <v>32.17</v>
      </c>
      <c r="C258" s="2" t="s">
        <v>6</v>
      </c>
      <c r="D258" s="2" t="s">
        <v>25</v>
      </c>
      <c r="E258" s="3" t="str">
        <f t="shared" si="3"/>
        <v>Low</v>
      </c>
    </row>
    <row r="259" spans="1:5" x14ac:dyDescent="0.15">
      <c r="A259" s="2">
        <v>258</v>
      </c>
      <c r="B259" s="2">
        <v>44.74</v>
      </c>
      <c r="C259" s="2" t="s">
        <v>10</v>
      </c>
      <c r="D259" s="2" t="s">
        <v>11</v>
      </c>
      <c r="E259" s="3" t="str">
        <f t="shared" ref="E259:E322" si="4">IF(B259&lt;=$L$2,"Low",IF(B259&lt;=$L$3,"Medium",IF(B259&lt;=$L$4,"High")))</f>
        <v>High</v>
      </c>
    </row>
    <row r="260" spans="1:5" x14ac:dyDescent="0.15">
      <c r="A260" s="2">
        <v>259</v>
      </c>
      <c r="B260" s="2">
        <v>48.71</v>
      </c>
      <c r="C260" s="2" t="s">
        <v>10</v>
      </c>
      <c r="D260" s="2" t="s">
        <v>11</v>
      </c>
      <c r="E260" s="3" t="str">
        <f t="shared" si="4"/>
        <v>High</v>
      </c>
    </row>
    <row r="261" spans="1:5" x14ac:dyDescent="0.15">
      <c r="A261" s="2">
        <v>260</v>
      </c>
      <c r="B261" s="2">
        <v>41.99</v>
      </c>
      <c r="C261" s="2" t="s">
        <v>10</v>
      </c>
      <c r="D261" s="2" t="s">
        <v>11</v>
      </c>
      <c r="E261" s="3" t="str">
        <f t="shared" si="4"/>
        <v>Medium</v>
      </c>
    </row>
    <row r="262" spans="1:5" x14ac:dyDescent="0.15">
      <c r="A262" s="2">
        <v>261</v>
      </c>
      <c r="B262" s="2">
        <v>46.08</v>
      </c>
      <c r="C262" s="2" t="s">
        <v>6</v>
      </c>
      <c r="D262" s="2" t="s">
        <v>17</v>
      </c>
      <c r="E262" s="3" t="str">
        <f t="shared" si="4"/>
        <v>High</v>
      </c>
    </row>
    <row r="263" spans="1:5" x14ac:dyDescent="0.15">
      <c r="A263" s="2">
        <v>262</v>
      </c>
      <c r="B263" s="2">
        <v>37.53</v>
      </c>
      <c r="C263" s="2" t="s">
        <v>6</v>
      </c>
      <c r="D263" s="2" t="s">
        <v>14</v>
      </c>
      <c r="E263" s="3" t="str">
        <f t="shared" si="4"/>
        <v>Medium</v>
      </c>
    </row>
    <row r="264" spans="1:5" x14ac:dyDescent="0.15">
      <c r="A264" s="2">
        <v>263</v>
      </c>
      <c r="B264" s="2">
        <v>37.53</v>
      </c>
      <c r="C264" s="2" t="s">
        <v>6</v>
      </c>
      <c r="D264" s="2" t="s">
        <v>14</v>
      </c>
      <c r="E264" s="3" t="str">
        <f t="shared" si="4"/>
        <v>Medium</v>
      </c>
    </row>
    <row r="265" spans="1:5" x14ac:dyDescent="0.15">
      <c r="A265" s="2">
        <v>264</v>
      </c>
      <c r="B265" s="2">
        <v>35.43</v>
      </c>
      <c r="C265" s="2" t="s">
        <v>10</v>
      </c>
      <c r="D265" s="2" t="s">
        <v>25</v>
      </c>
      <c r="E265" s="3" t="str">
        <f t="shared" si="4"/>
        <v>Low</v>
      </c>
    </row>
    <row r="266" spans="1:5" x14ac:dyDescent="0.15">
      <c r="A266" s="2">
        <v>265</v>
      </c>
      <c r="B266" s="2">
        <v>41.2</v>
      </c>
      <c r="C266" s="2" t="s">
        <v>6</v>
      </c>
      <c r="D266" s="2" t="s">
        <v>23</v>
      </c>
      <c r="E266" s="3" t="str">
        <f t="shared" si="4"/>
        <v>Medium</v>
      </c>
    </row>
    <row r="267" spans="1:5" x14ac:dyDescent="0.15">
      <c r="A267" s="2">
        <v>266</v>
      </c>
      <c r="B267" s="2">
        <v>45.71</v>
      </c>
      <c r="C267" s="2" t="s">
        <v>6</v>
      </c>
      <c r="D267" s="2" t="s">
        <v>11</v>
      </c>
      <c r="E267" s="3" t="str">
        <f t="shared" si="4"/>
        <v>High</v>
      </c>
    </row>
    <row r="268" spans="1:5" x14ac:dyDescent="0.15">
      <c r="A268" s="2">
        <v>267</v>
      </c>
      <c r="B268" s="2">
        <v>45.28</v>
      </c>
      <c r="C268" s="2" t="s">
        <v>10</v>
      </c>
      <c r="D268" s="2" t="s">
        <v>11</v>
      </c>
      <c r="E268" s="3" t="str">
        <f t="shared" si="4"/>
        <v>High</v>
      </c>
    </row>
    <row r="269" spans="1:5" x14ac:dyDescent="0.15">
      <c r="A269" s="2">
        <v>268</v>
      </c>
      <c r="B269" s="2">
        <v>34.229999999999997</v>
      </c>
      <c r="C269" s="2" t="s">
        <v>6</v>
      </c>
      <c r="D269" s="2" t="s">
        <v>17</v>
      </c>
      <c r="E269" s="3" t="str">
        <f t="shared" si="4"/>
        <v>Low</v>
      </c>
    </row>
    <row r="270" spans="1:5" x14ac:dyDescent="0.15">
      <c r="A270" s="2">
        <v>269</v>
      </c>
      <c r="B270" s="2">
        <v>45.17</v>
      </c>
      <c r="C270" s="2" t="s">
        <v>10</v>
      </c>
      <c r="D270" s="2" t="s">
        <v>11</v>
      </c>
      <c r="E270" s="3" t="str">
        <f t="shared" si="4"/>
        <v>High</v>
      </c>
    </row>
    <row r="271" spans="1:5" x14ac:dyDescent="0.15">
      <c r="A271" s="2">
        <v>270</v>
      </c>
      <c r="B271" s="2">
        <v>41.65</v>
      </c>
      <c r="C271" s="2" t="s">
        <v>6</v>
      </c>
      <c r="D271" s="2" t="s">
        <v>19</v>
      </c>
      <c r="E271" s="3" t="str">
        <f t="shared" si="4"/>
        <v>Medium</v>
      </c>
    </row>
    <row r="272" spans="1:5" x14ac:dyDescent="0.15">
      <c r="A272" s="2">
        <v>271</v>
      </c>
      <c r="B272" s="2">
        <v>43.73</v>
      </c>
      <c r="C272" s="2" t="s">
        <v>6</v>
      </c>
      <c r="D272" s="2" t="s">
        <v>11</v>
      </c>
      <c r="E272" s="3" t="str">
        <f t="shared" si="4"/>
        <v>Medium</v>
      </c>
    </row>
    <row r="273" spans="1:5" x14ac:dyDescent="0.15">
      <c r="A273" s="2">
        <v>272</v>
      </c>
      <c r="B273" s="2">
        <v>47.18</v>
      </c>
      <c r="C273" s="2" t="s">
        <v>6</v>
      </c>
      <c r="D273" s="2" t="s">
        <v>14</v>
      </c>
      <c r="E273" s="3" t="str">
        <f t="shared" si="4"/>
        <v>High</v>
      </c>
    </row>
    <row r="274" spans="1:5" x14ac:dyDescent="0.15">
      <c r="A274" s="2">
        <v>273</v>
      </c>
      <c r="B274" s="2">
        <v>32.380000000000003</v>
      </c>
      <c r="C274" s="2" t="s">
        <v>6</v>
      </c>
      <c r="D274" s="2" t="s">
        <v>11</v>
      </c>
      <c r="E274" s="3" t="str">
        <f t="shared" si="4"/>
        <v>Low</v>
      </c>
    </row>
    <row r="275" spans="1:5" x14ac:dyDescent="0.15">
      <c r="A275" s="2">
        <v>274</v>
      </c>
      <c r="B275" s="2">
        <v>43.97</v>
      </c>
      <c r="C275" s="2" t="s">
        <v>10</v>
      </c>
      <c r="D275" s="2" t="s">
        <v>11</v>
      </c>
      <c r="E275" s="3" t="str">
        <f t="shared" si="4"/>
        <v>Medium</v>
      </c>
    </row>
    <row r="276" spans="1:5" x14ac:dyDescent="0.15">
      <c r="A276" s="2">
        <v>275</v>
      </c>
      <c r="B276" s="2">
        <v>44.39</v>
      </c>
      <c r="C276" s="2" t="s">
        <v>6</v>
      </c>
      <c r="D276" s="2" t="s">
        <v>14</v>
      </c>
      <c r="E276" s="3" t="str">
        <f t="shared" si="4"/>
        <v>Medium</v>
      </c>
    </row>
    <row r="277" spans="1:5" x14ac:dyDescent="0.15">
      <c r="A277" s="2">
        <v>276</v>
      </c>
      <c r="B277" s="2">
        <v>36.130000000000003</v>
      </c>
      <c r="C277" s="2" t="s">
        <v>6</v>
      </c>
      <c r="D277" s="2" t="s">
        <v>23</v>
      </c>
      <c r="E277" s="3" t="str">
        <f t="shared" si="4"/>
        <v>Low</v>
      </c>
    </row>
    <row r="278" spans="1:5" x14ac:dyDescent="0.15">
      <c r="A278" s="2">
        <v>277</v>
      </c>
      <c r="B278" s="2">
        <v>37.65</v>
      </c>
      <c r="C278" s="2" t="s">
        <v>6</v>
      </c>
      <c r="D278" s="2" t="s">
        <v>25</v>
      </c>
      <c r="E278" s="3" t="str">
        <f t="shared" si="4"/>
        <v>Medium</v>
      </c>
    </row>
    <row r="279" spans="1:5" x14ac:dyDescent="0.15">
      <c r="A279" s="2">
        <v>278</v>
      </c>
      <c r="B279" s="2">
        <v>37.840000000000003</v>
      </c>
      <c r="C279" s="2" t="s">
        <v>6</v>
      </c>
      <c r="D279" s="2" t="s">
        <v>25</v>
      </c>
      <c r="E279" s="3" t="str">
        <f t="shared" si="4"/>
        <v>Medium</v>
      </c>
    </row>
    <row r="280" spans="1:5" x14ac:dyDescent="0.15">
      <c r="A280" s="2">
        <v>279</v>
      </c>
      <c r="B280" s="2">
        <v>33.450000000000003</v>
      </c>
      <c r="C280" s="2" t="s">
        <v>6</v>
      </c>
      <c r="D280" s="2" t="s">
        <v>17</v>
      </c>
      <c r="E280" s="3" t="str">
        <f t="shared" si="4"/>
        <v>Low</v>
      </c>
    </row>
    <row r="281" spans="1:5" x14ac:dyDescent="0.15">
      <c r="A281" s="2">
        <v>280</v>
      </c>
      <c r="B281" s="2">
        <v>46.13</v>
      </c>
      <c r="C281" s="2" t="s">
        <v>10</v>
      </c>
      <c r="D281" s="2" t="s">
        <v>11</v>
      </c>
      <c r="E281" s="3" t="str">
        <f t="shared" si="4"/>
        <v>High</v>
      </c>
    </row>
    <row r="282" spans="1:5" x14ac:dyDescent="0.15">
      <c r="A282" s="2">
        <v>281</v>
      </c>
      <c r="B282" s="2">
        <v>45.47</v>
      </c>
      <c r="C282" s="2" t="s">
        <v>10</v>
      </c>
      <c r="D282" s="2" t="s">
        <v>11</v>
      </c>
      <c r="E282" s="3" t="str">
        <f t="shared" si="4"/>
        <v>High</v>
      </c>
    </row>
    <row r="283" spans="1:5" x14ac:dyDescent="0.15">
      <c r="A283" s="2">
        <v>282</v>
      </c>
      <c r="B283" s="2">
        <v>49</v>
      </c>
      <c r="C283" s="2" t="s">
        <v>10</v>
      </c>
      <c r="D283" s="2" t="s">
        <v>11</v>
      </c>
      <c r="E283" s="3" t="str">
        <f t="shared" si="4"/>
        <v>High</v>
      </c>
    </row>
    <row r="284" spans="1:5" x14ac:dyDescent="0.15">
      <c r="A284" s="2">
        <v>283</v>
      </c>
      <c r="B284" s="2">
        <v>41.26</v>
      </c>
      <c r="C284" s="2" t="s">
        <v>6</v>
      </c>
      <c r="D284" s="2" t="s">
        <v>25</v>
      </c>
      <c r="E284" s="3" t="str">
        <f t="shared" si="4"/>
        <v>Medium</v>
      </c>
    </row>
    <row r="285" spans="1:5" x14ac:dyDescent="0.15">
      <c r="A285" s="2">
        <v>284</v>
      </c>
      <c r="B285" s="2">
        <v>43.69</v>
      </c>
      <c r="C285" s="2" t="s">
        <v>6</v>
      </c>
      <c r="D285" s="2" t="s">
        <v>14</v>
      </c>
      <c r="E285" s="3" t="str">
        <f t="shared" si="4"/>
        <v>Medium</v>
      </c>
    </row>
    <row r="286" spans="1:5" x14ac:dyDescent="0.15">
      <c r="A286" s="2">
        <v>285</v>
      </c>
      <c r="B286" s="2">
        <v>42.18</v>
      </c>
      <c r="C286" s="2" t="s">
        <v>6</v>
      </c>
      <c r="D286" s="2" t="s">
        <v>11</v>
      </c>
      <c r="E286" s="3" t="str">
        <f t="shared" si="4"/>
        <v>Medium</v>
      </c>
    </row>
    <row r="287" spans="1:5" x14ac:dyDescent="0.15">
      <c r="A287" s="2">
        <v>286</v>
      </c>
      <c r="B287" s="2">
        <v>42</v>
      </c>
      <c r="C287" s="2" t="s">
        <v>10</v>
      </c>
      <c r="D287" s="2" t="s">
        <v>14</v>
      </c>
      <c r="E287" s="3" t="str">
        <f t="shared" si="4"/>
        <v>Medium</v>
      </c>
    </row>
    <row r="288" spans="1:5" x14ac:dyDescent="0.15">
      <c r="A288" s="2">
        <v>287</v>
      </c>
      <c r="B288" s="2">
        <v>40.479999999999997</v>
      </c>
      <c r="C288" s="2" t="s">
        <v>6</v>
      </c>
      <c r="D288" s="2" t="s">
        <v>19</v>
      </c>
      <c r="E288" s="3" t="str">
        <f t="shared" si="4"/>
        <v>Medium</v>
      </c>
    </row>
    <row r="289" spans="1:5" x14ac:dyDescent="0.15">
      <c r="A289" s="2">
        <v>288</v>
      </c>
      <c r="B289" s="2">
        <v>46.98</v>
      </c>
      <c r="C289" s="2" t="s">
        <v>6</v>
      </c>
      <c r="D289" s="2" t="s">
        <v>11</v>
      </c>
      <c r="E289" s="3" t="str">
        <f t="shared" si="4"/>
        <v>High</v>
      </c>
    </row>
    <row r="290" spans="1:5" x14ac:dyDescent="0.15">
      <c r="A290" s="2">
        <v>289</v>
      </c>
      <c r="B290" s="2">
        <v>25.24</v>
      </c>
      <c r="C290" s="2" t="s">
        <v>6</v>
      </c>
      <c r="D290" s="2" t="s">
        <v>25</v>
      </c>
      <c r="E290" s="3" t="str">
        <f t="shared" si="4"/>
        <v>Low</v>
      </c>
    </row>
    <row r="291" spans="1:5" x14ac:dyDescent="0.15">
      <c r="A291" s="2">
        <v>290</v>
      </c>
      <c r="B291" s="2">
        <v>29.56</v>
      </c>
      <c r="C291" s="2" t="s">
        <v>6</v>
      </c>
      <c r="D291" s="2" t="s">
        <v>25</v>
      </c>
      <c r="E291" s="3" t="str">
        <f t="shared" si="4"/>
        <v>Low</v>
      </c>
    </row>
    <row r="292" spans="1:5" x14ac:dyDescent="0.15">
      <c r="A292" s="2">
        <v>291</v>
      </c>
      <c r="B292" s="2">
        <v>26.09</v>
      </c>
      <c r="C292" s="2" t="s">
        <v>6</v>
      </c>
      <c r="D292" s="2"/>
      <c r="E292" s="3" t="str">
        <f t="shared" si="4"/>
        <v>Low</v>
      </c>
    </row>
    <row r="293" spans="1:5" x14ac:dyDescent="0.15">
      <c r="A293" s="2">
        <v>292</v>
      </c>
      <c r="B293" s="2">
        <v>48.87</v>
      </c>
      <c r="C293" s="2" t="s">
        <v>28</v>
      </c>
      <c r="D293" s="2" t="s">
        <v>19</v>
      </c>
      <c r="E293" s="3" t="str">
        <f t="shared" si="4"/>
        <v>High</v>
      </c>
    </row>
    <row r="294" spans="1:5" x14ac:dyDescent="0.15">
      <c r="A294" s="2">
        <v>293</v>
      </c>
      <c r="B294" s="2">
        <v>44</v>
      </c>
      <c r="C294" s="2" t="s">
        <v>10</v>
      </c>
      <c r="D294" s="2" t="s">
        <v>11</v>
      </c>
      <c r="E294" s="3" t="str">
        <f t="shared" si="4"/>
        <v>Medium</v>
      </c>
    </row>
    <row r="295" spans="1:5" x14ac:dyDescent="0.15">
      <c r="A295" s="2">
        <v>294</v>
      </c>
      <c r="B295" s="2">
        <v>35.43</v>
      </c>
      <c r="C295" s="2" t="s">
        <v>6</v>
      </c>
      <c r="D295" s="2" t="s">
        <v>25</v>
      </c>
      <c r="E295" s="3" t="str">
        <f t="shared" si="4"/>
        <v>Low</v>
      </c>
    </row>
    <row r="296" spans="1:5" x14ac:dyDescent="0.15">
      <c r="A296" s="2">
        <v>295</v>
      </c>
      <c r="B296" s="2">
        <v>29.55</v>
      </c>
      <c r="C296" s="2" t="s">
        <v>28</v>
      </c>
      <c r="D296" s="2" t="s">
        <v>11</v>
      </c>
      <c r="E296" s="3" t="str">
        <f t="shared" si="4"/>
        <v>Low</v>
      </c>
    </row>
    <row r="297" spans="1:5" x14ac:dyDescent="0.15">
      <c r="A297" s="2">
        <v>296</v>
      </c>
      <c r="B297" s="2">
        <v>41.5</v>
      </c>
      <c r="C297" s="2" t="s">
        <v>10</v>
      </c>
      <c r="D297" s="2" t="s">
        <v>11</v>
      </c>
      <c r="E297" s="3" t="str">
        <f t="shared" si="4"/>
        <v>Medium</v>
      </c>
    </row>
    <row r="298" spans="1:5" x14ac:dyDescent="0.15">
      <c r="A298" s="2">
        <v>297</v>
      </c>
      <c r="B298" s="2">
        <v>40.28</v>
      </c>
      <c r="C298" s="2" t="s">
        <v>10</v>
      </c>
      <c r="D298" s="2" t="s">
        <v>17</v>
      </c>
      <c r="E298" s="3" t="str">
        <f t="shared" si="4"/>
        <v>Medium</v>
      </c>
    </row>
    <row r="299" spans="1:5" x14ac:dyDescent="0.15">
      <c r="A299" s="2">
        <v>298</v>
      </c>
      <c r="B299" s="2">
        <v>34.07</v>
      </c>
      <c r="C299" s="2" t="s">
        <v>6</v>
      </c>
      <c r="D299" s="2" t="s">
        <v>25</v>
      </c>
      <c r="E299" s="3" t="str">
        <f t="shared" si="4"/>
        <v>Low</v>
      </c>
    </row>
    <row r="300" spans="1:5" x14ac:dyDescent="0.15">
      <c r="A300" s="2">
        <v>299</v>
      </c>
      <c r="B300" s="2">
        <v>31.87</v>
      </c>
      <c r="C300" s="2" t="s">
        <v>10</v>
      </c>
      <c r="D300" s="2" t="s">
        <v>23</v>
      </c>
      <c r="E300" s="3" t="str">
        <f t="shared" si="4"/>
        <v>Low</v>
      </c>
    </row>
    <row r="301" spans="1:5" x14ac:dyDescent="0.15">
      <c r="A301" s="2">
        <v>300</v>
      </c>
      <c r="B301" s="2">
        <v>45.77</v>
      </c>
      <c r="C301" s="2" t="s">
        <v>6</v>
      </c>
      <c r="D301" s="2" t="s">
        <v>11</v>
      </c>
      <c r="E301" s="3" t="str">
        <f t="shared" si="4"/>
        <v>High</v>
      </c>
    </row>
    <row r="302" spans="1:5" x14ac:dyDescent="0.15">
      <c r="A302" s="2">
        <v>301</v>
      </c>
      <c r="B302" s="2">
        <v>28.17</v>
      </c>
      <c r="C302" s="2" t="s">
        <v>6</v>
      </c>
      <c r="D302" s="2" t="s">
        <v>25</v>
      </c>
      <c r="E302" s="3" t="str">
        <f t="shared" si="4"/>
        <v>Low</v>
      </c>
    </row>
    <row r="303" spans="1:5" x14ac:dyDescent="0.15">
      <c r="A303" s="2">
        <v>302</v>
      </c>
      <c r="B303" s="2">
        <v>40.479999999999997</v>
      </c>
      <c r="C303" s="2" t="s">
        <v>28</v>
      </c>
      <c r="D303" s="2" t="s">
        <v>25</v>
      </c>
      <c r="E303" s="3" t="str">
        <f t="shared" si="4"/>
        <v>Medium</v>
      </c>
    </row>
    <row r="304" spans="1:5" x14ac:dyDescent="0.15">
      <c r="A304" s="2">
        <v>303</v>
      </c>
      <c r="B304" s="2">
        <v>40.51</v>
      </c>
      <c r="C304" s="2" t="s">
        <v>10</v>
      </c>
      <c r="D304" s="2" t="s">
        <v>11</v>
      </c>
      <c r="E304" s="3" t="str">
        <f t="shared" si="4"/>
        <v>Medium</v>
      </c>
    </row>
    <row r="305" spans="1:5" x14ac:dyDescent="0.15">
      <c r="A305" s="2">
        <v>304</v>
      </c>
      <c r="B305" s="2">
        <v>37.53</v>
      </c>
      <c r="C305" s="2" t="s">
        <v>6</v>
      </c>
      <c r="D305" s="2" t="s">
        <v>14</v>
      </c>
      <c r="E305" s="3" t="str">
        <f t="shared" si="4"/>
        <v>Medium</v>
      </c>
    </row>
    <row r="306" spans="1:5" x14ac:dyDescent="0.15">
      <c r="A306" s="2">
        <v>305</v>
      </c>
      <c r="B306" s="2">
        <v>48.76</v>
      </c>
      <c r="C306" s="2" t="s">
        <v>10</v>
      </c>
      <c r="D306" s="2" t="s">
        <v>11</v>
      </c>
      <c r="E306" s="3" t="str">
        <f t="shared" si="4"/>
        <v>High</v>
      </c>
    </row>
    <row r="307" spans="1:5" x14ac:dyDescent="0.15">
      <c r="A307" s="2">
        <v>306</v>
      </c>
      <c r="B307" s="2">
        <v>42.4</v>
      </c>
      <c r="C307" s="2" t="s">
        <v>10</v>
      </c>
      <c r="D307" s="2" t="s">
        <v>11</v>
      </c>
      <c r="E307" s="3" t="str">
        <f t="shared" si="4"/>
        <v>Medium</v>
      </c>
    </row>
    <row r="308" spans="1:5" x14ac:dyDescent="0.15">
      <c r="A308" s="2">
        <v>307</v>
      </c>
      <c r="B308" s="2">
        <v>49.6</v>
      </c>
      <c r="C308" s="2" t="s">
        <v>6</v>
      </c>
      <c r="D308" s="2" t="s">
        <v>17</v>
      </c>
      <c r="E308" s="3" t="str">
        <f t="shared" si="4"/>
        <v>High</v>
      </c>
    </row>
    <row r="309" spans="1:5" x14ac:dyDescent="0.15">
      <c r="A309" s="2">
        <v>308</v>
      </c>
      <c r="B309" s="2">
        <v>35.43</v>
      </c>
      <c r="C309" s="2" t="s">
        <v>6</v>
      </c>
      <c r="D309" s="2" t="s">
        <v>25</v>
      </c>
      <c r="E309" s="3" t="str">
        <f t="shared" si="4"/>
        <v>Low</v>
      </c>
    </row>
    <row r="310" spans="1:5" x14ac:dyDescent="0.15">
      <c r="A310" s="2">
        <v>309</v>
      </c>
      <c r="B310" s="2">
        <v>41</v>
      </c>
      <c r="C310" s="2" t="s">
        <v>10</v>
      </c>
      <c r="D310" s="2" t="s">
        <v>11</v>
      </c>
      <c r="E310" s="3" t="str">
        <f t="shared" si="4"/>
        <v>Medium</v>
      </c>
    </row>
    <row r="311" spans="1:5" x14ac:dyDescent="0.15">
      <c r="A311" s="2">
        <v>310</v>
      </c>
      <c r="B311" s="2">
        <v>40.479999999999997</v>
      </c>
      <c r="C311" s="2" t="s">
        <v>10</v>
      </c>
      <c r="D311" s="2" t="s">
        <v>11</v>
      </c>
      <c r="E311" s="3" t="str">
        <f t="shared" si="4"/>
        <v>Medium</v>
      </c>
    </row>
    <row r="312" spans="1:5" x14ac:dyDescent="0.15">
      <c r="A312" s="2">
        <v>311</v>
      </c>
      <c r="B312" s="2">
        <v>45.25</v>
      </c>
      <c r="C312" s="2" t="s">
        <v>10</v>
      </c>
      <c r="D312" s="2" t="s">
        <v>11</v>
      </c>
      <c r="E312" s="3" t="str">
        <f t="shared" si="4"/>
        <v>High</v>
      </c>
    </row>
    <row r="313" spans="1:5" x14ac:dyDescent="0.15">
      <c r="A313" s="2">
        <v>312</v>
      </c>
      <c r="B313" s="2">
        <v>34.96</v>
      </c>
      <c r="C313" s="2" t="s">
        <v>6</v>
      </c>
      <c r="D313" s="2" t="s">
        <v>17</v>
      </c>
      <c r="E313" s="3" t="str">
        <f t="shared" si="4"/>
        <v>Low</v>
      </c>
    </row>
    <row r="314" spans="1:5" x14ac:dyDescent="0.15">
      <c r="A314" s="2">
        <v>313</v>
      </c>
      <c r="B314" s="2">
        <v>48.5</v>
      </c>
      <c r="C314" s="2" t="s">
        <v>6</v>
      </c>
      <c r="D314" s="2" t="s">
        <v>25</v>
      </c>
      <c r="E314" s="3" t="str">
        <f t="shared" si="4"/>
        <v>High</v>
      </c>
    </row>
    <row r="315" spans="1:5" x14ac:dyDescent="0.15">
      <c r="A315" s="2">
        <v>314</v>
      </c>
      <c r="B315" s="2">
        <v>41.37</v>
      </c>
      <c r="C315" s="2" t="s">
        <v>10</v>
      </c>
      <c r="D315" s="2" t="s">
        <v>19</v>
      </c>
      <c r="E315" s="3" t="str">
        <f t="shared" si="4"/>
        <v>Medium</v>
      </c>
    </row>
    <row r="316" spans="1:5" x14ac:dyDescent="0.15">
      <c r="A316" s="2">
        <v>315</v>
      </c>
      <c r="B316" s="2">
        <v>46.37</v>
      </c>
      <c r="C316" s="2" t="s">
        <v>6</v>
      </c>
      <c r="D316" s="2" t="s">
        <v>11</v>
      </c>
      <c r="E316" s="3" t="str">
        <f t="shared" si="4"/>
        <v>High</v>
      </c>
    </row>
    <row r="317" spans="1:5" x14ac:dyDescent="0.15">
      <c r="A317" s="2">
        <v>316</v>
      </c>
      <c r="B317" s="2">
        <v>44.51</v>
      </c>
      <c r="C317" s="2" t="s">
        <v>6</v>
      </c>
      <c r="D317" s="2" t="s">
        <v>23</v>
      </c>
      <c r="E317" s="3" t="str">
        <f t="shared" si="4"/>
        <v>Medium</v>
      </c>
    </row>
    <row r="318" spans="1:5" x14ac:dyDescent="0.15">
      <c r="A318" s="2">
        <v>317</v>
      </c>
      <c r="B318" s="2">
        <v>44.74</v>
      </c>
      <c r="C318" s="2" t="s">
        <v>10</v>
      </c>
      <c r="D318" s="2" t="s">
        <v>11</v>
      </c>
      <c r="E318" s="3" t="str">
        <f t="shared" si="4"/>
        <v>High</v>
      </c>
    </row>
    <row r="319" spans="1:5" x14ac:dyDescent="0.15">
      <c r="A319" s="2">
        <v>318</v>
      </c>
      <c r="B319" s="2">
        <v>27.18</v>
      </c>
      <c r="C319" s="2" t="s">
        <v>6</v>
      </c>
      <c r="D319" s="2" t="s">
        <v>19</v>
      </c>
      <c r="E319" s="3" t="str">
        <f t="shared" si="4"/>
        <v>Low</v>
      </c>
    </row>
    <row r="320" spans="1:5" x14ac:dyDescent="0.15">
      <c r="A320" s="2">
        <v>319</v>
      </c>
      <c r="B320" s="2">
        <v>41.2</v>
      </c>
      <c r="C320" s="2" t="s">
        <v>6</v>
      </c>
      <c r="D320" s="2" t="s">
        <v>23</v>
      </c>
      <c r="E320" s="3" t="str">
        <f t="shared" si="4"/>
        <v>Medium</v>
      </c>
    </row>
    <row r="321" spans="1:5" x14ac:dyDescent="0.15">
      <c r="A321" s="2">
        <v>320</v>
      </c>
      <c r="B321" s="2">
        <v>34.96</v>
      </c>
      <c r="C321" s="2" t="s">
        <v>6</v>
      </c>
      <c r="D321" s="2" t="s">
        <v>17</v>
      </c>
      <c r="E321" s="3" t="str">
        <f t="shared" si="4"/>
        <v>Low</v>
      </c>
    </row>
    <row r="322" spans="1:5" x14ac:dyDescent="0.15">
      <c r="A322" s="2">
        <v>321</v>
      </c>
      <c r="B322" s="2">
        <v>44.04</v>
      </c>
      <c r="C322" s="2" t="s">
        <v>10</v>
      </c>
      <c r="D322" s="2" t="s">
        <v>11</v>
      </c>
      <c r="E322" s="3" t="str">
        <f t="shared" si="4"/>
        <v>Medium</v>
      </c>
    </row>
    <row r="323" spans="1:5" x14ac:dyDescent="0.15">
      <c r="A323" s="2">
        <v>322</v>
      </c>
      <c r="B323" s="2">
        <v>48</v>
      </c>
      <c r="C323" s="2" t="s">
        <v>10</v>
      </c>
      <c r="D323" s="2" t="s">
        <v>19</v>
      </c>
      <c r="E323" s="3" t="str">
        <f t="shared" ref="E323:E386" si="5">IF(B323&lt;=$L$2,"Low",IF(B323&lt;=$L$3,"Medium",IF(B323&lt;=$L$4,"High")))</f>
        <v>High</v>
      </c>
    </row>
    <row r="324" spans="1:5" x14ac:dyDescent="0.15">
      <c r="A324" s="2">
        <v>323</v>
      </c>
      <c r="B324" s="2">
        <v>47.18</v>
      </c>
      <c r="C324" s="2" t="s">
        <v>6</v>
      </c>
      <c r="D324" s="2" t="s">
        <v>14</v>
      </c>
      <c r="E324" s="3" t="str">
        <f t="shared" si="5"/>
        <v>High</v>
      </c>
    </row>
    <row r="325" spans="1:5" x14ac:dyDescent="0.15">
      <c r="A325" s="2">
        <v>324</v>
      </c>
      <c r="B325" s="2">
        <v>48.19</v>
      </c>
      <c r="C325" s="2" t="s">
        <v>10</v>
      </c>
      <c r="D325" s="2" t="s">
        <v>11</v>
      </c>
      <c r="E325" s="3" t="str">
        <f t="shared" si="5"/>
        <v>High</v>
      </c>
    </row>
    <row r="326" spans="1:5" x14ac:dyDescent="0.15">
      <c r="A326" s="2">
        <v>325</v>
      </c>
      <c r="B326" s="2">
        <v>41.26</v>
      </c>
      <c r="C326" s="2" t="s">
        <v>10</v>
      </c>
      <c r="D326" s="2" t="s">
        <v>19</v>
      </c>
      <c r="E326" s="3" t="str">
        <f t="shared" si="5"/>
        <v>Medium</v>
      </c>
    </row>
    <row r="327" spans="1:5" x14ac:dyDescent="0.15">
      <c r="A327" s="2">
        <v>326</v>
      </c>
      <c r="B327" s="2">
        <v>45.19</v>
      </c>
      <c r="C327" s="2" t="s">
        <v>10</v>
      </c>
      <c r="D327" s="2" t="s">
        <v>11</v>
      </c>
      <c r="E327" s="3" t="str">
        <f t="shared" si="5"/>
        <v>High</v>
      </c>
    </row>
    <row r="328" spans="1:5" x14ac:dyDescent="0.15">
      <c r="A328" s="2">
        <v>327</v>
      </c>
      <c r="B328" s="2">
        <v>48.53</v>
      </c>
      <c r="C328" s="2" t="s">
        <v>6</v>
      </c>
      <c r="D328" s="2" t="s">
        <v>14</v>
      </c>
      <c r="E328" s="3" t="str">
        <f t="shared" si="5"/>
        <v>High</v>
      </c>
    </row>
    <row r="329" spans="1:5" x14ac:dyDescent="0.15">
      <c r="A329" s="2">
        <v>328</v>
      </c>
      <c r="B329" s="2">
        <v>25.54</v>
      </c>
      <c r="C329" s="2" t="s">
        <v>6</v>
      </c>
      <c r="D329" s="2" t="s">
        <v>23</v>
      </c>
      <c r="E329" s="3" t="str">
        <f t="shared" si="5"/>
        <v>Low</v>
      </c>
    </row>
    <row r="330" spans="1:5" x14ac:dyDescent="0.15">
      <c r="A330" s="2">
        <v>329</v>
      </c>
      <c r="B330" s="2">
        <v>40.18</v>
      </c>
      <c r="C330" s="2" t="s">
        <v>6</v>
      </c>
      <c r="D330" s="2" t="s">
        <v>23</v>
      </c>
      <c r="E330" s="3" t="str">
        <f t="shared" si="5"/>
        <v>Medium</v>
      </c>
    </row>
    <row r="331" spans="1:5" x14ac:dyDescent="0.15">
      <c r="A331" s="2">
        <v>330</v>
      </c>
      <c r="B331" s="2">
        <v>41.18</v>
      </c>
      <c r="C331" s="2" t="s">
        <v>6</v>
      </c>
      <c r="D331" s="2" t="s">
        <v>17</v>
      </c>
      <c r="E331" s="3" t="str">
        <f t="shared" si="5"/>
        <v>Medium</v>
      </c>
    </row>
    <row r="332" spans="1:5" x14ac:dyDescent="0.15">
      <c r="A332" s="2">
        <v>331</v>
      </c>
      <c r="B332" s="2">
        <v>49.7</v>
      </c>
      <c r="C332" s="2" t="s">
        <v>6</v>
      </c>
      <c r="D332" s="2" t="s">
        <v>11</v>
      </c>
      <c r="E332" s="3" t="str">
        <f t="shared" si="5"/>
        <v>High</v>
      </c>
    </row>
    <row r="333" spans="1:5" x14ac:dyDescent="0.15">
      <c r="A333" s="2">
        <v>332</v>
      </c>
      <c r="B333" s="2">
        <v>49.47</v>
      </c>
      <c r="C333" s="2" t="s">
        <v>28</v>
      </c>
      <c r="D333" s="2" t="s">
        <v>23</v>
      </c>
      <c r="E333" s="3" t="str">
        <f t="shared" si="5"/>
        <v>High</v>
      </c>
    </row>
    <row r="334" spans="1:5" x14ac:dyDescent="0.15">
      <c r="A334" s="2">
        <v>333</v>
      </c>
      <c r="B334" s="2">
        <v>42.92</v>
      </c>
      <c r="C334" s="2" t="s">
        <v>6</v>
      </c>
      <c r="D334" s="2" t="s">
        <v>19</v>
      </c>
      <c r="E334" s="3" t="str">
        <f t="shared" si="5"/>
        <v>Medium</v>
      </c>
    </row>
    <row r="335" spans="1:5" x14ac:dyDescent="0.15">
      <c r="A335" s="2">
        <v>334</v>
      </c>
      <c r="B335" s="2">
        <v>34.28</v>
      </c>
      <c r="C335" s="2" t="s">
        <v>6</v>
      </c>
      <c r="D335" s="2" t="s">
        <v>14</v>
      </c>
      <c r="E335" s="3" t="str">
        <f t="shared" si="5"/>
        <v>Low</v>
      </c>
    </row>
    <row r="336" spans="1:5" x14ac:dyDescent="0.15">
      <c r="A336" s="2">
        <v>335</v>
      </c>
      <c r="B336" s="2">
        <v>39.729999999999997</v>
      </c>
      <c r="C336" s="2" t="s">
        <v>6</v>
      </c>
      <c r="D336" s="2" t="s">
        <v>23</v>
      </c>
      <c r="E336" s="3" t="str">
        <f t="shared" si="5"/>
        <v>Medium</v>
      </c>
    </row>
    <row r="337" spans="1:5" x14ac:dyDescent="0.15">
      <c r="A337" s="2">
        <v>336</v>
      </c>
      <c r="B337" s="2">
        <v>26.85</v>
      </c>
      <c r="C337" s="2" t="s">
        <v>6</v>
      </c>
      <c r="D337" s="2" t="s">
        <v>23</v>
      </c>
      <c r="E337" s="3" t="str">
        <f t="shared" si="5"/>
        <v>Low</v>
      </c>
    </row>
    <row r="338" spans="1:5" x14ac:dyDescent="0.15">
      <c r="A338" s="2">
        <v>337</v>
      </c>
      <c r="B338" s="2">
        <v>24.89</v>
      </c>
      <c r="C338" s="2" t="s">
        <v>6</v>
      </c>
      <c r="D338" s="2" t="s">
        <v>14</v>
      </c>
      <c r="E338" s="3" t="str">
        <f t="shared" si="5"/>
        <v>Low</v>
      </c>
    </row>
    <row r="339" spans="1:5" x14ac:dyDescent="0.15">
      <c r="A339" s="2">
        <v>338</v>
      </c>
      <c r="B339" s="2">
        <v>46.42</v>
      </c>
      <c r="C339" s="2" t="s">
        <v>10</v>
      </c>
      <c r="D339" s="2" t="s">
        <v>11</v>
      </c>
      <c r="E339" s="3" t="str">
        <f t="shared" si="5"/>
        <v>High</v>
      </c>
    </row>
    <row r="340" spans="1:5" x14ac:dyDescent="0.15">
      <c r="A340" s="2">
        <v>339</v>
      </c>
      <c r="B340" s="2">
        <v>37.590000000000003</v>
      </c>
      <c r="C340" s="2" t="s">
        <v>6</v>
      </c>
      <c r="D340" s="2" t="s">
        <v>14</v>
      </c>
      <c r="E340" s="3" t="str">
        <f t="shared" si="5"/>
        <v>Medium</v>
      </c>
    </row>
    <row r="341" spans="1:5" x14ac:dyDescent="0.15">
      <c r="A341" s="2">
        <v>340</v>
      </c>
      <c r="B341" s="2">
        <v>42.59</v>
      </c>
      <c r="C341" s="2" t="s">
        <v>6</v>
      </c>
      <c r="D341" s="2" t="s">
        <v>19</v>
      </c>
      <c r="E341" s="3" t="str">
        <f t="shared" si="5"/>
        <v>Medium</v>
      </c>
    </row>
    <row r="342" spans="1:5" x14ac:dyDescent="0.15">
      <c r="A342" s="2">
        <v>341</v>
      </c>
      <c r="B342" s="2">
        <v>48.09</v>
      </c>
      <c r="C342" s="2" t="s">
        <v>6</v>
      </c>
      <c r="D342" s="2" t="s">
        <v>17</v>
      </c>
      <c r="E342" s="3" t="str">
        <f t="shared" si="5"/>
        <v>High</v>
      </c>
    </row>
    <row r="343" spans="1:5" x14ac:dyDescent="0.15">
      <c r="A343" s="2">
        <v>342</v>
      </c>
      <c r="B343" s="2">
        <v>42.71</v>
      </c>
      <c r="C343" s="2" t="s">
        <v>6</v>
      </c>
      <c r="D343" s="2" t="s">
        <v>19</v>
      </c>
      <c r="E343" s="3" t="str">
        <f t="shared" si="5"/>
        <v>Medium</v>
      </c>
    </row>
    <row r="344" spans="1:5" x14ac:dyDescent="0.15">
      <c r="A344" s="2">
        <v>343</v>
      </c>
      <c r="B344" s="2">
        <v>42.2</v>
      </c>
      <c r="C344" s="2" t="s">
        <v>28</v>
      </c>
      <c r="D344" s="2" t="s">
        <v>17</v>
      </c>
      <c r="E344" s="3" t="str">
        <f t="shared" si="5"/>
        <v>Medium</v>
      </c>
    </row>
    <row r="345" spans="1:5" x14ac:dyDescent="0.15">
      <c r="A345" s="2">
        <v>344</v>
      </c>
      <c r="B345" s="2">
        <v>27.18</v>
      </c>
      <c r="C345" s="2" t="s">
        <v>6</v>
      </c>
      <c r="D345" s="2" t="s">
        <v>19</v>
      </c>
      <c r="E345" s="3" t="str">
        <f t="shared" si="5"/>
        <v>Low</v>
      </c>
    </row>
    <row r="346" spans="1:5" x14ac:dyDescent="0.15">
      <c r="A346" s="2">
        <v>345</v>
      </c>
      <c r="B346" s="2">
        <v>27.18</v>
      </c>
      <c r="C346" s="2" t="s">
        <v>6</v>
      </c>
      <c r="D346" s="2" t="s">
        <v>25</v>
      </c>
      <c r="E346" s="3" t="str">
        <f t="shared" si="5"/>
        <v>Low</v>
      </c>
    </row>
    <row r="347" spans="1:5" x14ac:dyDescent="0.15">
      <c r="A347" s="2">
        <v>346</v>
      </c>
      <c r="B347" s="2">
        <v>26.09</v>
      </c>
      <c r="C347" s="2" t="s">
        <v>6</v>
      </c>
      <c r="D347" s="2" t="s">
        <v>17</v>
      </c>
      <c r="E347" s="3" t="str">
        <f t="shared" si="5"/>
        <v>Low</v>
      </c>
    </row>
    <row r="348" spans="1:5" x14ac:dyDescent="0.15">
      <c r="A348" s="2">
        <v>347</v>
      </c>
      <c r="B348" s="2">
        <v>26.09</v>
      </c>
      <c r="C348" s="2" t="s">
        <v>6</v>
      </c>
      <c r="D348" s="2"/>
      <c r="E348" s="3" t="str">
        <f t="shared" si="5"/>
        <v>Low</v>
      </c>
    </row>
    <row r="349" spans="1:5" x14ac:dyDescent="0.15">
      <c r="A349" s="2">
        <v>348</v>
      </c>
      <c r="B349" s="2">
        <v>49.91</v>
      </c>
      <c r="C349" s="2" t="s">
        <v>6</v>
      </c>
      <c r="D349" s="2" t="s">
        <v>19</v>
      </c>
      <c r="E349" s="3" t="str">
        <f t="shared" si="5"/>
        <v>High</v>
      </c>
    </row>
    <row r="350" spans="1:5" x14ac:dyDescent="0.15">
      <c r="A350" s="2">
        <v>349</v>
      </c>
      <c r="B350" s="2">
        <v>47.18</v>
      </c>
      <c r="C350" s="2" t="s">
        <v>6</v>
      </c>
      <c r="D350" s="2" t="s">
        <v>14</v>
      </c>
      <c r="E350" s="3" t="str">
        <f t="shared" si="5"/>
        <v>High</v>
      </c>
    </row>
    <row r="351" spans="1:5" x14ac:dyDescent="0.15">
      <c r="A351" s="2">
        <v>350</v>
      </c>
      <c r="B351" s="2">
        <v>40.96</v>
      </c>
      <c r="C351" s="2" t="s">
        <v>6</v>
      </c>
      <c r="D351" s="2" t="s">
        <v>23</v>
      </c>
      <c r="E351" s="3" t="str">
        <f t="shared" si="5"/>
        <v>Medium</v>
      </c>
    </row>
    <row r="352" spans="1:5" x14ac:dyDescent="0.15">
      <c r="A352" s="2">
        <v>351</v>
      </c>
      <c r="B352" s="2">
        <v>30.47</v>
      </c>
      <c r="C352" s="2" t="s">
        <v>6</v>
      </c>
      <c r="D352" s="2" t="s">
        <v>25</v>
      </c>
      <c r="E352" s="3" t="str">
        <f t="shared" si="5"/>
        <v>Low</v>
      </c>
    </row>
    <row r="353" spans="1:5" x14ac:dyDescent="0.15">
      <c r="A353" s="2">
        <v>352</v>
      </c>
      <c r="B353" s="2">
        <v>48.97</v>
      </c>
      <c r="C353" s="2" t="s">
        <v>10</v>
      </c>
      <c r="D353" s="2" t="s">
        <v>23</v>
      </c>
      <c r="E353" s="3" t="str">
        <f t="shared" si="5"/>
        <v>High</v>
      </c>
    </row>
    <row r="354" spans="1:5" x14ac:dyDescent="0.15">
      <c r="A354" s="2">
        <v>353</v>
      </c>
      <c r="B354" s="2">
        <v>43.73</v>
      </c>
      <c r="C354" s="2" t="s">
        <v>28</v>
      </c>
      <c r="D354" s="2" t="s">
        <v>25</v>
      </c>
      <c r="E354" s="3" t="str">
        <f t="shared" si="5"/>
        <v>Medium</v>
      </c>
    </row>
    <row r="355" spans="1:5" x14ac:dyDescent="0.15">
      <c r="A355" s="2">
        <v>354</v>
      </c>
      <c r="B355" s="2">
        <v>46</v>
      </c>
      <c r="C355" s="2" t="s">
        <v>10</v>
      </c>
      <c r="D355" s="2" t="s">
        <v>11</v>
      </c>
      <c r="E355" s="3" t="str">
        <f t="shared" si="5"/>
        <v>High</v>
      </c>
    </row>
    <row r="356" spans="1:5" x14ac:dyDescent="0.15">
      <c r="A356" s="2">
        <v>355</v>
      </c>
      <c r="B356" s="2">
        <v>45</v>
      </c>
      <c r="C356" s="2" t="s">
        <v>10</v>
      </c>
      <c r="D356" s="2"/>
      <c r="E356" s="3" t="str">
        <f t="shared" si="5"/>
        <v>High</v>
      </c>
    </row>
    <row r="357" spans="1:5" x14ac:dyDescent="0.15">
      <c r="A357" s="2">
        <v>356</v>
      </c>
      <c r="B357" s="2">
        <v>48.53</v>
      </c>
      <c r="C357" s="2" t="s">
        <v>6</v>
      </c>
      <c r="D357" s="2" t="s">
        <v>11</v>
      </c>
      <c r="E357" s="3" t="str">
        <f t="shared" si="5"/>
        <v>High</v>
      </c>
    </row>
    <row r="358" spans="1:5" x14ac:dyDescent="0.15">
      <c r="A358" s="2">
        <v>357</v>
      </c>
      <c r="B358" s="2">
        <v>25.24</v>
      </c>
      <c r="C358" s="2" t="s">
        <v>6</v>
      </c>
      <c r="D358" s="2" t="s">
        <v>25</v>
      </c>
      <c r="E358" s="3" t="str">
        <f t="shared" si="5"/>
        <v>Low</v>
      </c>
    </row>
    <row r="359" spans="1:5" x14ac:dyDescent="0.15">
      <c r="A359" s="2">
        <v>358</v>
      </c>
      <c r="B359" s="2">
        <v>47.09</v>
      </c>
      <c r="C359" s="2" t="s">
        <v>10</v>
      </c>
      <c r="D359" s="2" t="s">
        <v>11</v>
      </c>
      <c r="E359" s="3" t="str">
        <f t="shared" si="5"/>
        <v>High</v>
      </c>
    </row>
    <row r="360" spans="1:5" x14ac:dyDescent="0.15">
      <c r="A360" s="2">
        <v>359</v>
      </c>
      <c r="B360" s="2">
        <v>27.8</v>
      </c>
      <c r="C360" s="2" t="s">
        <v>10</v>
      </c>
      <c r="D360" s="2" t="s">
        <v>11</v>
      </c>
      <c r="E360" s="3" t="str">
        <f t="shared" si="5"/>
        <v>Low</v>
      </c>
    </row>
    <row r="361" spans="1:5" x14ac:dyDescent="0.15">
      <c r="A361" s="2">
        <v>360</v>
      </c>
      <c r="B361" s="2">
        <v>44.07</v>
      </c>
      <c r="C361" s="2" t="s">
        <v>28</v>
      </c>
      <c r="D361" s="2" t="s">
        <v>17</v>
      </c>
      <c r="E361" s="3" t="str">
        <f t="shared" si="5"/>
        <v>Medium</v>
      </c>
    </row>
    <row r="362" spans="1:5" x14ac:dyDescent="0.15">
      <c r="A362" s="2">
        <v>361</v>
      </c>
      <c r="B362" s="2">
        <v>31.33</v>
      </c>
      <c r="C362" s="2"/>
      <c r="D362" s="2" t="s">
        <v>17</v>
      </c>
      <c r="E362" s="3" t="str">
        <f t="shared" si="5"/>
        <v>Low</v>
      </c>
    </row>
    <row r="363" spans="1:5" x14ac:dyDescent="0.15">
      <c r="A363" s="2">
        <v>362</v>
      </c>
      <c r="B363" s="2">
        <v>37.53</v>
      </c>
      <c r="C363" s="2" t="s">
        <v>6</v>
      </c>
      <c r="D363" s="2" t="s">
        <v>14</v>
      </c>
      <c r="E363" s="3" t="str">
        <f t="shared" si="5"/>
        <v>Medium</v>
      </c>
    </row>
    <row r="364" spans="1:5" x14ac:dyDescent="0.15">
      <c r="A364" s="2">
        <v>363</v>
      </c>
      <c r="B364" s="2">
        <v>48.53</v>
      </c>
      <c r="C364" s="2" t="s">
        <v>6</v>
      </c>
      <c r="D364" s="2" t="s">
        <v>11</v>
      </c>
      <c r="E364" s="3" t="str">
        <f t="shared" si="5"/>
        <v>High</v>
      </c>
    </row>
    <row r="365" spans="1:5" x14ac:dyDescent="0.15">
      <c r="A365" s="2">
        <v>364</v>
      </c>
      <c r="B365" s="2">
        <v>40.92</v>
      </c>
      <c r="C365" s="2" t="s">
        <v>10</v>
      </c>
      <c r="D365" s="2" t="s">
        <v>25</v>
      </c>
      <c r="E365" s="3" t="str">
        <f t="shared" si="5"/>
        <v>Medium</v>
      </c>
    </row>
    <row r="366" spans="1:5" x14ac:dyDescent="0.15">
      <c r="A366" s="2">
        <v>365</v>
      </c>
      <c r="B366" s="2">
        <v>25.17</v>
      </c>
      <c r="C366" s="2" t="s">
        <v>6</v>
      </c>
      <c r="D366" s="2" t="s">
        <v>14</v>
      </c>
      <c r="E366" s="3" t="str">
        <f t="shared" si="5"/>
        <v>Low</v>
      </c>
    </row>
    <row r="367" spans="1:5" x14ac:dyDescent="0.15">
      <c r="A367" s="2">
        <v>366</v>
      </c>
      <c r="B367" s="2">
        <v>34.479999999999997</v>
      </c>
      <c r="C367" s="2" t="s">
        <v>6</v>
      </c>
      <c r="D367" s="2" t="s">
        <v>14</v>
      </c>
      <c r="E367" s="3" t="str">
        <f t="shared" si="5"/>
        <v>Low</v>
      </c>
    </row>
    <row r="368" spans="1:5" x14ac:dyDescent="0.15">
      <c r="A368" s="2">
        <v>367</v>
      </c>
      <c r="B368" s="2">
        <v>47</v>
      </c>
      <c r="C368" s="2" t="s">
        <v>10</v>
      </c>
      <c r="D368" s="2" t="s">
        <v>11</v>
      </c>
      <c r="E368" s="3" t="str">
        <f t="shared" si="5"/>
        <v>High</v>
      </c>
    </row>
    <row r="369" spans="1:5" x14ac:dyDescent="0.15">
      <c r="A369" s="2">
        <v>368</v>
      </c>
      <c r="B369" s="2">
        <v>47.72</v>
      </c>
      <c r="C369" s="2" t="s">
        <v>6</v>
      </c>
      <c r="D369" s="2" t="s">
        <v>17</v>
      </c>
      <c r="E369" s="3" t="str">
        <f t="shared" si="5"/>
        <v>High</v>
      </c>
    </row>
    <row r="370" spans="1:5" x14ac:dyDescent="0.15">
      <c r="A370" s="2">
        <v>369</v>
      </c>
      <c r="B370" s="2">
        <v>48.53</v>
      </c>
      <c r="C370" s="2" t="s">
        <v>6</v>
      </c>
      <c r="D370" s="2" t="s">
        <v>11</v>
      </c>
      <c r="E370" s="3" t="str">
        <f t="shared" si="5"/>
        <v>High</v>
      </c>
    </row>
    <row r="371" spans="1:5" x14ac:dyDescent="0.15">
      <c r="A371" s="2">
        <v>370</v>
      </c>
      <c r="B371" s="2">
        <v>44.51</v>
      </c>
      <c r="C371" s="2" t="s">
        <v>6</v>
      </c>
      <c r="D371" s="2" t="s">
        <v>23</v>
      </c>
      <c r="E371" s="3" t="str">
        <f t="shared" si="5"/>
        <v>Medium</v>
      </c>
    </row>
    <row r="372" spans="1:5" x14ac:dyDescent="0.15">
      <c r="A372" s="2">
        <v>371</v>
      </c>
      <c r="B372" s="2">
        <v>29.56</v>
      </c>
      <c r="C372" s="2" t="s">
        <v>6</v>
      </c>
      <c r="D372" s="2" t="s">
        <v>17</v>
      </c>
      <c r="E372" s="3" t="str">
        <f t="shared" si="5"/>
        <v>Low</v>
      </c>
    </row>
    <row r="373" spans="1:5" x14ac:dyDescent="0.15">
      <c r="A373" s="2">
        <v>372</v>
      </c>
      <c r="B373" s="2">
        <v>27.18</v>
      </c>
      <c r="C373" s="2" t="s">
        <v>6</v>
      </c>
      <c r="D373" s="2" t="s">
        <v>19</v>
      </c>
      <c r="E373" s="3" t="str">
        <f t="shared" si="5"/>
        <v>Low</v>
      </c>
    </row>
    <row r="374" spans="1:5" x14ac:dyDescent="0.15">
      <c r="A374" s="2">
        <v>373</v>
      </c>
      <c r="B374" s="2">
        <v>49.91</v>
      </c>
      <c r="C374" s="2" t="s">
        <v>6</v>
      </c>
      <c r="D374" s="2" t="s">
        <v>19</v>
      </c>
      <c r="E374" s="3" t="str">
        <f t="shared" si="5"/>
        <v>High</v>
      </c>
    </row>
    <row r="375" spans="1:5" x14ac:dyDescent="0.15">
      <c r="A375" s="2">
        <v>374</v>
      </c>
      <c r="B375" s="2">
        <v>48.56</v>
      </c>
      <c r="C375" s="2" t="s">
        <v>10</v>
      </c>
      <c r="D375" s="2" t="s">
        <v>11</v>
      </c>
      <c r="E375" s="3" t="str">
        <f t="shared" si="5"/>
        <v>High</v>
      </c>
    </row>
    <row r="376" spans="1:5" x14ac:dyDescent="0.15">
      <c r="A376" s="2">
        <v>375</v>
      </c>
      <c r="B376" s="2">
        <v>47</v>
      </c>
      <c r="C376" s="2" t="s">
        <v>10</v>
      </c>
      <c r="D376" s="2" t="s">
        <v>19</v>
      </c>
      <c r="E376" s="3" t="str">
        <f t="shared" si="5"/>
        <v>High</v>
      </c>
    </row>
    <row r="377" spans="1:5" x14ac:dyDescent="0.15">
      <c r="A377" s="2">
        <v>376</v>
      </c>
      <c r="B377" s="2">
        <v>47.54</v>
      </c>
      <c r="C377" s="2" t="s">
        <v>6</v>
      </c>
      <c r="D377" s="2" t="s">
        <v>17</v>
      </c>
      <c r="E377" s="3" t="str">
        <f t="shared" si="5"/>
        <v>High</v>
      </c>
    </row>
    <row r="378" spans="1:5" x14ac:dyDescent="0.15">
      <c r="A378" s="2">
        <v>377</v>
      </c>
      <c r="B378" s="2">
        <v>42.14</v>
      </c>
      <c r="C378" s="2" t="s">
        <v>10</v>
      </c>
      <c r="D378" s="2" t="s">
        <v>11</v>
      </c>
      <c r="E378" s="3" t="str">
        <f t="shared" si="5"/>
        <v>Medium</v>
      </c>
    </row>
    <row r="379" spans="1:5" x14ac:dyDescent="0.15">
      <c r="A379" s="2">
        <v>378</v>
      </c>
      <c r="B379" s="2">
        <v>48.09</v>
      </c>
      <c r="C379" s="2"/>
      <c r="D379" s="2" t="s">
        <v>17</v>
      </c>
      <c r="E379" s="3" t="str">
        <f t="shared" si="5"/>
        <v>High</v>
      </c>
    </row>
    <row r="380" spans="1:5" x14ac:dyDescent="0.15">
      <c r="A380" s="2">
        <v>379</v>
      </c>
      <c r="B380" s="2">
        <v>44.59</v>
      </c>
      <c r="C380" s="2" t="s">
        <v>10</v>
      </c>
      <c r="D380" s="2" t="s">
        <v>11</v>
      </c>
      <c r="E380" s="3" t="str">
        <f t="shared" si="5"/>
        <v>High</v>
      </c>
    </row>
    <row r="381" spans="1:5" x14ac:dyDescent="0.15">
      <c r="A381" s="2">
        <v>380</v>
      </c>
      <c r="B381" s="2">
        <v>33.01</v>
      </c>
      <c r="C381" s="2" t="s">
        <v>6</v>
      </c>
      <c r="D381" s="2" t="s">
        <v>23</v>
      </c>
      <c r="E381" s="3" t="str">
        <f t="shared" si="5"/>
        <v>Low</v>
      </c>
    </row>
    <row r="382" spans="1:5" x14ac:dyDescent="0.15">
      <c r="A382" s="2">
        <v>381</v>
      </c>
      <c r="B382" s="2">
        <v>43.03</v>
      </c>
      <c r="C382" s="2" t="s">
        <v>6</v>
      </c>
      <c r="D382" s="2" t="s">
        <v>14</v>
      </c>
      <c r="E382" s="3" t="str">
        <f t="shared" si="5"/>
        <v>Medium</v>
      </c>
    </row>
    <row r="383" spans="1:5" x14ac:dyDescent="0.15">
      <c r="A383" s="2">
        <v>382</v>
      </c>
      <c r="B383" s="2">
        <v>42.17</v>
      </c>
      <c r="C383" s="2" t="s">
        <v>10</v>
      </c>
      <c r="D383" s="2" t="s">
        <v>11</v>
      </c>
      <c r="E383" s="3" t="str">
        <f t="shared" si="5"/>
        <v>Medium</v>
      </c>
    </row>
    <row r="384" spans="1:5" x14ac:dyDescent="0.15">
      <c r="A384" s="2">
        <v>383</v>
      </c>
      <c r="B384" s="2">
        <v>43.48</v>
      </c>
      <c r="C384" s="2" t="s">
        <v>10</v>
      </c>
      <c r="D384" s="2" t="s">
        <v>11</v>
      </c>
      <c r="E384" s="3" t="str">
        <f t="shared" si="5"/>
        <v>Medium</v>
      </c>
    </row>
    <row r="385" spans="1:5" x14ac:dyDescent="0.15">
      <c r="A385" s="2">
        <v>384</v>
      </c>
      <c r="B385" s="2">
        <v>29.55</v>
      </c>
      <c r="C385" s="2" t="s">
        <v>6</v>
      </c>
      <c r="D385" s="2" t="s">
        <v>17</v>
      </c>
      <c r="E385" s="3" t="str">
        <f t="shared" si="5"/>
        <v>Low</v>
      </c>
    </row>
    <row r="386" spans="1:5" x14ac:dyDescent="0.15">
      <c r="A386" s="2">
        <v>385</v>
      </c>
      <c r="B386" s="2">
        <v>48.09</v>
      </c>
      <c r="C386" s="2" t="s">
        <v>6</v>
      </c>
      <c r="D386" s="2" t="s">
        <v>17</v>
      </c>
      <c r="E386" s="3" t="str">
        <f t="shared" si="5"/>
        <v>High</v>
      </c>
    </row>
    <row r="387" spans="1:5" x14ac:dyDescent="0.15">
      <c r="A387" s="2">
        <v>386</v>
      </c>
      <c r="B387" s="2">
        <v>38.76</v>
      </c>
      <c r="C387" s="2" t="s">
        <v>6</v>
      </c>
      <c r="D387" s="2" t="s">
        <v>25</v>
      </c>
      <c r="E387" s="3" t="str">
        <f t="shared" ref="E387:E450" si="6">IF(B387&lt;=$L$2,"Low",IF(B387&lt;=$L$3,"Medium",IF(B387&lt;=$L$4,"High")))</f>
        <v>Medium</v>
      </c>
    </row>
    <row r="388" spans="1:5" x14ac:dyDescent="0.15">
      <c r="A388" s="2">
        <v>387</v>
      </c>
      <c r="B388" s="2">
        <v>28.44</v>
      </c>
      <c r="C388" s="2" t="s">
        <v>6</v>
      </c>
      <c r="D388" s="2"/>
      <c r="E388" s="3" t="str">
        <f t="shared" si="6"/>
        <v>Low</v>
      </c>
    </row>
    <row r="389" spans="1:5" x14ac:dyDescent="0.15">
      <c r="A389" s="2">
        <v>388</v>
      </c>
      <c r="B389" s="2">
        <v>32.96</v>
      </c>
      <c r="C389" s="2" t="s">
        <v>6</v>
      </c>
      <c r="D389" s="2"/>
      <c r="E389" s="3" t="str">
        <f t="shared" si="6"/>
        <v>Low</v>
      </c>
    </row>
    <row r="390" spans="1:5" x14ac:dyDescent="0.15">
      <c r="A390" s="2">
        <v>389</v>
      </c>
      <c r="B390" s="2">
        <v>35.159999999999997</v>
      </c>
      <c r="C390" s="2" t="s">
        <v>6</v>
      </c>
      <c r="D390" s="2" t="s">
        <v>14</v>
      </c>
      <c r="E390" s="3" t="str">
        <f t="shared" si="6"/>
        <v>Low</v>
      </c>
    </row>
    <row r="391" spans="1:5" x14ac:dyDescent="0.15">
      <c r="A391" s="2">
        <v>390</v>
      </c>
      <c r="B391" s="2">
        <v>42.92</v>
      </c>
      <c r="C391" s="2" t="s">
        <v>6</v>
      </c>
      <c r="D391" s="2" t="s">
        <v>25</v>
      </c>
      <c r="E391" s="3" t="str">
        <f t="shared" si="6"/>
        <v>Medium</v>
      </c>
    </row>
    <row r="392" spans="1:5" x14ac:dyDescent="0.15">
      <c r="A392" s="2">
        <v>391</v>
      </c>
      <c r="B392" s="2">
        <v>43.69</v>
      </c>
      <c r="C392" s="2" t="s">
        <v>6</v>
      </c>
      <c r="D392" s="2" t="s">
        <v>25</v>
      </c>
      <c r="E392" s="3" t="str">
        <f t="shared" si="6"/>
        <v>Medium</v>
      </c>
    </row>
    <row r="393" spans="1:5" x14ac:dyDescent="0.15">
      <c r="A393" s="2">
        <v>392</v>
      </c>
      <c r="B393" s="2">
        <v>46.51</v>
      </c>
      <c r="C393" s="2" t="s">
        <v>6</v>
      </c>
      <c r="D393" s="2" t="s">
        <v>17</v>
      </c>
      <c r="E393" s="3" t="str">
        <f t="shared" si="6"/>
        <v>High</v>
      </c>
    </row>
    <row r="394" spans="1:5" x14ac:dyDescent="0.15">
      <c r="A394" s="2">
        <v>393</v>
      </c>
      <c r="B394" s="2">
        <v>48</v>
      </c>
      <c r="C394" s="2" t="s">
        <v>10</v>
      </c>
      <c r="D394" s="2" t="s">
        <v>19</v>
      </c>
      <c r="E394" s="3" t="str">
        <f t="shared" si="6"/>
        <v>High</v>
      </c>
    </row>
    <row r="395" spans="1:5" x14ac:dyDescent="0.15">
      <c r="A395" s="2">
        <v>394</v>
      </c>
      <c r="B395" s="2">
        <v>30.16</v>
      </c>
      <c r="C395" s="2" t="s">
        <v>6</v>
      </c>
      <c r="D395" s="2" t="s">
        <v>17</v>
      </c>
      <c r="E395" s="3" t="str">
        <f t="shared" si="6"/>
        <v>Low</v>
      </c>
    </row>
    <row r="396" spans="1:5" x14ac:dyDescent="0.15">
      <c r="A396" s="2">
        <v>395</v>
      </c>
      <c r="B396" s="2">
        <v>35.159999999999997</v>
      </c>
      <c r="C396" s="2" t="s">
        <v>6</v>
      </c>
      <c r="D396" s="2" t="s">
        <v>14</v>
      </c>
      <c r="E396" s="3" t="str">
        <f t="shared" si="6"/>
        <v>Low</v>
      </c>
    </row>
    <row r="397" spans="1:5" x14ac:dyDescent="0.15">
      <c r="A397" s="2">
        <v>396</v>
      </c>
      <c r="B397" s="2">
        <v>33</v>
      </c>
      <c r="C397" s="2" t="s">
        <v>6</v>
      </c>
      <c r="D397" s="2" t="s">
        <v>11</v>
      </c>
      <c r="E397" s="3" t="str">
        <f t="shared" si="6"/>
        <v>Low</v>
      </c>
    </row>
    <row r="398" spans="1:5" x14ac:dyDescent="0.15">
      <c r="A398" s="2">
        <v>397</v>
      </c>
      <c r="B398" s="2">
        <v>41.06</v>
      </c>
      <c r="C398" s="2" t="s">
        <v>10</v>
      </c>
      <c r="D398" s="2" t="s">
        <v>14</v>
      </c>
      <c r="E398" s="3" t="str">
        <f t="shared" si="6"/>
        <v>Medium</v>
      </c>
    </row>
    <row r="399" spans="1:5" x14ac:dyDescent="0.15">
      <c r="A399" s="2">
        <v>398</v>
      </c>
      <c r="B399" s="2">
        <v>37.53</v>
      </c>
      <c r="C399" s="2" t="s">
        <v>6</v>
      </c>
      <c r="D399" s="2" t="s">
        <v>14</v>
      </c>
      <c r="E399" s="3" t="str">
        <f t="shared" si="6"/>
        <v>Medium</v>
      </c>
    </row>
    <row r="400" spans="1:5" x14ac:dyDescent="0.15">
      <c r="A400" s="2">
        <v>399</v>
      </c>
      <c r="B400" s="2">
        <v>47.46</v>
      </c>
      <c r="C400" s="2" t="s">
        <v>10</v>
      </c>
      <c r="D400" s="2" t="s">
        <v>11</v>
      </c>
      <c r="E400" s="3" t="str">
        <f t="shared" si="6"/>
        <v>High</v>
      </c>
    </row>
    <row r="401" spans="1:5" x14ac:dyDescent="0.15">
      <c r="A401" s="2">
        <v>400</v>
      </c>
      <c r="B401" s="2">
        <v>47.13</v>
      </c>
      <c r="C401" s="2" t="s">
        <v>6</v>
      </c>
      <c r="D401" s="2" t="s">
        <v>11</v>
      </c>
      <c r="E401" s="3" t="str">
        <f t="shared" si="6"/>
        <v>High</v>
      </c>
    </row>
    <row r="402" spans="1:5" x14ac:dyDescent="0.15">
      <c r="A402" s="2">
        <v>401</v>
      </c>
      <c r="B402" s="2">
        <v>46.13</v>
      </c>
      <c r="C402" s="2" t="s">
        <v>6</v>
      </c>
      <c r="D402" s="2" t="s">
        <v>19</v>
      </c>
      <c r="E402" s="3" t="str">
        <f t="shared" si="6"/>
        <v>High</v>
      </c>
    </row>
    <row r="403" spans="1:5" x14ac:dyDescent="0.15">
      <c r="A403" s="2">
        <v>402</v>
      </c>
      <c r="B403" s="2">
        <v>35.619999999999997</v>
      </c>
      <c r="C403" s="2" t="s">
        <v>6</v>
      </c>
      <c r="D403" s="2" t="s">
        <v>17</v>
      </c>
      <c r="E403" s="3" t="str">
        <f t="shared" si="6"/>
        <v>Low</v>
      </c>
    </row>
    <row r="404" spans="1:5" x14ac:dyDescent="0.15">
      <c r="A404" s="2">
        <v>403</v>
      </c>
      <c r="B404" s="2">
        <v>29.56</v>
      </c>
      <c r="C404" s="2" t="s">
        <v>6</v>
      </c>
      <c r="D404" s="2" t="s">
        <v>17</v>
      </c>
      <c r="E404" s="3" t="str">
        <f t="shared" si="6"/>
        <v>Low</v>
      </c>
    </row>
    <row r="405" spans="1:5" x14ac:dyDescent="0.15">
      <c r="A405" s="2">
        <v>404</v>
      </c>
      <c r="B405" s="2">
        <v>32.35</v>
      </c>
      <c r="C405" s="2" t="s">
        <v>6</v>
      </c>
      <c r="D405" s="2" t="s">
        <v>17</v>
      </c>
      <c r="E405" s="3" t="str">
        <f t="shared" si="6"/>
        <v>Low</v>
      </c>
    </row>
    <row r="406" spans="1:5" x14ac:dyDescent="0.15">
      <c r="A406" s="2">
        <v>405</v>
      </c>
      <c r="B406" s="2">
        <v>42.85</v>
      </c>
      <c r="C406" s="2" t="s">
        <v>6</v>
      </c>
      <c r="D406" s="2" t="s">
        <v>23</v>
      </c>
      <c r="E406" s="3" t="str">
        <f t="shared" si="6"/>
        <v>Medium</v>
      </c>
    </row>
    <row r="407" spans="1:5" x14ac:dyDescent="0.15">
      <c r="A407" s="2">
        <v>406</v>
      </c>
      <c r="B407" s="2">
        <v>33.78</v>
      </c>
      <c r="C407" s="2" t="s">
        <v>6</v>
      </c>
      <c r="D407" s="2" t="s">
        <v>17</v>
      </c>
      <c r="E407" s="3" t="str">
        <f t="shared" si="6"/>
        <v>Low</v>
      </c>
    </row>
    <row r="408" spans="1:5" x14ac:dyDescent="0.15">
      <c r="A408" s="2">
        <v>407</v>
      </c>
      <c r="B408" s="2">
        <v>45.71</v>
      </c>
      <c r="C408" s="2" t="s">
        <v>6</v>
      </c>
      <c r="D408" s="2" t="s">
        <v>11</v>
      </c>
      <c r="E408" s="3" t="str">
        <f t="shared" si="6"/>
        <v>High</v>
      </c>
    </row>
    <row r="409" spans="1:5" x14ac:dyDescent="0.15">
      <c r="A409" s="2">
        <v>408</v>
      </c>
      <c r="B409" s="2">
        <v>44.6</v>
      </c>
      <c r="C409" s="2" t="s">
        <v>6</v>
      </c>
      <c r="D409" s="2" t="s">
        <v>17</v>
      </c>
      <c r="E409" s="3" t="str">
        <f t="shared" si="6"/>
        <v>High</v>
      </c>
    </row>
    <row r="410" spans="1:5" x14ac:dyDescent="0.15">
      <c r="A410" s="2">
        <v>409</v>
      </c>
      <c r="B410" s="2">
        <v>33.880000000000003</v>
      </c>
      <c r="C410" s="2" t="s">
        <v>6</v>
      </c>
      <c r="D410" s="2" t="s">
        <v>14</v>
      </c>
      <c r="E410" s="3" t="str">
        <f t="shared" si="6"/>
        <v>Low</v>
      </c>
    </row>
    <row r="411" spans="1:5" x14ac:dyDescent="0.15">
      <c r="A411" s="2">
        <v>410</v>
      </c>
      <c r="B411" s="2">
        <v>43.21</v>
      </c>
      <c r="C411" s="2" t="s">
        <v>10</v>
      </c>
      <c r="D411" s="2" t="s">
        <v>11</v>
      </c>
      <c r="E411" s="3" t="str">
        <f t="shared" si="6"/>
        <v>Medium</v>
      </c>
    </row>
    <row r="412" spans="1:5" x14ac:dyDescent="0.15">
      <c r="A412" s="2">
        <v>411</v>
      </c>
      <c r="B412" s="2">
        <v>40.18</v>
      </c>
      <c r="C412" s="2" t="s">
        <v>10</v>
      </c>
      <c r="D412" s="2" t="s">
        <v>23</v>
      </c>
      <c r="E412" s="3" t="str">
        <f t="shared" si="6"/>
        <v>Medium</v>
      </c>
    </row>
    <row r="413" spans="1:5" x14ac:dyDescent="0.15">
      <c r="A413" s="2">
        <v>412</v>
      </c>
      <c r="B413" s="2">
        <v>48</v>
      </c>
      <c r="C413" s="2" t="s">
        <v>10</v>
      </c>
      <c r="D413" s="2" t="s">
        <v>17</v>
      </c>
      <c r="E413" s="3" t="str">
        <f t="shared" si="6"/>
        <v>High</v>
      </c>
    </row>
    <row r="414" spans="1:5" x14ac:dyDescent="0.15">
      <c r="A414" s="2">
        <v>413</v>
      </c>
      <c r="B414" s="2">
        <v>47.73</v>
      </c>
      <c r="C414" s="2" t="s">
        <v>10</v>
      </c>
      <c r="D414" s="2" t="s">
        <v>11</v>
      </c>
      <c r="E414" s="3" t="str">
        <f t="shared" si="6"/>
        <v>High</v>
      </c>
    </row>
    <row r="415" spans="1:5" x14ac:dyDescent="0.15">
      <c r="A415" s="2">
        <v>414</v>
      </c>
      <c r="B415" s="2">
        <v>40.96</v>
      </c>
      <c r="C415" s="2" t="s">
        <v>6</v>
      </c>
      <c r="D415" s="2" t="s">
        <v>23</v>
      </c>
      <c r="E415" s="3" t="str">
        <f t="shared" si="6"/>
        <v>Medium</v>
      </c>
    </row>
    <row r="416" spans="1:5" x14ac:dyDescent="0.15">
      <c r="A416" s="2">
        <v>415</v>
      </c>
      <c r="B416" s="2">
        <v>30.01</v>
      </c>
      <c r="C416" s="2" t="s">
        <v>6</v>
      </c>
      <c r="D416" s="2" t="s">
        <v>19</v>
      </c>
      <c r="E416" s="3" t="str">
        <f t="shared" si="6"/>
        <v>Low</v>
      </c>
    </row>
    <row r="417" spans="1:5" x14ac:dyDescent="0.15">
      <c r="A417" s="2">
        <v>416</v>
      </c>
      <c r="B417" s="2">
        <v>48.53</v>
      </c>
      <c r="C417" s="2" t="s">
        <v>6</v>
      </c>
      <c r="D417" s="2" t="s">
        <v>11</v>
      </c>
      <c r="E417" s="3" t="str">
        <f t="shared" si="6"/>
        <v>High</v>
      </c>
    </row>
    <row r="418" spans="1:5" x14ac:dyDescent="0.15">
      <c r="A418" s="2">
        <v>417</v>
      </c>
      <c r="B418" s="2">
        <v>48.53</v>
      </c>
      <c r="C418" s="2" t="s">
        <v>6</v>
      </c>
      <c r="D418" s="2" t="s">
        <v>11</v>
      </c>
      <c r="E418" s="3" t="str">
        <f t="shared" si="6"/>
        <v>High</v>
      </c>
    </row>
    <row r="419" spans="1:5" x14ac:dyDescent="0.15">
      <c r="A419" s="2">
        <v>418</v>
      </c>
      <c r="B419" s="2">
        <v>49.66</v>
      </c>
      <c r="C419" s="2" t="s">
        <v>6</v>
      </c>
      <c r="D419" s="2" t="s">
        <v>25</v>
      </c>
      <c r="E419" s="3" t="str">
        <f t="shared" si="6"/>
        <v>High</v>
      </c>
    </row>
    <row r="420" spans="1:5" x14ac:dyDescent="0.15">
      <c r="A420" s="2">
        <v>419</v>
      </c>
      <c r="B420" s="2">
        <v>48.93</v>
      </c>
      <c r="C420" s="2" t="s">
        <v>6</v>
      </c>
      <c r="D420" s="2" t="s">
        <v>11</v>
      </c>
      <c r="E420" s="3" t="str">
        <f t="shared" si="6"/>
        <v>High</v>
      </c>
    </row>
    <row r="421" spans="1:5" x14ac:dyDescent="0.15">
      <c r="A421" s="2">
        <v>420</v>
      </c>
      <c r="B421" s="2">
        <v>44.57</v>
      </c>
      <c r="C421" s="2" t="s">
        <v>6</v>
      </c>
      <c r="D421" s="2" t="s">
        <v>25</v>
      </c>
      <c r="E421" s="3" t="str">
        <f t="shared" si="6"/>
        <v>Medium</v>
      </c>
    </row>
    <row r="422" spans="1:5" x14ac:dyDescent="0.15">
      <c r="A422" s="2">
        <v>421</v>
      </c>
      <c r="B422" s="2">
        <v>35.619999999999997</v>
      </c>
      <c r="C422" s="2" t="s">
        <v>6</v>
      </c>
      <c r="D422" s="2" t="s">
        <v>17</v>
      </c>
      <c r="E422" s="3" t="str">
        <f t="shared" si="6"/>
        <v>Low</v>
      </c>
    </row>
    <row r="423" spans="1:5" x14ac:dyDescent="0.15">
      <c r="A423" s="2">
        <v>422</v>
      </c>
      <c r="B423" s="2">
        <v>35.159999999999997</v>
      </c>
      <c r="C423" s="2" t="s">
        <v>6</v>
      </c>
      <c r="D423" s="2" t="s">
        <v>14</v>
      </c>
      <c r="E423" s="3" t="str">
        <f t="shared" si="6"/>
        <v>Low</v>
      </c>
    </row>
    <row r="424" spans="1:5" x14ac:dyDescent="0.15">
      <c r="A424" s="2">
        <v>423</v>
      </c>
      <c r="B424" s="2">
        <v>27.18</v>
      </c>
      <c r="C424" s="2" t="s">
        <v>6</v>
      </c>
      <c r="D424" s="2" t="s">
        <v>11</v>
      </c>
      <c r="E424" s="3" t="str">
        <f t="shared" si="6"/>
        <v>Low</v>
      </c>
    </row>
    <row r="425" spans="1:5" x14ac:dyDescent="0.15">
      <c r="A425" s="2">
        <v>424</v>
      </c>
      <c r="B425" s="2">
        <v>37.590000000000003</v>
      </c>
      <c r="C425" s="2" t="s">
        <v>6</v>
      </c>
      <c r="D425" s="2" t="s">
        <v>11</v>
      </c>
      <c r="E425" s="3" t="str">
        <f t="shared" si="6"/>
        <v>Medium</v>
      </c>
    </row>
    <row r="426" spans="1:5" x14ac:dyDescent="0.15">
      <c r="A426" s="2">
        <v>425</v>
      </c>
      <c r="B426" s="2">
        <v>31.33</v>
      </c>
      <c r="C426" s="2" t="s">
        <v>6</v>
      </c>
      <c r="D426" s="2" t="s">
        <v>17</v>
      </c>
      <c r="E426" s="3" t="str">
        <f t="shared" si="6"/>
        <v>Low</v>
      </c>
    </row>
    <row r="427" spans="1:5" x14ac:dyDescent="0.15">
      <c r="A427" s="2">
        <v>426</v>
      </c>
      <c r="B427" s="2">
        <v>43.68</v>
      </c>
      <c r="C427" s="2" t="s">
        <v>6</v>
      </c>
      <c r="D427" s="2" t="s">
        <v>14</v>
      </c>
      <c r="E427" s="3" t="str">
        <f t="shared" si="6"/>
        <v>Medium</v>
      </c>
    </row>
    <row r="428" spans="1:5" x14ac:dyDescent="0.15">
      <c r="A428" s="2">
        <v>427</v>
      </c>
      <c r="B428" s="2">
        <v>33.979999999999997</v>
      </c>
      <c r="C428" s="2" t="s">
        <v>6</v>
      </c>
      <c r="D428" s="2" t="s">
        <v>23</v>
      </c>
      <c r="E428" s="3" t="str">
        <f t="shared" si="6"/>
        <v>Low</v>
      </c>
    </row>
    <row r="429" spans="1:5" x14ac:dyDescent="0.15">
      <c r="A429" s="2">
        <v>428</v>
      </c>
      <c r="B429" s="2">
        <v>32</v>
      </c>
      <c r="C429" s="2" t="s">
        <v>10</v>
      </c>
      <c r="D429" s="2" t="s">
        <v>11</v>
      </c>
      <c r="E429" s="3" t="str">
        <f t="shared" si="6"/>
        <v>Low</v>
      </c>
    </row>
    <row r="430" spans="1:5" x14ac:dyDescent="0.15">
      <c r="A430" s="2">
        <v>429</v>
      </c>
      <c r="B430" s="2">
        <v>40.479999999999997</v>
      </c>
      <c r="C430" s="2" t="s">
        <v>6</v>
      </c>
      <c r="D430" s="2" t="s">
        <v>25</v>
      </c>
      <c r="E430" s="3" t="str">
        <f t="shared" si="6"/>
        <v>Medium</v>
      </c>
    </row>
    <row r="431" spans="1:5" x14ac:dyDescent="0.15">
      <c r="A431" s="2">
        <v>430</v>
      </c>
      <c r="B431" s="2">
        <v>42.92</v>
      </c>
      <c r="C431" s="2" t="s">
        <v>10</v>
      </c>
      <c r="D431" s="2" t="s">
        <v>19</v>
      </c>
      <c r="E431" s="3" t="str">
        <f t="shared" si="6"/>
        <v>Medium</v>
      </c>
    </row>
    <row r="432" spans="1:5" x14ac:dyDescent="0.15">
      <c r="A432" s="2">
        <v>431</v>
      </c>
      <c r="B432" s="2">
        <v>36.130000000000003</v>
      </c>
      <c r="C432" s="2" t="s">
        <v>10</v>
      </c>
      <c r="D432" s="2" t="s">
        <v>11</v>
      </c>
      <c r="E432" s="3" t="str">
        <f t="shared" si="6"/>
        <v>Low</v>
      </c>
    </row>
    <row r="433" spans="1:5" x14ac:dyDescent="0.15">
      <c r="A433" s="2">
        <v>432</v>
      </c>
      <c r="B433" s="2">
        <v>47.08</v>
      </c>
      <c r="C433" s="2" t="s">
        <v>6</v>
      </c>
      <c r="D433" s="2" t="s">
        <v>17</v>
      </c>
      <c r="E433" s="3" t="str">
        <f t="shared" si="6"/>
        <v>High</v>
      </c>
    </row>
    <row r="434" spans="1:5" x14ac:dyDescent="0.15">
      <c r="A434" s="2">
        <v>433</v>
      </c>
      <c r="B434" s="2">
        <v>43.15</v>
      </c>
      <c r="C434" s="2" t="s">
        <v>6</v>
      </c>
      <c r="D434" s="2" t="s">
        <v>23</v>
      </c>
      <c r="E434" s="3" t="str">
        <f t="shared" si="6"/>
        <v>Medium</v>
      </c>
    </row>
    <row r="435" spans="1:5" x14ac:dyDescent="0.15">
      <c r="A435" s="2">
        <v>434</v>
      </c>
      <c r="B435" s="2">
        <v>32.380000000000003</v>
      </c>
      <c r="C435" s="2" t="s">
        <v>6</v>
      </c>
      <c r="D435" s="2" t="s">
        <v>11</v>
      </c>
      <c r="E435" s="3" t="str">
        <f t="shared" si="6"/>
        <v>Low</v>
      </c>
    </row>
    <row r="436" spans="1:5" x14ac:dyDescent="0.15">
      <c r="A436" s="2">
        <v>435</v>
      </c>
      <c r="B436" s="2">
        <v>45.07</v>
      </c>
      <c r="C436" s="2" t="s">
        <v>10</v>
      </c>
      <c r="D436" s="2" t="s">
        <v>11</v>
      </c>
      <c r="E436" s="3" t="str">
        <f t="shared" si="6"/>
        <v>High</v>
      </c>
    </row>
    <row r="437" spans="1:5" x14ac:dyDescent="0.15">
      <c r="A437" s="2">
        <v>436</v>
      </c>
      <c r="B437" s="2">
        <v>27.18</v>
      </c>
      <c r="C437" s="2" t="s">
        <v>6</v>
      </c>
      <c r="D437" s="2" t="s">
        <v>25</v>
      </c>
      <c r="E437" s="3" t="str">
        <f t="shared" si="6"/>
        <v>Low</v>
      </c>
    </row>
    <row r="438" spans="1:5" x14ac:dyDescent="0.15">
      <c r="A438" s="2">
        <v>437</v>
      </c>
      <c r="B438" s="2">
        <v>48.09</v>
      </c>
      <c r="C438" s="2" t="s">
        <v>6</v>
      </c>
      <c r="D438" s="2" t="s">
        <v>19</v>
      </c>
      <c r="E438" s="3" t="str">
        <f t="shared" si="6"/>
        <v>High</v>
      </c>
    </row>
    <row r="439" spans="1:5" x14ac:dyDescent="0.15">
      <c r="A439" s="2">
        <v>438</v>
      </c>
      <c r="B439" s="2">
        <v>42.6</v>
      </c>
      <c r="C439" s="2" t="s">
        <v>10</v>
      </c>
      <c r="D439" s="2" t="s">
        <v>11</v>
      </c>
      <c r="E439" s="3" t="str">
        <f t="shared" si="6"/>
        <v>Medium</v>
      </c>
    </row>
    <row r="440" spans="1:5" x14ac:dyDescent="0.15">
      <c r="A440" s="2">
        <v>439</v>
      </c>
      <c r="B440" s="2">
        <v>40.479999999999997</v>
      </c>
      <c r="C440" s="2" t="s">
        <v>10</v>
      </c>
      <c r="D440" s="2" t="s">
        <v>11</v>
      </c>
      <c r="E440" s="3" t="str">
        <f t="shared" si="6"/>
        <v>Medium</v>
      </c>
    </row>
    <row r="441" spans="1:5" x14ac:dyDescent="0.15">
      <c r="A441" s="2">
        <v>440</v>
      </c>
      <c r="B441" s="2">
        <v>42.18</v>
      </c>
      <c r="C441" s="2" t="s">
        <v>6</v>
      </c>
      <c r="D441" s="2" t="s">
        <v>11</v>
      </c>
      <c r="E441" s="3" t="str">
        <f t="shared" si="6"/>
        <v>Medium</v>
      </c>
    </row>
    <row r="442" spans="1:5" x14ac:dyDescent="0.15">
      <c r="A442" s="2">
        <v>441</v>
      </c>
      <c r="B442" s="2">
        <v>32.35</v>
      </c>
      <c r="C442" s="2"/>
      <c r="D442" s="2" t="s">
        <v>19</v>
      </c>
      <c r="E442" s="3" t="str">
        <f t="shared" si="6"/>
        <v>Low</v>
      </c>
    </row>
    <row r="443" spans="1:5" x14ac:dyDescent="0.15">
      <c r="A443" s="2">
        <v>442</v>
      </c>
      <c r="B443" s="2">
        <v>40.479999999999997</v>
      </c>
      <c r="C443" s="2" t="s">
        <v>6</v>
      </c>
      <c r="D443" s="2" t="s">
        <v>14</v>
      </c>
      <c r="E443" s="3" t="str">
        <f t="shared" si="6"/>
        <v>Medium</v>
      </c>
    </row>
    <row r="444" spans="1:5" x14ac:dyDescent="0.15">
      <c r="A444" s="2">
        <v>443</v>
      </c>
      <c r="B444" s="2">
        <v>35.159999999999997</v>
      </c>
      <c r="C444" s="2" t="s">
        <v>6</v>
      </c>
      <c r="D444" s="2" t="s">
        <v>14</v>
      </c>
      <c r="E444" s="3" t="str">
        <f t="shared" si="6"/>
        <v>Low</v>
      </c>
    </row>
    <row r="445" spans="1:5" x14ac:dyDescent="0.15">
      <c r="A445" s="2">
        <v>444</v>
      </c>
      <c r="B445" s="2">
        <v>36.17</v>
      </c>
      <c r="C445" s="2" t="s">
        <v>10</v>
      </c>
      <c r="D445" s="2" t="s">
        <v>11</v>
      </c>
      <c r="E445" s="3" t="str">
        <f t="shared" si="6"/>
        <v>Low</v>
      </c>
    </row>
    <row r="446" spans="1:5" x14ac:dyDescent="0.15">
      <c r="A446" s="2">
        <v>445</v>
      </c>
      <c r="B446" s="2">
        <v>48.5</v>
      </c>
      <c r="C446" s="2" t="s">
        <v>10</v>
      </c>
      <c r="D446" s="2" t="s">
        <v>11</v>
      </c>
      <c r="E446" s="3" t="str">
        <f t="shared" si="6"/>
        <v>High</v>
      </c>
    </row>
    <row r="447" spans="1:5" x14ac:dyDescent="0.15">
      <c r="A447" s="2">
        <v>446</v>
      </c>
      <c r="B447" s="2">
        <v>30.76</v>
      </c>
      <c r="C447" s="2"/>
      <c r="D447" s="2" t="s">
        <v>19</v>
      </c>
      <c r="E447" s="3" t="str">
        <f t="shared" si="6"/>
        <v>Low</v>
      </c>
    </row>
    <row r="448" spans="1:5" x14ac:dyDescent="0.15">
      <c r="A448" s="2">
        <v>447</v>
      </c>
      <c r="B448" s="2">
        <v>44.9</v>
      </c>
      <c r="C448" s="2" t="s">
        <v>6</v>
      </c>
      <c r="D448" s="2" t="s">
        <v>17</v>
      </c>
      <c r="E448" s="3" t="str">
        <f t="shared" si="6"/>
        <v>High</v>
      </c>
    </row>
    <row r="449" spans="1:5" x14ac:dyDescent="0.15">
      <c r="A449" s="2">
        <v>448</v>
      </c>
      <c r="B449" s="2">
        <v>36.700000000000003</v>
      </c>
      <c r="C449" s="2" t="s">
        <v>6</v>
      </c>
      <c r="D449" s="2" t="s">
        <v>14</v>
      </c>
      <c r="E449" s="3" t="str">
        <f t="shared" si="6"/>
        <v>Low</v>
      </c>
    </row>
    <row r="450" spans="1:5" x14ac:dyDescent="0.15">
      <c r="A450" s="2">
        <v>449</v>
      </c>
      <c r="B450" s="2">
        <v>31.33</v>
      </c>
      <c r="C450" s="2" t="s">
        <v>6</v>
      </c>
      <c r="D450" s="2" t="s">
        <v>17</v>
      </c>
      <c r="E450" s="3" t="str">
        <f t="shared" si="6"/>
        <v>Low</v>
      </c>
    </row>
    <row r="451" spans="1:5" x14ac:dyDescent="0.15">
      <c r="A451" s="2">
        <v>450</v>
      </c>
      <c r="B451" s="2">
        <v>43.3</v>
      </c>
      <c r="C451" s="2" t="s">
        <v>10</v>
      </c>
      <c r="D451" s="2" t="s">
        <v>11</v>
      </c>
      <c r="E451" s="3" t="str">
        <f t="shared" ref="E451:E514" si="7">IF(B451&lt;=$L$2,"Low",IF(B451&lt;=$L$3,"Medium",IF(B451&lt;=$L$4,"High")))</f>
        <v>Medium</v>
      </c>
    </row>
    <row r="452" spans="1:5" x14ac:dyDescent="0.15">
      <c r="A452" s="2">
        <v>451</v>
      </c>
      <c r="B452" s="2">
        <v>32.35</v>
      </c>
      <c r="C452" s="2" t="s">
        <v>6</v>
      </c>
      <c r="D452" s="2" t="s">
        <v>19</v>
      </c>
      <c r="E452" s="3" t="str">
        <f t="shared" si="7"/>
        <v>Low</v>
      </c>
    </row>
    <row r="453" spans="1:5" x14ac:dyDescent="0.15">
      <c r="A453" s="2">
        <v>452</v>
      </c>
      <c r="B453" s="2">
        <v>43.97</v>
      </c>
      <c r="C453" s="2" t="s">
        <v>10</v>
      </c>
      <c r="D453" s="2" t="s">
        <v>11</v>
      </c>
      <c r="E453" s="3" t="str">
        <f t="shared" si="7"/>
        <v>Medium</v>
      </c>
    </row>
    <row r="454" spans="1:5" x14ac:dyDescent="0.15">
      <c r="A454" s="2">
        <v>453</v>
      </c>
      <c r="B454" s="2">
        <v>49.59</v>
      </c>
      <c r="C454" s="2" t="s">
        <v>6</v>
      </c>
      <c r="D454" s="2" t="s">
        <v>14</v>
      </c>
      <c r="E454" s="3" t="str">
        <f t="shared" si="7"/>
        <v>High</v>
      </c>
    </row>
    <row r="455" spans="1:5" x14ac:dyDescent="0.15">
      <c r="A455" s="2">
        <v>454</v>
      </c>
      <c r="B455" s="2">
        <v>33.450000000000003</v>
      </c>
      <c r="C455" s="2" t="s">
        <v>6</v>
      </c>
      <c r="D455" s="2" t="s">
        <v>14</v>
      </c>
      <c r="E455" s="3" t="str">
        <f t="shared" si="7"/>
        <v>Low</v>
      </c>
    </row>
    <row r="456" spans="1:5" x14ac:dyDescent="0.15">
      <c r="A456" s="2">
        <v>455</v>
      </c>
      <c r="B456" s="2">
        <v>48</v>
      </c>
      <c r="C456" s="2" t="s">
        <v>6</v>
      </c>
      <c r="D456" s="2" t="s">
        <v>17</v>
      </c>
      <c r="E456" s="3" t="str">
        <f t="shared" si="7"/>
        <v>High</v>
      </c>
    </row>
    <row r="457" spans="1:5" x14ac:dyDescent="0.15">
      <c r="A457" s="2">
        <v>456</v>
      </c>
      <c r="B457" s="2">
        <v>42.92</v>
      </c>
      <c r="C457" s="2" t="s">
        <v>6</v>
      </c>
      <c r="D457" s="2" t="s">
        <v>17</v>
      </c>
      <c r="E457" s="3" t="str">
        <f t="shared" si="7"/>
        <v>Medium</v>
      </c>
    </row>
    <row r="458" spans="1:5" x14ac:dyDescent="0.15">
      <c r="A458" s="2">
        <v>457</v>
      </c>
      <c r="B458" s="2">
        <v>44.64</v>
      </c>
      <c r="C458" s="2" t="s">
        <v>10</v>
      </c>
      <c r="D458" s="2" t="s">
        <v>11</v>
      </c>
      <c r="E458" s="3" t="str">
        <f t="shared" si="7"/>
        <v>High</v>
      </c>
    </row>
    <row r="459" spans="1:5" x14ac:dyDescent="0.15">
      <c r="A459" s="2">
        <v>458</v>
      </c>
      <c r="B459" s="2">
        <v>48.32</v>
      </c>
      <c r="C459" s="2" t="s">
        <v>10</v>
      </c>
      <c r="D459" s="2" t="s">
        <v>11</v>
      </c>
      <c r="E459" s="3" t="str">
        <f t="shared" si="7"/>
        <v>High</v>
      </c>
    </row>
    <row r="460" spans="1:5" x14ac:dyDescent="0.15">
      <c r="A460" s="2">
        <v>459</v>
      </c>
      <c r="B460" s="2">
        <v>35.43</v>
      </c>
      <c r="C460" s="2" t="s">
        <v>6</v>
      </c>
      <c r="D460" s="2" t="s">
        <v>11</v>
      </c>
      <c r="E460" s="3" t="str">
        <f t="shared" si="7"/>
        <v>Low</v>
      </c>
    </row>
    <row r="461" spans="1:5" x14ac:dyDescent="0.15">
      <c r="A461" s="2">
        <v>460</v>
      </c>
      <c r="B461" s="2">
        <v>30.74</v>
      </c>
      <c r="C461" s="2" t="s">
        <v>6</v>
      </c>
      <c r="D461" s="2" t="s">
        <v>23</v>
      </c>
      <c r="E461" s="3" t="str">
        <f t="shared" si="7"/>
        <v>Low</v>
      </c>
    </row>
    <row r="462" spans="1:5" x14ac:dyDescent="0.15">
      <c r="A462" s="2">
        <v>461</v>
      </c>
      <c r="B462" s="2">
        <v>40.479999999999997</v>
      </c>
      <c r="C462" s="2" t="s">
        <v>6</v>
      </c>
      <c r="D462" s="2" t="s">
        <v>14</v>
      </c>
      <c r="E462" s="3" t="str">
        <f t="shared" si="7"/>
        <v>Medium</v>
      </c>
    </row>
    <row r="463" spans="1:5" x14ac:dyDescent="0.15">
      <c r="A463" s="2">
        <v>462</v>
      </c>
      <c r="B463" s="2">
        <v>45.76</v>
      </c>
      <c r="C463" s="2" t="s">
        <v>6</v>
      </c>
      <c r="D463" s="2" t="s">
        <v>14</v>
      </c>
      <c r="E463" s="3" t="str">
        <f t="shared" si="7"/>
        <v>High</v>
      </c>
    </row>
    <row r="464" spans="1:5" x14ac:dyDescent="0.15">
      <c r="A464" s="2">
        <v>463</v>
      </c>
      <c r="B464" s="2">
        <v>30.47</v>
      </c>
      <c r="C464" s="2" t="s">
        <v>6</v>
      </c>
      <c r="D464" s="2" t="s">
        <v>25</v>
      </c>
      <c r="E464" s="3" t="str">
        <f t="shared" si="7"/>
        <v>Low</v>
      </c>
    </row>
    <row r="465" spans="1:5" x14ac:dyDescent="0.15">
      <c r="A465" s="2">
        <v>464</v>
      </c>
      <c r="B465" s="2">
        <v>41.95</v>
      </c>
      <c r="C465" s="2" t="s">
        <v>6</v>
      </c>
      <c r="D465" s="2" t="s">
        <v>17</v>
      </c>
      <c r="E465" s="3" t="str">
        <f t="shared" si="7"/>
        <v>Medium</v>
      </c>
    </row>
    <row r="466" spans="1:5" x14ac:dyDescent="0.15">
      <c r="A466" s="2">
        <v>465</v>
      </c>
      <c r="B466" s="2">
        <v>48</v>
      </c>
      <c r="C466" s="2" t="s">
        <v>10</v>
      </c>
      <c r="D466" s="2" t="s">
        <v>17</v>
      </c>
      <c r="E466" s="3" t="str">
        <f t="shared" si="7"/>
        <v>High</v>
      </c>
    </row>
    <row r="467" spans="1:5" x14ac:dyDescent="0.15">
      <c r="A467" s="2">
        <v>466</v>
      </c>
      <c r="B467" s="2">
        <v>46.54</v>
      </c>
      <c r="C467" s="2" t="s">
        <v>6</v>
      </c>
      <c r="D467" s="2" t="s">
        <v>23</v>
      </c>
      <c r="E467" s="3" t="str">
        <f t="shared" si="7"/>
        <v>High</v>
      </c>
    </row>
    <row r="468" spans="1:5" x14ac:dyDescent="0.15">
      <c r="A468" s="2">
        <v>467</v>
      </c>
      <c r="B468" s="2">
        <v>24.28</v>
      </c>
      <c r="C468" s="2" t="s">
        <v>6</v>
      </c>
      <c r="D468" s="2" t="s">
        <v>11</v>
      </c>
      <c r="E468" s="3" t="str">
        <f t="shared" si="7"/>
        <v>Low</v>
      </c>
    </row>
    <row r="469" spans="1:5" x14ac:dyDescent="0.15">
      <c r="A469" s="2">
        <v>468</v>
      </c>
      <c r="B469" s="2">
        <v>47.95</v>
      </c>
      <c r="C469" s="2" t="s">
        <v>10</v>
      </c>
      <c r="D469" s="2" t="s">
        <v>11</v>
      </c>
      <c r="E469" s="3" t="str">
        <f t="shared" si="7"/>
        <v>High</v>
      </c>
    </row>
    <row r="470" spans="1:5" x14ac:dyDescent="0.15">
      <c r="A470" s="2">
        <v>469</v>
      </c>
      <c r="B470" s="2">
        <v>48.65</v>
      </c>
      <c r="C470" s="2" t="s">
        <v>10</v>
      </c>
      <c r="D470" s="2" t="s">
        <v>11</v>
      </c>
      <c r="E470" s="3" t="str">
        <f t="shared" si="7"/>
        <v>High</v>
      </c>
    </row>
    <row r="471" spans="1:5" x14ac:dyDescent="0.15">
      <c r="A471" s="2">
        <v>470</v>
      </c>
      <c r="B471" s="2">
        <v>24.89</v>
      </c>
      <c r="C471" s="2" t="s">
        <v>6</v>
      </c>
      <c r="D471" s="2" t="s">
        <v>14</v>
      </c>
      <c r="E471" s="3" t="str">
        <f t="shared" si="7"/>
        <v>Low</v>
      </c>
    </row>
    <row r="472" spans="1:5" x14ac:dyDescent="0.15">
      <c r="A472" s="2">
        <v>471</v>
      </c>
      <c r="B472" s="2">
        <v>49.32</v>
      </c>
      <c r="C472" s="2" t="s">
        <v>10</v>
      </c>
      <c r="D472" s="2" t="s">
        <v>14</v>
      </c>
      <c r="E472" s="3" t="str">
        <f t="shared" si="7"/>
        <v>High</v>
      </c>
    </row>
    <row r="473" spans="1:5" x14ac:dyDescent="0.15">
      <c r="A473" s="2">
        <v>472</v>
      </c>
      <c r="B473" s="2">
        <v>33.979999999999997</v>
      </c>
      <c r="C473" s="2" t="s">
        <v>6</v>
      </c>
      <c r="D473" s="2" t="s">
        <v>23</v>
      </c>
      <c r="E473" s="3" t="str">
        <f t="shared" si="7"/>
        <v>Low</v>
      </c>
    </row>
    <row r="474" spans="1:5" x14ac:dyDescent="0.15">
      <c r="A474" s="2">
        <v>473</v>
      </c>
      <c r="B474" s="2">
        <v>44.86</v>
      </c>
      <c r="C474" s="2" t="s">
        <v>10</v>
      </c>
      <c r="D474" s="2" t="s">
        <v>11</v>
      </c>
      <c r="E474" s="3" t="str">
        <f t="shared" si="7"/>
        <v>High</v>
      </c>
    </row>
    <row r="475" spans="1:5" x14ac:dyDescent="0.15">
      <c r="A475" s="2">
        <v>474</v>
      </c>
      <c r="B475" s="2">
        <v>45.47</v>
      </c>
      <c r="C475" s="2" t="s">
        <v>10</v>
      </c>
      <c r="D475" s="2" t="s">
        <v>11</v>
      </c>
      <c r="E475" s="3" t="str">
        <f t="shared" si="7"/>
        <v>High</v>
      </c>
    </row>
    <row r="476" spans="1:5" x14ac:dyDescent="0.15">
      <c r="A476" s="2">
        <v>475</v>
      </c>
      <c r="B476" s="2">
        <v>45.21</v>
      </c>
      <c r="C476" s="2" t="s">
        <v>10</v>
      </c>
      <c r="D476" s="2" t="s">
        <v>25</v>
      </c>
      <c r="E476" s="3" t="str">
        <f t="shared" si="7"/>
        <v>High</v>
      </c>
    </row>
    <row r="477" spans="1:5" x14ac:dyDescent="0.15">
      <c r="A477" s="2">
        <v>476</v>
      </c>
      <c r="B477" s="2">
        <v>39.67</v>
      </c>
      <c r="C477" s="2" t="s">
        <v>10</v>
      </c>
      <c r="D477" s="2" t="s">
        <v>19</v>
      </c>
      <c r="E477" s="3" t="str">
        <f t="shared" si="7"/>
        <v>Medium</v>
      </c>
    </row>
    <row r="478" spans="1:5" x14ac:dyDescent="0.15">
      <c r="A478" s="2">
        <v>477</v>
      </c>
      <c r="B478" s="2">
        <v>49.32</v>
      </c>
      <c r="C478" s="2" t="s">
        <v>10</v>
      </c>
      <c r="D478" s="2" t="s">
        <v>19</v>
      </c>
      <c r="E478" s="3" t="str">
        <f t="shared" si="7"/>
        <v>High</v>
      </c>
    </row>
    <row r="479" spans="1:5" x14ac:dyDescent="0.15">
      <c r="A479" s="2">
        <v>478</v>
      </c>
      <c r="B479" s="2">
        <v>44.57</v>
      </c>
      <c r="C479" s="2" t="s">
        <v>6</v>
      </c>
      <c r="D479" s="2" t="s">
        <v>19</v>
      </c>
      <c r="E479" s="3" t="str">
        <f t="shared" si="7"/>
        <v>Medium</v>
      </c>
    </row>
    <row r="480" spans="1:5" x14ac:dyDescent="0.15">
      <c r="A480" s="2">
        <v>479</v>
      </c>
      <c r="B480" s="2">
        <v>42.85</v>
      </c>
      <c r="C480" s="2"/>
      <c r="D480" s="2" t="s">
        <v>25</v>
      </c>
      <c r="E480" s="3" t="str">
        <f t="shared" si="7"/>
        <v>Medium</v>
      </c>
    </row>
    <row r="481" spans="1:5" x14ac:dyDescent="0.15">
      <c r="A481" s="2">
        <v>480</v>
      </c>
      <c r="B481" s="2">
        <v>40.92</v>
      </c>
      <c r="C481" s="2" t="s">
        <v>10</v>
      </c>
      <c r="D481" s="2" t="s">
        <v>11</v>
      </c>
      <c r="E481" s="3" t="str">
        <f t="shared" si="7"/>
        <v>Medium</v>
      </c>
    </row>
    <row r="482" spans="1:5" x14ac:dyDescent="0.15">
      <c r="A482" s="2">
        <v>481</v>
      </c>
      <c r="B482" s="2">
        <v>46.45</v>
      </c>
      <c r="C482" s="2" t="s">
        <v>10</v>
      </c>
      <c r="D482" s="2" t="s">
        <v>11</v>
      </c>
      <c r="E482" s="3" t="str">
        <f t="shared" si="7"/>
        <v>High</v>
      </c>
    </row>
    <row r="483" spans="1:5" x14ac:dyDescent="0.15">
      <c r="A483" s="2">
        <v>482</v>
      </c>
      <c r="B483" s="2">
        <v>47</v>
      </c>
      <c r="C483" s="2" t="s">
        <v>10</v>
      </c>
      <c r="D483" s="2" t="s">
        <v>11</v>
      </c>
      <c r="E483" s="3" t="str">
        <f t="shared" si="7"/>
        <v>High</v>
      </c>
    </row>
    <row r="484" spans="1:5" x14ac:dyDescent="0.15">
      <c r="A484" s="2">
        <v>483</v>
      </c>
      <c r="B484" s="2">
        <v>47.18</v>
      </c>
      <c r="C484" s="2" t="s">
        <v>6</v>
      </c>
      <c r="D484" s="2" t="s">
        <v>14</v>
      </c>
      <c r="E484" s="3" t="str">
        <f t="shared" si="7"/>
        <v>High</v>
      </c>
    </row>
    <row r="485" spans="1:5" x14ac:dyDescent="0.15">
      <c r="A485" s="2">
        <v>484</v>
      </c>
      <c r="B485" s="2">
        <v>41.26</v>
      </c>
      <c r="C485" s="2" t="s">
        <v>6</v>
      </c>
      <c r="D485" s="2" t="s">
        <v>19</v>
      </c>
      <c r="E485" s="3" t="str">
        <f t="shared" si="7"/>
        <v>Medium</v>
      </c>
    </row>
    <row r="486" spans="1:5" x14ac:dyDescent="0.15">
      <c r="A486" s="2">
        <v>485</v>
      </c>
      <c r="B486" s="2">
        <v>32.35</v>
      </c>
      <c r="C486" s="2" t="s">
        <v>6</v>
      </c>
      <c r="D486" s="2" t="s">
        <v>17</v>
      </c>
      <c r="E486" s="3" t="str">
        <f t="shared" si="7"/>
        <v>Low</v>
      </c>
    </row>
    <row r="487" spans="1:5" x14ac:dyDescent="0.15">
      <c r="A487" s="2">
        <v>486</v>
      </c>
      <c r="B487" s="2">
        <v>40.18</v>
      </c>
      <c r="C487" s="2" t="s">
        <v>6</v>
      </c>
      <c r="D487" s="2" t="s">
        <v>23</v>
      </c>
      <c r="E487" s="3" t="str">
        <f t="shared" si="7"/>
        <v>Medium</v>
      </c>
    </row>
    <row r="488" spans="1:5" x14ac:dyDescent="0.15">
      <c r="A488" s="2">
        <v>487</v>
      </c>
      <c r="B488" s="2">
        <v>27.18</v>
      </c>
      <c r="C488" s="2" t="s">
        <v>6</v>
      </c>
      <c r="D488" s="2" t="s">
        <v>25</v>
      </c>
      <c r="E488" s="3" t="str">
        <f t="shared" si="7"/>
        <v>Low</v>
      </c>
    </row>
    <row r="489" spans="1:5" x14ac:dyDescent="0.15">
      <c r="A489" s="2">
        <v>488</v>
      </c>
      <c r="B489" s="2">
        <v>40.619999999999997</v>
      </c>
      <c r="C489" s="2" t="s">
        <v>6</v>
      </c>
      <c r="D489" s="2" t="s">
        <v>19</v>
      </c>
      <c r="E489" s="3" t="str">
        <f t="shared" si="7"/>
        <v>Medium</v>
      </c>
    </row>
    <row r="490" spans="1:5" x14ac:dyDescent="0.15">
      <c r="A490" s="2">
        <v>489</v>
      </c>
      <c r="B490" s="2">
        <v>42.18</v>
      </c>
      <c r="C490" s="2" t="s">
        <v>10</v>
      </c>
      <c r="D490" s="2" t="s">
        <v>11</v>
      </c>
      <c r="E490" s="3" t="str">
        <f t="shared" si="7"/>
        <v>Medium</v>
      </c>
    </row>
    <row r="491" spans="1:5" x14ac:dyDescent="0.15">
      <c r="A491" s="2">
        <v>490</v>
      </c>
      <c r="B491" s="2">
        <v>48.26</v>
      </c>
      <c r="C491" s="2" t="s">
        <v>6</v>
      </c>
      <c r="D491" s="2" t="s">
        <v>14</v>
      </c>
      <c r="E491" s="3" t="str">
        <f t="shared" si="7"/>
        <v>High</v>
      </c>
    </row>
    <row r="492" spans="1:5" x14ac:dyDescent="0.15">
      <c r="A492" s="2">
        <v>491</v>
      </c>
      <c r="B492" s="2">
        <v>47.72</v>
      </c>
      <c r="C492" s="2" t="s">
        <v>28</v>
      </c>
      <c r="D492" s="2" t="s">
        <v>11</v>
      </c>
      <c r="E492" s="3" t="str">
        <f t="shared" si="7"/>
        <v>High</v>
      </c>
    </row>
    <row r="493" spans="1:5" x14ac:dyDescent="0.15">
      <c r="A493" s="2">
        <v>492</v>
      </c>
      <c r="B493" s="2">
        <v>45.82</v>
      </c>
      <c r="C493" s="2" t="s">
        <v>10</v>
      </c>
      <c r="D493" s="2" t="s">
        <v>11</v>
      </c>
      <c r="E493" s="3" t="str">
        <f t="shared" si="7"/>
        <v>High</v>
      </c>
    </row>
    <row r="494" spans="1:5" x14ac:dyDescent="0.15">
      <c r="A494" s="2">
        <v>493</v>
      </c>
      <c r="B494" s="2">
        <v>43.14</v>
      </c>
      <c r="C494" s="2" t="s">
        <v>6</v>
      </c>
      <c r="D494" s="2" t="s">
        <v>11</v>
      </c>
      <c r="E494" s="3" t="str">
        <f t="shared" si="7"/>
        <v>Medium</v>
      </c>
    </row>
    <row r="495" spans="1:5" x14ac:dyDescent="0.15">
      <c r="A495" s="2">
        <v>494</v>
      </c>
      <c r="B495" s="2">
        <v>35.159999999999997</v>
      </c>
      <c r="C495" s="2" t="s">
        <v>6</v>
      </c>
      <c r="D495" s="2" t="s">
        <v>14</v>
      </c>
      <c r="E495" s="3" t="str">
        <f t="shared" si="7"/>
        <v>Low</v>
      </c>
    </row>
    <row r="496" spans="1:5" x14ac:dyDescent="0.15">
      <c r="A496" s="2">
        <v>495</v>
      </c>
      <c r="B496" s="2">
        <v>44.42</v>
      </c>
      <c r="C496" s="2" t="s">
        <v>6</v>
      </c>
      <c r="D496" s="2" t="s">
        <v>25</v>
      </c>
      <c r="E496" s="3" t="str">
        <f t="shared" si="7"/>
        <v>Medium</v>
      </c>
    </row>
    <row r="497" spans="1:5" x14ac:dyDescent="0.15">
      <c r="A497" s="2">
        <v>496</v>
      </c>
      <c r="B497" s="2">
        <v>45.76</v>
      </c>
      <c r="C497" s="2" t="s">
        <v>10</v>
      </c>
      <c r="D497" s="2" t="s">
        <v>11</v>
      </c>
      <c r="E497" s="3" t="str">
        <f t="shared" si="7"/>
        <v>High</v>
      </c>
    </row>
    <row r="498" spans="1:5" x14ac:dyDescent="0.15">
      <c r="A498" s="2">
        <v>497</v>
      </c>
      <c r="B498" s="2">
        <v>41.89</v>
      </c>
      <c r="C498" s="2" t="s">
        <v>10</v>
      </c>
      <c r="D498" s="2" t="s">
        <v>25</v>
      </c>
      <c r="E498" s="3" t="str">
        <f t="shared" si="7"/>
        <v>Medium</v>
      </c>
    </row>
    <row r="499" spans="1:5" x14ac:dyDescent="0.15">
      <c r="A499" s="2">
        <v>498</v>
      </c>
      <c r="B499" s="2">
        <v>30.47</v>
      </c>
      <c r="C499" s="2" t="s">
        <v>6</v>
      </c>
      <c r="D499" s="2" t="s">
        <v>25</v>
      </c>
      <c r="E499" s="3" t="str">
        <f t="shared" si="7"/>
        <v>Low</v>
      </c>
    </row>
    <row r="500" spans="1:5" x14ac:dyDescent="0.15">
      <c r="A500" s="2">
        <v>499</v>
      </c>
      <c r="B500" s="2">
        <v>24.89</v>
      </c>
      <c r="C500" s="2" t="s">
        <v>6</v>
      </c>
      <c r="D500" s="2" t="s">
        <v>14</v>
      </c>
      <c r="E500" s="3" t="str">
        <f t="shared" si="7"/>
        <v>Low</v>
      </c>
    </row>
    <row r="501" spans="1:5" x14ac:dyDescent="0.15">
      <c r="A501" s="2">
        <v>500</v>
      </c>
      <c r="B501" s="2">
        <v>43.13</v>
      </c>
      <c r="C501" s="2"/>
      <c r="D501" s="2" t="s">
        <v>14</v>
      </c>
      <c r="E501" s="3" t="str">
        <f t="shared" si="7"/>
        <v>Medium</v>
      </c>
    </row>
    <row r="502" spans="1:5" x14ac:dyDescent="0.15">
      <c r="A502" s="2">
        <v>501</v>
      </c>
      <c r="B502" s="2">
        <v>39.06</v>
      </c>
      <c r="C502" s="2" t="s">
        <v>6</v>
      </c>
      <c r="D502" s="2" t="s">
        <v>23</v>
      </c>
      <c r="E502" s="3" t="str">
        <f t="shared" si="7"/>
        <v>Medium</v>
      </c>
    </row>
    <row r="503" spans="1:5" x14ac:dyDescent="0.15">
      <c r="A503" s="2">
        <v>502</v>
      </c>
      <c r="B503" s="2">
        <v>42.92</v>
      </c>
      <c r="C503" s="2" t="s">
        <v>6</v>
      </c>
      <c r="D503" s="2" t="s">
        <v>19</v>
      </c>
      <c r="E503" s="3" t="str">
        <f t="shared" si="7"/>
        <v>Medium</v>
      </c>
    </row>
    <row r="504" spans="1:5" x14ac:dyDescent="0.15">
      <c r="A504" s="2">
        <v>503</v>
      </c>
      <c r="B504" s="2">
        <v>42.21</v>
      </c>
      <c r="C504" s="2" t="s">
        <v>28</v>
      </c>
      <c r="D504" s="2" t="s">
        <v>19</v>
      </c>
      <c r="E504" s="3" t="str">
        <f t="shared" si="7"/>
        <v>Medium</v>
      </c>
    </row>
    <row r="505" spans="1:5" x14ac:dyDescent="0.15">
      <c r="A505" s="2">
        <v>504</v>
      </c>
      <c r="B505" s="2">
        <v>32.35</v>
      </c>
      <c r="C505" s="2" t="s">
        <v>6</v>
      </c>
      <c r="D505" s="2" t="s">
        <v>19</v>
      </c>
      <c r="E505" s="3" t="str">
        <f t="shared" si="7"/>
        <v>Low</v>
      </c>
    </row>
    <row r="506" spans="1:5" x14ac:dyDescent="0.15">
      <c r="A506" s="2">
        <v>505</v>
      </c>
      <c r="B506" s="2">
        <v>35.43</v>
      </c>
      <c r="C506" s="2" t="s">
        <v>10</v>
      </c>
      <c r="D506" s="2" t="s">
        <v>23</v>
      </c>
      <c r="E506" s="3" t="str">
        <f t="shared" si="7"/>
        <v>Low</v>
      </c>
    </row>
    <row r="507" spans="1:5" x14ac:dyDescent="0.15">
      <c r="A507" s="2">
        <v>506</v>
      </c>
      <c r="B507" s="2">
        <v>32.39</v>
      </c>
      <c r="C507" s="2" t="s">
        <v>6</v>
      </c>
      <c r="D507" s="2" t="s">
        <v>25</v>
      </c>
      <c r="E507" s="3" t="str">
        <f t="shared" si="7"/>
        <v>Low</v>
      </c>
    </row>
    <row r="508" spans="1:5" x14ac:dyDescent="0.15">
      <c r="A508" s="2">
        <v>507</v>
      </c>
      <c r="B508" s="2">
        <v>29.55</v>
      </c>
      <c r="C508" s="2" t="s">
        <v>6</v>
      </c>
      <c r="D508" s="2" t="s">
        <v>25</v>
      </c>
      <c r="E508" s="3" t="str">
        <f t="shared" si="7"/>
        <v>Low</v>
      </c>
    </row>
    <row r="509" spans="1:5" x14ac:dyDescent="0.15">
      <c r="A509" s="2">
        <v>508</v>
      </c>
      <c r="B509" s="2">
        <v>44</v>
      </c>
      <c r="C509" s="2" t="s">
        <v>10</v>
      </c>
      <c r="D509" s="2" t="s">
        <v>11</v>
      </c>
      <c r="E509" s="3" t="str">
        <f t="shared" si="7"/>
        <v>Medium</v>
      </c>
    </row>
    <row r="510" spans="1:5" x14ac:dyDescent="0.15">
      <c r="A510" s="2">
        <v>509</v>
      </c>
      <c r="B510" s="2">
        <v>40.18</v>
      </c>
      <c r="C510" s="2" t="s">
        <v>6</v>
      </c>
      <c r="D510" s="2" t="s">
        <v>23</v>
      </c>
      <c r="E510" s="3" t="str">
        <f t="shared" si="7"/>
        <v>Medium</v>
      </c>
    </row>
    <row r="511" spans="1:5" x14ac:dyDescent="0.15">
      <c r="A511" s="2">
        <v>510</v>
      </c>
      <c r="B511" s="2">
        <v>32.380000000000003</v>
      </c>
      <c r="C511" s="2" t="s">
        <v>6</v>
      </c>
      <c r="D511" s="2" t="s">
        <v>11</v>
      </c>
      <c r="E511" s="3" t="str">
        <f t="shared" si="7"/>
        <v>Low</v>
      </c>
    </row>
    <row r="512" spans="1:5" x14ac:dyDescent="0.15">
      <c r="A512" s="2">
        <v>511</v>
      </c>
      <c r="B512" s="2">
        <v>48.09</v>
      </c>
      <c r="C512" s="2" t="s">
        <v>6</v>
      </c>
      <c r="D512" s="2" t="s">
        <v>17</v>
      </c>
      <c r="E512" s="3" t="str">
        <f t="shared" si="7"/>
        <v>High</v>
      </c>
    </row>
    <row r="513" spans="1:5" x14ac:dyDescent="0.15">
      <c r="A513" s="2">
        <v>512</v>
      </c>
      <c r="B513" s="2">
        <v>41.11</v>
      </c>
      <c r="C513" s="2" t="s">
        <v>28</v>
      </c>
      <c r="D513" s="2" t="s">
        <v>19</v>
      </c>
      <c r="E513" s="3" t="str">
        <f t="shared" si="7"/>
        <v>Medium</v>
      </c>
    </row>
    <row r="514" spans="1:5" x14ac:dyDescent="0.15">
      <c r="A514" s="2">
        <v>513</v>
      </c>
      <c r="B514" s="2">
        <v>35.71</v>
      </c>
      <c r="C514" s="2" t="s">
        <v>6</v>
      </c>
      <c r="D514" s="2" t="s">
        <v>23</v>
      </c>
      <c r="E514" s="3" t="str">
        <f t="shared" si="7"/>
        <v>Low</v>
      </c>
    </row>
    <row r="515" spans="1:5" x14ac:dyDescent="0.15">
      <c r="A515" s="2">
        <v>514</v>
      </c>
      <c r="B515" s="2">
        <v>48.09</v>
      </c>
      <c r="C515" s="2" t="s">
        <v>6</v>
      </c>
      <c r="D515" s="2" t="s">
        <v>19</v>
      </c>
      <c r="E515" s="3" t="str">
        <f t="shared" ref="E515:E578" si="8">IF(B515&lt;=$L$2,"Low",IF(B515&lt;=$L$3,"Medium",IF(B515&lt;=$L$4,"High")))</f>
        <v>High</v>
      </c>
    </row>
    <row r="516" spans="1:5" x14ac:dyDescent="0.15">
      <c r="A516" s="2">
        <v>515</v>
      </c>
      <c r="B516" s="2">
        <v>30.74</v>
      </c>
      <c r="C516" s="2" t="s">
        <v>6</v>
      </c>
      <c r="D516" s="2" t="s">
        <v>23</v>
      </c>
      <c r="E516" s="3" t="str">
        <f t="shared" si="8"/>
        <v>Low</v>
      </c>
    </row>
    <row r="517" spans="1:5" x14ac:dyDescent="0.15">
      <c r="A517" s="2">
        <v>516</v>
      </c>
      <c r="B517" s="2">
        <v>42.71</v>
      </c>
      <c r="C517" s="2" t="s">
        <v>6</v>
      </c>
      <c r="D517" s="2" t="s">
        <v>23</v>
      </c>
      <c r="E517" s="3" t="str">
        <f t="shared" si="8"/>
        <v>Medium</v>
      </c>
    </row>
    <row r="518" spans="1:5" x14ac:dyDescent="0.15">
      <c r="A518" s="2">
        <v>517</v>
      </c>
      <c r="B518" s="2">
        <v>44.86</v>
      </c>
      <c r="C518" s="2" t="s">
        <v>10</v>
      </c>
      <c r="D518" s="2" t="s">
        <v>11</v>
      </c>
      <c r="E518" s="3" t="str">
        <f t="shared" si="8"/>
        <v>High</v>
      </c>
    </row>
    <row r="519" spans="1:5" x14ac:dyDescent="0.15">
      <c r="A519" s="2">
        <v>518</v>
      </c>
      <c r="B519" s="2">
        <v>48.09</v>
      </c>
      <c r="C519" s="2" t="s">
        <v>6</v>
      </c>
      <c r="D519" s="2" t="s">
        <v>17</v>
      </c>
      <c r="E519" s="3" t="str">
        <f t="shared" si="8"/>
        <v>High</v>
      </c>
    </row>
    <row r="520" spans="1:5" x14ac:dyDescent="0.15">
      <c r="A520" s="2">
        <v>519</v>
      </c>
      <c r="B520" s="2">
        <v>48.09</v>
      </c>
      <c r="C520" s="2" t="s">
        <v>6</v>
      </c>
      <c r="D520" s="2" t="s">
        <v>19</v>
      </c>
      <c r="E520" s="3" t="str">
        <f t="shared" si="8"/>
        <v>High</v>
      </c>
    </row>
    <row r="521" spans="1:5" x14ac:dyDescent="0.15">
      <c r="A521" s="2">
        <v>520</v>
      </c>
      <c r="B521" s="2">
        <v>43.51</v>
      </c>
      <c r="C521" s="2" t="s">
        <v>6</v>
      </c>
      <c r="D521" s="2" t="s">
        <v>23</v>
      </c>
      <c r="E521" s="3" t="str">
        <f t="shared" si="8"/>
        <v>Medium</v>
      </c>
    </row>
    <row r="522" spans="1:5" x14ac:dyDescent="0.15">
      <c r="A522" s="2">
        <v>521</v>
      </c>
      <c r="B522" s="2">
        <v>49.09</v>
      </c>
      <c r="C522" s="2" t="s">
        <v>10</v>
      </c>
      <c r="D522" s="2" t="s">
        <v>11</v>
      </c>
      <c r="E522" s="3" t="str">
        <f t="shared" si="8"/>
        <v>High</v>
      </c>
    </row>
    <row r="523" spans="1:5" x14ac:dyDescent="0.15">
      <c r="A523" s="2">
        <v>522</v>
      </c>
      <c r="B523" s="2">
        <v>38.770000000000003</v>
      </c>
      <c r="C523" s="2" t="s">
        <v>6</v>
      </c>
      <c r="D523" s="2" t="s">
        <v>17</v>
      </c>
      <c r="E523" s="3" t="str">
        <f t="shared" si="8"/>
        <v>Medium</v>
      </c>
    </row>
    <row r="524" spans="1:5" x14ac:dyDescent="0.15">
      <c r="A524" s="2">
        <v>523</v>
      </c>
      <c r="B524" s="2">
        <v>45</v>
      </c>
      <c r="C524" s="2" t="s">
        <v>10</v>
      </c>
      <c r="D524" s="2" t="s">
        <v>17</v>
      </c>
      <c r="E524" s="3" t="str">
        <f t="shared" si="8"/>
        <v>High</v>
      </c>
    </row>
    <row r="525" spans="1:5" x14ac:dyDescent="0.15">
      <c r="A525" s="2">
        <v>524</v>
      </c>
      <c r="B525" s="2">
        <v>46.18</v>
      </c>
      <c r="C525" s="2" t="s">
        <v>10</v>
      </c>
      <c r="D525" s="2" t="s">
        <v>11</v>
      </c>
      <c r="E525" s="3" t="str">
        <f t="shared" si="8"/>
        <v>High</v>
      </c>
    </row>
    <row r="526" spans="1:5" x14ac:dyDescent="0.15">
      <c r="A526" s="2">
        <v>525</v>
      </c>
      <c r="B526" s="2">
        <v>27.18</v>
      </c>
      <c r="C526" s="2" t="s">
        <v>6</v>
      </c>
      <c r="D526" s="2" t="s">
        <v>11</v>
      </c>
      <c r="E526" s="3" t="str">
        <f t="shared" si="8"/>
        <v>Low</v>
      </c>
    </row>
    <row r="527" spans="1:5" x14ac:dyDescent="0.15">
      <c r="A527" s="2">
        <v>526</v>
      </c>
      <c r="B527" s="2">
        <v>43.73</v>
      </c>
      <c r="C527" s="2" t="s">
        <v>6</v>
      </c>
      <c r="D527" s="2" t="s">
        <v>25</v>
      </c>
      <c r="E527" s="3" t="str">
        <f t="shared" si="8"/>
        <v>Medium</v>
      </c>
    </row>
    <row r="528" spans="1:5" x14ac:dyDescent="0.15">
      <c r="A528" s="2">
        <v>527</v>
      </c>
      <c r="B528" s="2">
        <v>40.18</v>
      </c>
      <c r="C528" s="2" t="s">
        <v>6</v>
      </c>
      <c r="D528" s="2" t="s">
        <v>23</v>
      </c>
      <c r="E528" s="3" t="str">
        <f t="shared" si="8"/>
        <v>Medium</v>
      </c>
    </row>
    <row r="529" spans="1:5" x14ac:dyDescent="0.15">
      <c r="A529" s="2">
        <v>528</v>
      </c>
      <c r="B529" s="2">
        <v>36.130000000000003</v>
      </c>
      <c r="C529" s="2" t="s">
        <v>28</v>
      </c>
      <c r="D529" s="2" t="s">
        <v>19</v>
      </c>
      <c r="E529" s="3" t="str">
        <f t="shared" si="8"/>
        <v>Low</v>
      </c>
    </row>
    <row r="530" spans="1:5" x14ac:dyDescent="0.15">
      <c r="A530" s="2">
        <v>529</v>
      </c>
      <c r="B530" s="2">
        <v>40.18</v>
      </c>
      <c r="C530" s="2" t="s">
        <v>6</v>
      </c>
      <c r="D530" s="2" t="s">
        <v>23</v>
      </c>
      <c r="E530" s="3" t="str">
        <f t="shared" si="8"/>
        <v>Medium</v>
      </c>
    </row>
    <row r="531" spans="1:5" x14ac:dyDescent="0.15">
      <c r="A531" s="2">
        <v>530</v>
      </c>
      <c r="B531" s="2">
        <v>47.91</v>
      </c>
      <c r="C531" s="2" t="s">
        <v>10</v>
      </c>
      <c r="D531" s="2" t="s">
        <v>17</v>
      </c>
      <c r="E531" s="3" t="str">
        <f t="shared" si="8"/>
        <v>High</v>
      </c>
    </row>
    <row r="532" spans="1:5" x14ac:dyDescent="0.15">
      <c r="A532" s="2">
        <v>531</v>
      </c>
      <c r="B532" s="2">
        <v>43.13</v>
      </c>
      <c r="C532" s="2"/>
      <c r="D532" s="2" t="s">
        <v>11</v>
      </c>
      <c r="E532" s="3" t="str">
        <f t="shared" si="8"/>
        <v>Medium</v>
      </c>
    </row>
    <row r="533" spans="1:5" x14ac:dyDescent="0.15">
      <c r="A533" s="2">
        <v>532</v>
      </c>
      <c r="B533" s="2">
        <v>46.6</v>
      </c>
      <c r="C533" s="2" t="s">
        <v>10</v>
      </c>
      <c r="D533" s="2" t="s">
        <v>11</v>
      </c>
      <c r="E533" s="3" t="str">
        <f t="shared" si="8"/>
        <v>High</v>
      </c>
    </row>
    <row r="534" spans="1:5" x14ac:dyDescent="0.15">
      <c r="A534" s="2">
        <v>533</v>
      </c>
      <c r="B534" s="2">
        <v>40.479999999999997</v>
      </c>
      <c r="C534" s="2" t="s">
        <v>6</v>
      </c>
      <c r="D534" s="2" t="s">
        <v>14</v>
      </c>
      <c r="E534" s="3" t="str">
        <f t="shared" si="8"/>
        <v>Medium</v>
      </c>
    </row>
    <row r="535" spans="1:5" x14ac:dyDescent="0.15">
      <c r="A535" s="2">
        <v>534</v>
      </c>
      <c r="B535" s="2">
        <v>48.89</v>
      </c>
      <c r="C535" s="2" t="s">
        <v>10</v>
      </c>
      <c r="D535" s="2" t="s">
        <v>11</v>
      </c>
      <c r="E535" s="3" t="str">
        <f t="shared" si="8"/>
        <v>High</v>
      </c>
    </row>
    <row r="536" spans="1:5" x14ac:dyDescent="0.15">
      <c r="A536" s="2">
        <v>535</v>
      </c>
      <c r="B536" s="2">
        <v>33.659999999999997</v>
      </c>
      <c r="C536" s="2" t="s">
        <v>10</v>
      </c>
      <c r="D536" s="2" t="s">
        <v>23</v>
      </c>
      <c r="E536" s="3" t="str">
        <f t="shared" si="8"/>
        <v>Low</v>
      </c>
    </row>
    <row r="537" spans="1:5" x14ac:dyDescent="0.15">
      <c r="A537" s="2">
        <v>536</v>
      </c>
      <c r="B537" s="2">
        <v>41.06</v>
      </c>
      <c r="C537" s="2" t="s">
        <v>10</v>
      </c>
      <c r="D537" s="2" t="s">
        <v>19</v>
      </c>
      <c r="E537" s="3" t="str">
        <f t="shared" si="8"/>
        <v>Medium</v>
      </c>
    </row>
    <row r="538" spans="1:5" x14ac:dyDescent="0.15">
      <c r="A538" s="2">
        <v>537</v>
      </c>
      <c r="B538" s="2">
        <v>43.52</v>
      </c>
      <c r="C538" s="2" t="s">
        <v>10</v>
      </c>
      <c r="D538" s="2" t="s">
        <v>11</v>
      </c>
      <c r="E538" s="3" t="str">
        <f t="shared" si="8"/>
        <v>Medium</v>
      </c>
    </row>
    <row r="539" spans="1:5" x14ac:dyDescent="0.15">
      <c r="A539" s="2">
        <v>538</v>
      </c>
      <c r="B539" s="2">
        <v>34.96</v>
      </c>
      <c r="C539" s="2" t="s">
        <v>6</v>
      </c>
      <c r="D539" s="2" t="s">
        <v>17</v>
      </c>
      <c r="E539" s="3" t="str">
        <f t="shared" si="8"/>
        <v>Low</v>
      </c>
    </row>
    <row r="540" spans="1:5" x14ac:dyDescent="0.15">
      <c r="A540" s="2">
        <v>539</v>
      </c>
      <c r="B540" s="2">
        <v>48.53</v>
      </c>
      <c r="C540" s="2" t="s">
        <v>6</v>
      </c>
      <c r="D540" s="2" t="s">
        <v>11</v>
      </c>
      <c r="E540" s="3" t="str">
        <f t="shared" si="8"/>
        <v>High</v>
      </c>
    </row>
    <row r="541" spans="1:5" x14ac:dyDescent="0.15">
      <c r="A541" s="2">
        <v>540</v>
      </c>
      <c r="B541" s="2">
        <v>47.13</v>
      </c>
      <c r="C541" s="2" t="s">
        <v>28</v>
      </c>
      <c r="D541" s="2" t="s">
        <v>19</v>
      </c>
      <c r="E541" s="3" t="str">
        <f t="shared" si="8"/>
        <v>High</v>
      </c>
    </row>
    <row r="542" spans="1:5" x14ac:dyDescent="0.15">
      <c r="A542" s="2">
        <v>541</v>
      </c>
      <c r="B542" s="2">
        <v>44.16</v>
      </c>
      <c r="C542" s="2" t="s">
        <v>6</v>
      </c>
      <c r="D542" s="2" t="s">
        <v>11</v>
      </c>
      <c r="E542" s="3" t="str">
        <f t="shared" si="8"/>
        <v>Medium</v>
      </c>
    </row>
    <row r="543" spans="1:5" x14ac:dyDescent="0.15">
      <c r="A543" s="2">
        <v>542</v>
      </c>
      <c r="B543" s="2">
        <v>41.18</v>
      </c>
      <c r="C543" s="2" t="s">
        <v>6</v>
      </c>
      <c r="D543" s="2" t="s">
        <v>17</v>
      </c>
      <c r="E543" s="3" t="str">
        <f t="shared" si="8"/>
        <v>Medium</v>
      </c>
    </row>
    <row r="544" spans="1:5" x14ac:dyDescent="0.15">
      <c r="A544" s="2">
        <v>543</v>
      </c>
      <c r="B544" s="2">
        <v>42.85</v>
      </c>
      <c r="C544" s="2" t="s">
        <v>10</v>
      </c>
      <c r="D544" s="2" t="s">
        <v>23</v>
      </c>
      <c r="E544" s="3" t="str">
        <f t="shared" si="8"/>
        <v>Medium</v>
      </c>
    </row>
    <row r="545" spans="1:5" x14ac:dyDescent="0.15">
      <c r="A545" s="2">
        <v>544</v>
      </c>
      <c r="B545" s="2">
        <v>49.7</v>
      </c>
      <c r="C545" s="2" t="s">
        <v>10</v>
      </c>
      <c r="D545" s="2" t="s">
        <v>11</v>
      </c>
      <c r="E545" s="3" t="str">
        <f t="shared" si="8"/>
        <v>High</v>
      </c>
    </row>
    <row r="546" spans="1:5" x14ac:dyDescent="0.15">
      <c r="A546" s="2">
        <v>545</v>
      </c>
      <c r="B546" s="2">
        <v>45.67</v>
      </c>
      <c r="C546" s="2" t="s">
        <v>10</v>
      </c>
      <c r="D546" s="2" t="s">
        <v>11</v>
      </c>
      <c r="E546" s="3" t="str">
        <f t="shared" si="8"/>
        <v>High</v>
      </c>
    </row>
    <row r="547" spans="1:5" x14ac:dyDescent="0.15">
      <c r="A547" s="2">
        <v>546</v>
      </c>
      <c r="B547" s="2">
        <v>44.27</v>
      </c>
      <c r="C547" s="2" t="s">
        <v>10</v>
      </c>
      <c r="D547" s="2" t="s">
        <v>11</v>
      </c>
      <c r="E547" s="3" t="str">
        <f t="shared" si="8"/>
        <v>Medium</v>
      </c>
    </row>
    <row r="548" spans="1:5" x14ac:dyDescent="0.15">
      <c r="A548" s="2">
        <v>547</v>
      </c>
      <c r="B548" s="2">
        <v>24.28</v>
      </c>
      <c r="C548" s="2" t="s">
        <v>6</v>
      </c>
      <c r="D548" s="2" t="s">
        <v>14</v>
      </c>
      <c r="E548" s="3" t="str">
        <f t="shared" si="8"/>
        <v>Low</v>
      </c>
    </row>
    <row r="549" spans="1:5" x14ac:dyDescent="0.15">
      <c r="A549" s="2">
        <v>548</v>
      </c>
      <c r="B549" s="2">
        <v>42.92</v>
      </c>
      <c r="C549" s="2" t="s">
        <v>10</v>
      </c>
      <c r="D549" s="2" t="s">
        <v>19</v>
      </c>
      <c r="E549" s="3" t="str">
        <f t="shared" si="8"/>
        <v>Medium</v>
      </c>
    </row>
    <row r="550" spans="1:5" x14ac:dyDescent="0.15">
      <c r="A550" s="2">
        <v>549</v>
      </c>
      <c r="B550" s="2">
        <v>43</v>
      </c>
      <c r="C550" s="2" t="s">
        <v>10</v>
      </c>
      <c r="D550" s="2" t="s">
        <v>14</v>
      </c>
      <c r="E550" s="3" t="str">
        <f t="shared" si="8"/>
        <v>Medium</v>
      </c>
    </row>
    <row r="551" spans="1:5" x14ac:dyDescent="0.15">
      <c r="A551" s="2">
        <v>550</v>
      </c>
      <c r="B551" s="2">
        <v>42.68</v>
      </c>
      <c r="C551" s="2" t="s">
        <v>10</v>
      </c>
      <c r="D551" s="2" t="s">
        <v>25</v>
      </c>
      <c r="E551" s="3" t="str">
        <f t="shared" si="8"/>
        <v>Medium</v>
      </c>
    </row>
    <row r="552" spans="1:5" x14ac:dyDescent="0.15">
      <c r="A552" s="2">
        <v>551</v>
      </c>
      <c r="B552" s="2">
        <v>40.479999999999997</v>
      </c>
      <c r="C552" s="2" t="s">
        <v>28</v>
      </c>
      <c r="D552" s="2" t="s">
        <v>19</v>
      </c>
      <c r="E552" s="3" t="str">
        <f t="shared" si="8"/>
        <v>Medium</v>
      </c>
    </row>
    <row r="553" spans="1:5" x14ac:dyDescent="0.15">
      <c r="A553" s="2">
        <v>552</v>
      </c>
      <c r="B553" s="2">
        <v>35.78</v>
      </c>
      <c r="C553" s="2" t="s">
        <v>6</v>
      </c>
      <c r="D553" s="2" t="s">
        <v>14</v>
      </c>
      <c r="E553" s="3" t="str">
        <f t="shared" si="8"/>
        <v>Low</v>
      </c>
    </row>
    <row r="554" spans="1:5" x14ac:dyDescent="0.15">
      <c r="A554" s="2">
        <v>553</v>
      </c>
      <c r="B554" s="2">
        <v>39.67</v>
      </c>
      <c r="C554" s="2" t="s">
        <v>10</v>
      </c>
      <c r="D554" s="2" t="s">
        <v>19</v>
      </c>
      <c r="E554" s="3" t="str">
        <f t="shared" si="8"/>
        <v>Medium</v>
      </c>
    </row>
    <row r="555" spans="1:5" x14ac:dyDescent="0.15">
      <c r="A555" s="2">
        <v>554</v>
      </c>
      <c r="B555" s="2">
        <v>33.9</v>
      </c>
      <c r="C555" s="2" t="s">
        <v>10</v>
      </c>
      <c r="D555" s="2" t="s">
        <v>11</v>
      </c>
      <c r="E555" s="3" t="str">
        <f t="shared" si="8"/>
        <v>Low</v>
      </c>
    </row>
    <row r="556" spans="1:5" x14ac:dyDescent="0.15">
      <c r="A556" s="2">
        <v>555</v>
      </c>
      <c r="B556" s="2">
        <v>44.9</v>
      </c>
      <c r="C556" s="2" t="s">
        <v>6</v>
      </c>
      <c r="D556" s="2"/>
      <c r="E556" s="3" t="str">
        <f t="shared" si="8"/>
        <v>High</v>
      </c>
    </row>
    <row r="557" spans="1:5" x14ac:dyDescent="0.15">
      <c r="A557" s="2">
        <v>556</v>
      </c>
      <c r="B557" s="2">
        <v>48.53</v>
      </c>
      <c r="C557" s="2" t="s">
        <v>6</v>
      </c>
      <c r="D557" s="2" t="s">
        <v>11</v>
      </c>
      <c r="E557" s="3" t="str">
        <f t="shared" si="8"/>
        <v>High</v>
      </c>
    </row>
    <row r="558" spans="1:5" x14ac:dyDescent="0.15">
      <c r="A558" s="2">
        <v>557</v>
      </c>
      <c r="B558" s="2">
        <v>35.71</v>
      </c>
      <c r="C558" s="2" t="s">
        <v>6</v>
      </c>
      <c r="D558" s="2" t="s">
        <v>23</v>
      </c>
      <c r="E558" s="3" t="str">
        <f t="shared" si="8"/>
        <v>Low</v>
      </c>
    </row>
    <row r="559" spans="1:5" x14ac:dyDescent="0.15">
      <c r="A559" s="2">
        <v>558</v>
      </c>
      <c r="B559" s="2">
        <v>49</v>
      </c>
      <c r="C559" s="2" t="s">
        <v>10</v>
      </c>
      <c r="D559" s="2" t="s">
        <v>11</v>
      </c>
      <c r="E559" s="3" t="str">
        <f t="shared" si="8"/>
        <v>High</v>
      </c>
    </row>
    <row r="560" spans="1:5" x14ac:dyDescent="0.15">
      <c r="A560" s="2">
        <v>559</v>
      </c>
      <c r="B560" s="2">
        <v>24.42</v>
      </c>
      <c r="C560" s="2" t="s">
        <v>6</v>
      </c>
      <c r="D560" s="2" t="s">
        <v>11</v>
      </c>
      <c r="E560" s="3" t="str">
        <f t="shared" si="8"/>
        <v>Low</v>
      </c>
    </row>
    <row r="561" spans="1:5" x14ac:dyDescent="0.15">
      <c r="A561" s="2">
        <v>560</v>
      </c>
      <c r="B561" s="2">
        <v>40.479999999999997</v>
      </c>
      <c r="C561" s="2" t="s">
        <v>28</v>
      </c>
      <c r="D561" s="2" t="s">
        <v>19</v>
      </c>
      <c r="E561" s="3" t="str">
        <f t="shared" si="8"/>
        <v>Medium</v>
      </c>
    </row>
    <row r="562" spans="1:5" x14ac:dyDescent="0.15">
      <c r="A562" s="2">
        <v>561</v>
      </c>
      <c r="B562" s="2">
        <v>34.28</v>
      </c>
      <c r="C562" s="2" t="s">
        <v>6</v>
      </c>
      <c r="D562" s="2" t="s">
        <v>14</v>
      </c>
      <c r="E562" s="3" t="str">
        <f t="shared" si="8"/>
        <v>Low</v>
      </c>
    </row>
    <row r="563" spans="1:5" x14ac:dyDescent="0.15">
      <c r="A563" s="2">
        <v>562</v>
      </c>
      <c r="B563" s="2">
        <v>28.44</v>
      </c>
      <c r="C563" s="2" t="s">
        <v>6</v>
      </c>
      <c r="D563" s="2" t="s">
        <v>17</v>
      </c>
      <c r="E563" s="3" t="str">
        <f t="shared" si="8"/>
        <v>Low</v>
      </c>
    </row>
    <row r="564" spans="1:5" x14ac:dyDescent="0.15">
      <c r="A564" s="2">
        <v>563</v>
      </c>
      <c r="B564" s="2">
        <v>30.74</v>
      </c>
      <c r="C564" s="2" t="s">
        <v>6</v>
      </c>
      <c r="D564" s="2" t="s">
        <v>23</v>
      </c>
      <c r="E564" s="3" t="str">
        <f t="shared" si="8"/>
        <v>Low</v>
      </c>
    </row>
    <row r="565" spans="1:5" x14ac:dyDescent="0.15">
      <c r="A565" s="2">
        <v>564</v>
      </c>
      <c r="B565" s="2">
        <v>48.4</v>
      </c>
      <c r="C565" s="2" t="s">
        <v>10</v>
      </c>
      <c r="D565" s="2" t="s">
        <v>11</v>
      </c>
      <c r="E565" s="3" t="str">
        <f t="shared" si="8"/>
        <v>High</v>
      </c>
    </row>
    <row r="566" spans="1:5" x14ac:dyDescent="0.15">
      <c r="A566" s="2">
        <v>565</v>
      </c>
      <c r="B566" s="2">
        <v>38.979999999999997</v>
      </c>
      <c r="C566" s="2"/>
      <c r="D566" s="2" t="s">
        <v>19</v>
      </c>
      <c r="E566" s="3" t="str">
        <f t="shared" si="8"/>
        <v>Medium</v>
      </c>
    </row>
    <row r="567" spans="1:5" x14ac:dyDescent="0.15">
      <c r="A567" s="2">
        <v>566</v>
      </c>
      <c r="B567" s="2">
        <v>26.9</v>
      </c>
      <c r="C567" s="2" t="s">
        <v>6</v>
      </c>
      <c r="D567" s="2" t="s">
        <v>14</v>
      </c>
      <c r="E567" s="3" t="str">
        <f t="shared" si="8"/>
        <v>Low</v>
      </c>
    </row>
    <row r="568" spans="1:5" x14ac:dyDescent="0.15">
      <c r="A568" s="2">
        <v>567</v>
      </c>
      <c r="B568" s="2">
        <v>28.74</v>
      </c>
      <c r="C568" s="2" t="s">
        <v>10</v>
      </c>
      <c r="D568" s="2" t="s">
        <v>19</v>
      </c>
      <c r="E568" s="3" t="str">
        <f t="shared" si="8"/>
        <v>Low</v>
      </c>
    </row>
    <row r="569" spans="1:5" x14ac:dyDescent="0.15">
      <c r="A569" s="2">
        <v>568</v>
      </c>
      <c r="B569" s="2">
        <v>41.26</v>
      </c>
      <c r="C569" s="2" t="s">
        <v>10</v>
      </c>
      <c r="D569" s="2" t="s">
        <v>11</v>
      </c>
      <c r="E569" s="3" t="str">
        <f t="shared" si="8"/>
        <v>Medium</v>
      </c>
    </row>
    <row r="570" spans="1:5" x14ac:dyDescent="0.15">
      <c r="A570" s="2">
        <v>569</v>
      </c>
      <c r="B570" s="2">
        <v>40.18</v>
      </c>
      <c r="C570" s="2" t="s">
        <v>6</v>
      </c>
      <c r="D570" s="2" t="s">
        <v>23</v>
      </c>
      <c r="E570" s="3" t="str">
        <f t="shared" si="8"/>
        <v>Medium</v>
      </c>
    </row>
    <row r="571" spans="1:5" x14ac:dyDescent="0.15">
      <c r="A571" s="2">
        <v>570</v>
      </c>
      <c r="B571" s="2">
        <v>44.42</v>
      </c>
      <c r="C571" s="2" t="s">
        <v>10</v>
      </c>
      <c r="D571" s="2" t="s">
        <v>25</v>
      </c>
      <c r="E571" s="3" t="str">
        <f t="shared" si="8"/>
        <v>Medium</v>
      </c>
    </row>
    <row r="572" spans="1:5" x14ac:dyDescent="0.15">
      <c r="A572" s="2">
        <v>571</v>
      </c>
      <c r="B572" s="2">
        <v>35.43</v>
      </c>
      <c r="C572" s="2" t="s">
        <v>28</v>
      </c>
      <c r="D572" s="2" t="s">
        <v>25</v>
      </c>
      <c r="E572" s="3" t="str">
        <f t="shared" si="8"/>
        <v>Low</v>
      </c>
    </row>
    <row r="573" spans="1:5" x14ac:dyDescent="0.15">
      <c r="A573" s="2">
        <v>572</v>
      </c>
      <c r="B573" s="2">
        <v>32.81</v>
      </c>
      <c r="C573" s="2" t="s">
        <v>6</v>
      </c>
      <c r="D573" s="2" t="s">
        <v>25</v>
      </c>
      <c r="E573" s="3" t="str">
        <f t="shared" si="8"/>
        <v>Low</v>
      </c>
    </row>
    <row r="574" spans="1:5" x14ac:dyDescent="0.15">
      <c r="A574" s="2">
        <v>573</v>
      </c>
      <c r="B574" s="2">
        <v>48.53</v>
      </c>
      <c r="C574" s="2" t="s">
        <v>6</v>
      </c>
      <c r="D574" s="2" t="s">
        <v>11</v>
      </c>
      <c r="E574" s="3" t="str">
        <f t="shared" si="8"/>
        <v>High</v>
      </c>
    </row>
    <row r="575" spans="1:5" x14ac:dyDescent="0.15">
      <c r="A575" s="2">
        <v>574</v>
      </c>
      <c r="B575" s="2">
        <v>32.1</v>
      </c>
      <c r="C575" s="2" t="s">
        <v>10</v>
      </c>
      <c r="D575" s="2" t="s">
        <v>19</v>
      </c>
      <c r="E575" s="3" t="str">
        <f t="shared" si="8"/>
        <v>Low</v>
      </c>
    </row>
    <row r="576" spans="1:5" x14ac:dyDescent="0.15">
      <c r="A576" s="2">
        <v>575</v>
      </c>
      <c r="B576" s="2">
        <v>45.45</v>
      </c>
      <c r="C576" s="2" t="s">
        <v>6</v>
      </c>
      <c r="D576" s="2" t="s">
        <v>14</v>
      </c>
      <c r="E576" s="3" t="str">
        <f t="shared" si="8"/>
        <v>High</v>
      </c>
    </row>
    <row r="577" spans="1:5" x14ac:dyDescent="0.15">
      <c r="A577" s="2">
        <v>576</v>
      </c>
      <c r="B577" s="2">
        <v>36.130000000000003</v>
      </c>
      <c r="C577" s="2" t="s">
        <v>6</v>
      </c>
      <c r="D577" s="2" t="s">
        <v>14</v>
      </c>
      <c r="E577" s="3" t="str">
        <f t="shared" si="8"/>
        <v>Low</v>
      </c>
    </row>
    <row r="578" spans="1:5" x14ac:dyDescent="0.15">
      <c r="A578" s="2">
        <v>577</v>
      </c>
      <c r="B578" s="2">
        <v>27.9</v>
      </c>
      <c r="C578" s="2" t="s">
        <v>10</v>
      </c>
      <c r="D578" s="2"/>
      <c r="E578" s="3" t="str">
        <f t="shared" si="8"/>
        <v>Low</v>
      </c>
    </row>
    <row r="579" spans="1:5" x14ac:dyDescent="0.15">
      <c r="A579" s="2">
        <v>578</v>
      </c>
      <c r="B579" s="2">
        <v>31.33</v>
      </c>
      <c r="C579" s="2" t="s">
        <v>6</v>
      </c>
      <c r="D579" s="2" t="s">
        <v>17</v>
      </c>
      <c r="E579" s="3" t="str">
        <f t="shared" ref="E579:E605" si="9">IF(B579&lt;=$L$2,"Low",IF(B579&lt;=$L$3,"Medium",IF(B579&lt;=$L$4,"High")))</f>
        <v>Low</v>
      </c>
    </row>
    <row r="580" spans="1:5" x14ac:dyDescent="0.15">
      <c r="A580" s="2">
        <v>579</v>
      </c>
      <c r="B580" s="2">
        <v>35.71</v>
      </c>
      <c r="C580" s="2" t="s">
        <v>6</v>
      </c>
      <c r="D580" s="2" t="s">
        <v>23</v>
      </c>
      <c r="E580" s="3" t="str">
        <f t="shared" si="9"/>
        <v>Low</v>
      </c>
    </row>
    <row r="581" spans="1:5" x14ac:dyDescent="0.15">
      <c r="A581" s="2">
        <v>580</v>
      </c>
      <c r="B581" s="2">
        <v>24.28</v>
      </c>
      <c r="C581" s="2" t="s">
        <v>6</v>
      </c>
      <c r="D581" s="2" t="s">
        <v>19</v>
      </c>
      <c r="E581" s="3" t="str">
        <f t="shared" si="9"/>
        <v>Low</v>
      </c>
    </row>
    <row r="582" spans="1:5" x14ac:dyDescent="0.15">
      <c r="A582" s="2">
        <v>581</v>
      </c>
      <c r="B582" s="2">
        <v>32.35</v>
      </c>
      <c r="C582" s="2" t="s">
        <v>6</v>
      </c>
      <c r="D582" s="2" t="s">
        <v>19</v>
      </c>
      <c r="E582" s="3" t="str">
        <f t="shared" si="9"/>
        <v>Low</v>
      </c>
    </row>
    <row r="583" spans="1:5" x14ac:dyDescent="0.15">
      <c r="A583" s="2">
        <v>582</v>
      </c>
      <c r="B583" s="2">
        <v>30.74</v>
      </c>
      <c r="C583" s="2" t="s">
        <v>6</v>
      </c>
      <c r="D583" s="2" t="s">
        <v>23</v>
      </c>
      <c r="E583" s="3" t="str">
        <f t="shared" si="9"/>
        <v>Low</v>
      </c>
    </row>
    <row r="584" spans="1:5" x14ac:dyDescent="0.15">
      <c r="A584" s="2">
        <v>583</v>
      </c>
      <c r="B584" s="2">
        <v>40.97</v>
      </c>
      <c r="C584" s="2" t="s">
        <v>6</v>
      </c>
      <c r="D584" s="2" t="s">
        <v>11</v>
      </c>
      <c r="E584" s="3" t="str">
        <f t="shared" si="9"/>
        <v>Medium</v>
      </c>
    </row>
    <row r="585" spans="1:5" x14ac:dyDescent="0.15">
      <c r="A585" s="2">
        <v>584</v>
      </c>
      <c r="B585" s="2">
        <v>25.17</v>
      </c>
      <c r="C585" s="2" t="s">
        <v>6</v>
      </c>
      <c r="D585" s="2" t="s">
        <v>11</v>
      </c>
      <c r="E585" s="3" t="str">
        <f t="shared" si="9"/>
        <v>Low</v>
      </c>
    </row>
    <row r="586" spans="1:5" x14ac:dyDescent="0.15">
      <c r="A586" s="2">
        <v>585</v>
      </c>
      <c r="B586" s="2">
        <v>41</v>
      </c>
      <c r="C586" s="2" t="s">
        <v>10</v>
      </c>
      <c r="D586" s="2" t="s">
        <v>11</v>
      </c>
      <c r="E586" s="3" t="str">
        <f t="shared" si="9"/>
        <v>Medium</v>
      </c>
    </row>
    <row r="587" spans="1:5" x14ac:dyDescent="0.15">
      <c r="A587" s="2">
        <v>586</v>
      </c>
      <c r="B587" s="2">
        <v>28.44</v>
      </c>
      <c r="C587" s="2" t="s">
        <v>6</v>
      </c>
      <c r="D587" s="2" t="s">
        <v>17</v>
      </c>
      <c r="E587" s="3" t="str">
        <f t="shared" si="9"/>
        <v>Low</v>
      </c>
    </row>
    <row r="588" spans="1:5" x14ac:dyDescent="0.15">
      <c r="A588" s="2">
        <v>587</v>
      </c>
      <c r="B588" s="2">
        <v>46.35</v>
      </c>
      <c r="C588" s="2" t="s">
        <v>6</v>
      </c>
      <c r="D588" s="2" t="s">
        <v>19</v>
      </c>
      <c r="E588" s="3" t="str">
        <f t="shared" si="9"/>
        <v>High</v>
      </c>
    </row>
    <row r="589" spans="1:5" x14ac:dyDescent="0.15">
      <c r="A589" s="2">
        <v>588</v>
      </c>
      <c r="B589" s="2">
        <v>35.43</v>
      </c>
      <c r="C589" s="2" t="s">
        <v>6</v>
      </c>
      <c r="D589" s="2" t="s">
        <v>17</v>
      </c>
      <c r="E589" s="3" t="str">
        <f t="shared" si="9"/>
        <v>Low</v>
      </c>
    </row>
    <row r="590" spans="1:5" x14ac:dyDescent="0.15">
      <c r="A590" s="2">
        <v>589</v>
      </c>
      <c r="B590" s="2">
        <v>32.35</v>
      </c>
      <c r="C590" s="2" t="s">
        <v>6</v>
      </c>
      <c r="D590" s="2" t="s">
        <v>19</v>
      </c>
      <c r="E590" s="3" t="str">
        <f t="shared" si="9"/>
        <v>Low</v>
      </c>
    </row>
    <row r="591" spans="1:5" x14ac:dyDescent="0.15">
      <c r="A591" s="2">
        <v>590</v>
      </c>
      <c r="B591" s="2">
        <v>33.5</v>
      </c>
      <c r="C591" s="2" t="s">
        <v>10</v>
      </c>
      <c r="D591" s="2" t="s">
        <v>11</v>
      </c>
      <c r="E591" s="3" t="str">
        <f t="shared" si="9"/>
        <v>Low</v>
      </c>
    </row>
    <row r="592" spans="1:5" x14ac:dyDescent="0.15">
      <c r="A592" s="2">
        <v>591</v>
      </c>
      <c r="B592" s="2">
        <v>40.479999999999997</v>
      </c>
      <c r="C592" s="2" t="s">
        <v>6</v>
      </c>
      <c r="D592" s="2" t="s">
        <v>23</v>
      </c>
      <c r="E592" s="3" t="str">
        <f t="shared" si="9"/>
        <v>Medium</v>
      </c>
    </row>
    <row r="593" spans="1:5" x14ac:dyDescent="0.15">
      <c r="A593" s="2">
        <v>592</v>
      </c>
      <c r="B593" s="2">
        <v>29.56</v>
      </c>
      <c r="C593" s="2" t="s">
        <v>6</v>
      </c>
      <c r="D593" s="2" t="s">
        <v>25</v>
      </c>
      <c r="E593" s="3" t="str">
        <f t="shared" si="9"/>
        <v>Low</v>
      </c>
    </row>
    <row r="594" spans="1:5" x14ac:dyDescent="0.15">
      <c r="A594" s="2">
        <v>593</v>
      </c>
      <c r="B594" s="2">
        <v>48.98</v>
      </c>
      <c r="C594" s="2" t="s">
        <v>10</v>
      </c>
      <c r="D594" s="2"/>
      <c r="E594" s="3" t="str">
        <f t="shared" si="9"/>
        <v>High</v>
      </c>
    </row>
    <row r="595" spans="1:5" x14ac:dyDescent="0.15">
      <c r="A595" s="2">
        <v>594</v>
      </c>
      <c r="B595" s="2">
        <v>45.48</v>
      </c>
      <c r="C595" s="2" t="s">
        <v>6</v>
      </c>
      <c r="D595" s="2" t="s">
        <v>11</v>
      </c>
      <c r="E595" s="3" t="str">
        <f t="shared" si="9"/>
        <v>High</v>
      </c>
    </row>
    <row r="596" spans="1:5" x14ac:dyDescent="0.15">
      <c r="A596" s="2">
        <v>595</v>
      </c>
      <c r="B596" s="2">
        <v>29.56</v>
      </c>
      <c r="C596" s="2" t="s">
        <v>6</v>
      </c>
      <c r="D596" s="2" t="s">
        <v>25</v>
      </c>
      <c r="E596" s="3" t="str">
        <f t="shared" si="9"/>
        <v>Low</v>
      </c>
    </row>
    <row r="597" spans="1:5" x14ac:dyDescent="0.15">
      <c r="A597" s="2">
        <v>596</v>
      </c>
      <c r="B597" s="2">
        <v>45.68</v>
      </c>
      <c r="C597" s="2" t="s">
        <v>10</v>
      </c>
      <c r="D597" s="2" t="s">
        <v>11</v>
      </c>
      <c r="E597" s="3" t="str">
        <f t="shared" si="9"/>
        <v>High</v>
      </c>
    </row>
    <row r="598" spans="1:5" x14ac:dyDescent="0.15">
      <c r="A598" s="2">
        <v>597</v>
      </c>
      <c r="B598" s="2">
        <v>35.71</v>
      </c>
      <c r="C598" s="2" t="s">
        <v>6</v>
      </c>
      <c r="D598" s="2" t="s">
        <v>23</v>
      </c>
      <c r="E598" s="3" t="str">
        <f t="shared" si="9"/>
        <v>Low</v>
      </c>
    </row>
    <row r="599" spans="1:5" x14ac:dyDescent="0.15">
      <c r="A599" s="2">
        <v>598</v>
      </c>
      <c r="B599" s="2">
        <v>33.659999999999997</v>
      </c>
      <c r="C599" s="2" t="s">
        <v>6</v>
      </c>
      <c r="D599" s="2" t="s">
        <v>11</v>
      </c>
      <c r="E599" s="3" t="str">
        <f t="shared" si="9"/>
        <v>Low</v>
      </c>
    </row>
    <row r="600" spans="1:5" x14ac:dyDescent="0.15">
      <c r="A600" s="2">
        <v>599</v>
      </c>
      <c r="B600" s="2">
        <v>49.84</v>
      </c>
      <c r="C600" s="2" t="s">
        <v>10</v>
      </c>
      <c r="D600" s="2" t="s">
        <v>11</v>
      </c>
      <c r="E600" s="3" t="str">
        <f t="shared" si="9"/>
        <v>High</v>
      </c>
    </row>
    <row r="601" spans="1:5" x14ac:dyDescent="0.15">
      <c r="A601" s="2">
        <v>600</v>
      </c>
      <c r="B601" s="2">
        <v>41.26</v>
      </c>
      <c r="C601" s="2" t="s">
        <v>10</v>
      </c>
      <c r="D601" s="2" t="s">
        <v>19</v>
      </c>
      <c r="E601" s="3" t="str">
        <f t="shared" si="9"/>
        <v>Medium</v>
      </c>
    </row>
    <row r="602" spans="1:5" x14ac:dyDescent="0.15">
      <c r="A602" s="2">
        <v>601</v>
      </c>
      <c r="B602" s="2">
        <v>42.53</v>
      </c>
      <c r="C602" s="2" t="s">
        <v>10</v>
      </c>
      <c r="D602" s="2" t="s">
        <v>11</v>
      </c>
      <c r="E602" s="3" t="str">
        <f t="shared" si="9"/>
        <v>Medium</v>
      </c>
    </row>
    <row r="603" spans="1:5" x14ac:dyDescent="0.15">
      <c r="A603" s="2">
        <v>602</v>
      </c>
      <c r="B603" s="2">
        <v>28.74</v>
      </c>
      <c r="C603" s="2" t="s">
        <v>6</v>
      </c>
      <c r="D603" s="2" t="s">
        <v>17</v>
      </c>
      <c r="E603" s="3" t="str">
        <f t="shared" si="9"/>
        <v>Low</v>
      </c>
    </row>
    <row r="604" spans="1:5" x14ac:dyDescent="0.15">
      <c r="A604" s="2">
        <v>603</v>
      </c>
      <c r="B604" s="2">
        <v>36.96</v>
      </c>
      <c r="C604" s="2" t="s">
        <v>6</v>
      </c>
      <c r="D604" s="2" t="s">
        <v>17</v>
      </c>
      <c r="E604" s="3" t="str">
        <f t="shared" si="9"/>
        <v>Low</v>
      </c>
    </row>
    <row r="605" spans="1:5" x14ac:dyDescent="0.15">
      <c r="A605" s="2">
        <v>604</v>
      </c>
      <c r="B605" s="2">
        <v>26.09</v>
      </c>
      <c r="C605" s="2" t="s">
        <v>6</v>
      </c>
      <c r="D605" s="2" t="s">
        <v>17</v>
      </c>
      <c r="E605" s="3" t="str">
        <f t="shared" si="9"/>
        <v>Low</v>
      </c>
    </row>
  </sheetData>
  <autoFilter ref="A1:E605" xr:uid="{9F083E72-508B-4202-9C90-245F73E49C82}"/>
  <mergeCells count="2">
    <mergeCell ref="G1:I1"/>
    <mergeCell ref="K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FFA25-D7B5-4848-9233-51EF90DB2226}">
  <dimension ref="A1:J1079"/>
  <sheetViews>
    <sheetView workbookViewId="0">
      <selection activeCell="M14" sqref="M14"/>
    </sheetView>
  </sheetViews>
  <sheetFormatPr baseColWidth="10" defaultColWidth="8.83203125" defaultRowHeight="14" x14ac:dyDescent="0.15"/>
  <cols>
    <col min="1" max="1" width="11.6640625" bestFit="1" customWidth="1"/>
    <col min="4" max="4" width="16" bestFit="1" customWidth="1"/>
    <col min="5" max="5" width="26.1640625" bestFit="1" customWidth="1"/>
    <col min="9" max="9" width="22.1640625" bestFit="1" customWidth="1"/>
  </cols>
  <sheetData>
    <row r="1" spans="1:10" ht="15" x14ac:dyDescent="0.2">
      <c r="A1" t="s">
        <v>29</v>
      </c>
      <c r="D1" s="8" t="s">
        <v>29</v>
      </c>
      <c r="E1" t="s">
        <v>30</v>
      </c>
      <c r="I1" s="9" t="s">
        <v>31</v>
      </c>
      <c r="J1" t="s">
        <v>32</v>
      </c>
    </row>
    <row r="2" spans="1:10" x14ac:dyDescent="0.15">
      <c r="A2">
        <v>5</v>
      </c>
      <c r="B2">
        <f ca="1">IF(B2&lt;=$L$2,"Low",IF(B2&lt;=$L$3,"Medium",IF(B2&lt;=$L$4,"High")))</f>
        <v>0</v>
      </c>
      <c r="D2">
        <v>3.8924500000000002</v>
      </c>
      <c r="E2">
        <v>1</v>
      </c>
      <c r="G2">
        <f>MIN(D:D)</f>
        <v>3.8924500000000002</v>
      </c>
      <c r="I2">
        <f>PERCENTILE(A:A, 1/5)</f>
        <v>4</v>
      </c>
      <c r="J2">
        <v>1</v>
      </c>
    </row>
    <row r="3" spans="1:10" x14ac:dyDescent="0.15">
      <c r="A3">
        <v>5</v>
      </c>
      <c r="D3">
        <v>3.9378299999999999</v>
      </c>
      <c r="E3">
        <v>2</v>
      </c>
      <c r="G3">
        <f>MAX(D:D)</f>
        <v>6.7</v>
      </c>
      <c r="I3">
        <f>PERCENTILE(A:A, 2/5)</f>
        <v>4.25</v>
      </c>
      <c r="J3">
        <v>2</v>
      </c>
    </row>
    <row r="4" spans="1:10" x14ac:dyDescent="0.15">
      <c r="A4">
        <v>5</v>
      </c>
      <c r="D4">
        <v>3.9464800000000002</v>
      </c>
      <c r="E4">
        <v>1</v>
      </c>
      <c r="G4">
        <f>(G3-G2)/5</f>
        <v>0.56150999999999995</v>
      </c>
      <c r="I4">
        <f>PERCENTILE(A:A, 3/5)</f>
        <v>4.6386700000000003</v>
      </c>
      <c r="J4">
        <v>3</v>
      </c>
    </row>
    <row r="5" spans="1:10" x14ac:dyDescent="0.15">
      <c r="A5">
        <v>4</v>
      </c>
      <c r="D5">
        <v>3.96875</v>
      </c>
      <c r="E5">
        <v>1</v>
      </c>
      <c r="I5">
        <f>PERCENTILE(A:A, 4/5)</f>
        <v>5</v>
      </c>
      <c r="J5">
        <v>4</v>
      </c>
    </row>
    <row r="6" spans="1:10" x14ac:dyDescent="0.15">
      <c r="A6">
        <v>4</v>
      </c>
      <c r="D6">
        <v>3.97085</v>
      </c>
      <c r="E6">
        <v>3</v>
      </c>
      <c r="I6">
        <f>PERCENTILE(A:A, 5/5)</f>
        <v>6.7</v>
      </c>
      <c r="J6">
        <v>5</v>
      </c>
    </row>
    <row r="7" spans="1:10" x14ac:dyDescent="0.15">
      <c r="A7">
        <v>3.97085</v>
      </c>
      <c r="D7">
        <v>3.9843700000000002</v>
      </c>
      <c r="E7">
        <v>2</v>
      </c>
    </row>
    <row r="8" spans="1:10" x14ac:dyDescent="0.15">
      <c r="A8">
        <v>4</v>
      </c>
      <c r="D8">
        <v>4</v>
      </c>
      <c r="E8">
        <v>294</v>
      </c>
    </row>
    <row r="9" spans="1:10" x14ac:dyDescent="0.15">
      <c r="A9">
        <v>4</v>
      </c>
      <c r="D9">
        <v>4.0029000000000003</v>
      </c>
      <c r="E9">
        <v>2</v>
      </c>
    </row>
    <row r="10" spans="1:10" x14ac:dyDescent="0.15">
      <c r="A10">
        <v>4</v>
      </c>
      <c r="D10">
        <v>4.0069499999999998</v>
      </c>
      <c r="E10">
        <v>2</v>
      </c>
    </row>
    <row r="11" spans="1:10" x14ac:dyDescent="0.15">
      <c r="A11">
        <v>4</v>
      </c>
      <c r="D11">
        <v>4.0076400000000003</v>
      </c>
      <c r="E11">
        <v>3</v>
      </c>
    </row>
    <row r="12" spans="1:10" x14ac:dyDescent="0.15">
      <c r="A12">
        <v>4</v>
      </c>
      <c r="D12">
        <v>4.0103299999999997</v>
      </c>
      <c r="E12">
        <v>5</v>
      </c>
    </row>
    <row r="13" spans="1:10" x14ac:dyDescent="0.15">
      <c r="A13">
        <v>4</v>
      </c>
      <c r="D13">
        <v>4.0115100000000004</v>
      </c>
      <c r="E13">
        <v>1</v>
      </c>
    </row>
    <row r="14" spans="1:10" x14ac:dyDescent="0.15">
      <c r="A14">
        <v>4</v>
      </c>
      <c r="D14">
        <v>4.0117500000000001</v>
      </c>
      <c r="E14">
        <v>5</v>
      </c>
    </row>
    <row r="15" spans="1:10" x14ac:dyDescent="0.15">
      <c r="A15">
        <v>4</v>
      </c>
      <c r="D15">
        <v>4.0155799999999999</v>
      </c>
      <c r="E15">
        <v>4</v>
      </c>
    </row>
    <row r="16" spans="1:10" x14ac:dyDescent="0.15">
      <c r="A16">
        <v>4.5</v>
      </c>
      <c r="D16">
        <v>4.0198099999999997</v>
      </c>
      <c r="E16">
        <v>13</v>
      </c>
    </row>
    <row r="17" spans="1:5" x14ac:dyDescent="0.15">
      <c r="A17">
        <v>4.5</v>
      </c>
      <c r="D17">
        <v>4.02372</v>
      </c>
      <c r="E17">
        <v>1</v>
      </c>
    </row>
    <row r="18" spans="1:5" x14ac:dyDescent="0.15">
      <c r="A18">
        <v>4</v>
      </c>
      <c r="D18">
        <v>4.0243099999999998</v>
      </c>
      <c r="E18">
        <v>3</v>
      </c>
    </row>
    <row r="19" spans="1:5" x14ac:dyDescent="0.15">
      <c r="A19">
        <v>3.97085</v>
      </c>
      <c r="D19">
        <v>4.0349399999999997</v>
      </c>
      <c r="E19">
        <v>9</v>
      </c>
    </row>
    <row r="20" spans="1:5" x14ac:dyDescent="0.15">
      <c r="A20">
        <v>4</v>
      </c>
      <c r="D20">
        <v>4.0366099999999996</v>
      </c>
      <c r="E20">
        <v>1</v>
      </c>
    </row>
    <row r="21" spans="1:5" x14ac:dyDescent="0.15">
      <c r="A21">
        <v>4</v>
      </c>
      <c r="D21">
        <v>4.0999999999999996</v>
      </c>
      <c r="E21">
        <v>6</v>
      </c>
    </row>
    <row r="22" spans="1:5" x14ac:dyDescent="0.15">
      <c r="A22">
        <v>5.0966699999999996</v>
      </c>
      <c r="D22">
        <v>4.1017900000000003</v>
      </c>
      <c r="E22">
        <v>1</v>
      </c>
    </row>
    <row r="23" spans="1:5" x14ac:dyDescent="0.15">
      <c r="A23">
        <v>5</v>
      </c>
      <c r="D23">
        <v>4.1500000000000004</v>
      </c>
      <c r="E23">
        <v>6</v>
      </c>
    </row>
    <row r="24" spans="1:5" x14ac:dyDescent="0.15">
      <c r="A24">
        <v>4.5483799999999999</v>
      </c>
      <c r="D24">
        <v>4.1698700000000004</v>
      </c>
      <c r="E24">
        <v>2</v>
      </c>
    </row>
    <row r="25" spans="1:5" x14ac:dyDescent="0.15">
      <c r="A25">
        <v>4.75</v>
      </c>
      <c r="D25">
        <v>4.17</v>
      </c>
      <c r="E25">
        <v>2</v>
      </c>
    </row>
    <row r="26" spans="1:5" x14ac:dyDescent="0.15">
      <c r="A26">
        <v>4.5</v>
      </c>
      <c r="D26">
        <v>4.17021</v>
      </c>
      <c r="E26">
        <v>3</v>
      </c>
    </row>
    <row r="27" spans="1:5" x14ac:dyDescent="0.15">
      <c r="A27">
        <v>4.5</v>
      </c>
      <c r="D27">
        <v>4.2</v>
      </c>
      <c r="E27">
        <v>3</v>
      </c>
    </row>
    <row r="28" spans="1:5" x14ac:dyDescent="0.15">
      <c r="A28">
        <v>4.5</v>
      </c>
      <c r="D28">
        <v>4.20519</v>
      </c>
      <c r="E28">
        <v>1</v>
      </c>
    </row>
    <row r="29" spans="1:5" x14ac:dyDescent="0.15">
      <c r="A29">
        <v>4.5</v>
      </c>
      <c r="D29">
        <v>4.2239500000000003</v>
      </c>
      <c r="E29">
        <v>1</v>
      </c>
    </row>
    <row r="30" spans="1:5" x14ac:dyDescent="0.15">
      <c r="A30">
        <v>4.5</v>
      </c>
      <c r="D30">
        <v>4.23339</v>
      </c>
      <c r="E30">
        <v>14</v>
      </c>
    </row>
    <row r="31" spans="1:5" x14ac:dyDescent="0.15">
      <c r="A31">
        <v>4</v>
      </c>
      <c r="D31">
        <v>4.25</v>
      </c>
      <c r="E31">
        <v>84</v>
      </c>
    </row>
    <row r="32" spans="1:5" x14ac:dyDescent="0.15">
      <c r="A32">
        <v>4</v>
      </c>
      <c r="D32">
        <v>4.2742500000000003</v>
      </c>
      <c r="E32">
        <v>4</v>
      </c>
    </row>
    <row r="33" spans="1:5" x14ac:dyDescent="0.15">
      <c r="A33">
        <v>4.25</v>
      </c>
      <c r="D33">
        <v>4.2942499999999999</v>
      </c>
      <c r="E33">
        <v>1</v>
      </c>
    </row>
    <row r="34" spans="1:5" x14ac:dyDescent="0.15">
      <c r="A34">
        <v>4.25</v>
      </c>
      <c r="D34">
        <v>4.2984</v>
      </c>
      <c r="E34">
        <v>2</v>
      </c>
    </row>
    <row r="35" spans="1:5" x14ac:dyDescent="0.15">
      <c r="A35">
        <v>4</v>
      </c>
      <c r="D35">
        <v>4.2984099999999996</v>
      </c>
      <c r="E35">
        <v>9</v>
      </c>
    </row>
    <row r="36" spans="1:5" x14ac:dyDescent="0.15">
      <c r="A36">
        <v>5.0391300000000001</v>
      </c>
      <c r="D36">
        <v>4.3</v>
      </c>
      <c r="E36">
        <v>13</v>
      </c>
    </row>
    <row r="37" spans="1:5" x14ac:dyDescent="0.15">
      <c r="A37">
        <v>5</v>
      </c>
      <c r="D37">
        <v>4.30572</v>
      </c>
      <c r="E37">
        <v>1</v>
      </c>
    </row>
    <row r="38" spans="1:5" x14ac:dyDescent="0.15">
      <c r="A38">
        <v>4</v>
      </c>
      <c r="D38">
        <v>4.4000000000000004</v>
      </c>
      <c r="E38">
        <v>4</v>
      </c>
    </row>
    <row r="39" spans="1:5" x14ac:dyDescent="0.15">
      <c r="A39">
        <v>4.5</v>
      </c>
      <c r="D39">
        <v>4.41</v>
      </c>
      <c r="E39">
        <v>1</v>
      </c>
    </row>
    <row r="40" spans="1:5" x14ac:dyDescent="0.15">
      <c r="A40">
        <v>4.25</v>
      </c>
      <c r="D40">
        <v>4.4194399999999998</v>
      </c>
      <c r="E40">
        <v>1</v>
      </c>
    </row>
    <row r="41" spans="1:5" x14ac:dyDescent="0.15">
      <c r="A41">
        <v>4.6386700000000003</v>
      </c>
      <c r="D41">
        <v>4.4211799999999997</v>
      </c>
      <c r="E41">
        <v>3</v>
      </c>
    </row>
    <row r="42" spans="1:5" x14ac:dyDescent="0.15">
      <c r="A42">
        <v>4.6386700000000003</v>
      </c>
      <c r="D42">
        <v>4.4296800000000003</v>
      </c>
      <c r="E42">
        <v>1</v>
      </c>
    </row>
    <row r="43" spans="1:5" x14ac:dyDescent="0.15">
      <c r="A43">
        <v>4.6386700000000003</v>
      </c>
      <c r="D43">
        <v>4.4303800000000004</v>
      </c>
      <c r="E43">
        <v>1</v>
      </c>
    </row>
    <row r="44" spans="1:5" x14ac:dyDescent="0.15">
      <c r="A44">
        <v>4.6386700000000003</v>
      </c>
      <c r="D44">
        <v>4.4365399999999999</v>
      </c>
      <c r="E44">
        <v>1</v>
      </c>
    </row>
    <row r="45" spans="1:5" x14ac:dyDescent="0.15">
      <c r="A45">
        <v>4.6386700000000003</v>
      </c>
      <c r="D45">
        <v>4.46</v>
      </c>
      <c r="E45">
        <v>1</v>
      </c>
    </row>
    <row r="46" spans="1:5" x14ac:dyDescent="0.15">
      <c r="A46">
        <v>4</v>
      </c>
      <c r="D46">
        <v>4.4682899999999997</v>
      </c>
      <c r="E46">
        <v>1</v>
      </c>
    </row>
    <row r="47" spans="1:5" x14ac:dyDescent="0.15">
      <c r="A47">
        <v>4.2742500000000003</v>
      </c>
      <c r="D47">
        <v>4.5</v>
      </c>
      <c r="E47">
        <v>84</v>
      </c>
    </row>
    <row r="48" spans="1:5" x14ac:dyDescent="0.15">
      <c r="A48">
        <v>4.2742500000000003</v>
      </c>
      <c r="D48">
        <v>4.5163000000000002</v>
      </c>
      <c r="E48">
        <v>6</v>
      </c>
    </row>
    <row r="49" spans="1:5" x14ac:dyDescent="0.15">
      <c r="A49">
        <v>4.2742500000000003</v>
      </c>
      <c r="D49">
        <v>4.5167999999999999</v>
      </c>
      <c r="E49">
        <v>1</v>
      </c>
    </row>
    <row r="50" spans="1:5" x14ac:dyDescent="0.15">
      <c r="A50">
        <v>5</v>
      </c>
      <c r="D50">
        <v>4.5193099999999999</v>
      </c>
      <c r="E50">
        <v>1</v>
      </c>
    </row>
    <row r="51" spans="1:5" x14ac:dyDescent="0.15">
      <c r="A51">
        <v>4.75</v>
      </c>
      <c r="D51">
        <v>4.5241899999999999</v>
      </c>
      <c r="E51">
        <v>4</v>
      </c>
    </row>
    <row r="52" spans="1:5" x14ac:dyDescent="0.15">
      <c r="A52">
        <v>4.5</v>
      </c>
      <c r="D52">
        <v>4.5483799999999999</v>
      </c>
      <c r="E52">
        <v>3</v>
      </c>
    </row>
    <row r="53" spans="1:5" x14ac:dyDescent="0.15">
      <c r="A53">
        <v>4</v>
      </c>
      <c r="D53">
        <v>4.5487700000000002</v>
      </c>
      <c r="E53">
        <v>1</v>
      </c>
    </row>
    <row r="54" spans="1:5" x14ac:dyDescent="0.15">
      <c r="A54">
        <v>4.5</v>
      </c>
      <c r="D54">
        <v>4.55</v>
      </c>
      <c r="E54">
        <v>1</v>
      </c>
    </row>
    <row r="55" spans="1:5" x14ac:dyDescent="0.15">
      <c r="A55">
        <v>4.5</v>
      </c>
      <c r="D55">
        <v>4.5531699999999997</v>
      </c>
      <c r="E55">
        <v>2</v>
      </c>
    </row>
    <row r="56" spans="1:5" x14ac:dyDescent="0.15">
      <c r="A56">
        <v>4.5</v>
      </c>
      <c r="D56">
        <v>4.5540000000000003</v>
      </c>
      <c r="E56">
        <v>1</v>
      </c>
    </row>
    <row r="57" spans="1:5" x14ac:dyDescent="0.15">
      <c r="A57">
        <v>4.75</v>
      </c>
      <c r="D57">
        <v>4.5724099999999996</v>
      </c>
      <c r="E57">
        <v>1</v>
      </c>
    </row>
    <row r="58" spans="1:5" x14ac:dyDescent="0.15">
      <c r="A58">
        <v>3.97085</v>
      </c>
      <c r="D58">
        <v>4.5882300000000003</v>
      </c>
      <c r="E58">
        <v>1</v>
      </c>
    </row>
    <row r="59" spans="1:5" x14ac:dyDescent="0.15">
      <c r="A59">
        <v>4</v>
      </c>
      <c r="D59">
        <v>4.5999999999999996</v>
      </c>
      <c r="E59">
        <v>8</v>
      </c>
    </row>
    <row r="60" spans="1:5" x14ac:dyDescent="0.15">
      <c r="A60">
        <v>4</v>
      </c>
      <c r="D60">
        <v>4.6221100000000002</v>
      </c>
      <c r="E60">
        <v>1</v>
      </c>
    </row>
    <row r="61" spans="1:5" x14ac:dyDescent="0.15">
      <c r="A61">
        <v>4.75</v>
      </c>
      <c r="D61">
        <v>4.6243600000000002</v>
      </c>
      <c r="E61">
        <v>2</v>
      </c>
    </row>
    <row r="62" spans="1:5" x14ac:dyDescent="0.15">
      <c r="A62">
        <v>4.5</v>
      </c>
      <c r="D62">
        <v>4.6266699999999998</v>
      </c>
      <c r="E62">
        <v>1</v>
      </c>
    </row>
    <row r="63" spans="1:5" x14ac:dyDescent="0.15">
      <c r="A63">
        <v>4.25</v>
      </c>
      <c r="D63">
        <v>4.63</v>
      </c>
      <c r="E63">
        <v>1</v>
      </c>
    </row>
    <row r="64" spans="1:5" x14ac:dyDescent="0.15">
      <c r="A64">
        <v>4.75</v>
      </c>
      <c r="D64">
        <v>4.6386700000000003</v>
      </c>
      <c r="E64">
        <v>50</v>
      </c>
    </row>
    <row r="65" spans="1:5" x14ac:dyDescent="0.15">
      <c r="A65">
        <v>4.5</v>
      </c>
      <c r="D65">
        <v>4.6399999999999997</v>
      </c>
      <c r="E65">
        <v>2</v>
      </c>
    </row>
    <row r="66" spans="1:5" x14ac:dyDescent="0.15">
      <c r="A66">
        <v>4</v>
      </c>
      <c r="D66">
        <v>4.6406200000000002</v>
      </c>
      <c r="E66">
        <v>2</v>
      </c>
    </row>
    <row r="67" spans="1:5" x14ac:dyDescent="0.15">
      <c r="A67">
        <v>4.5</v>
      </c>
      <c r="D67">
        <v>4.6448700000000001</v>
      </c>
      <c r="E67">
        <v>1</v>
      </c>
    </row>
    <row r="68" spans="1:5" x14ac:dyDescent="0.15">
      <c r="A68">
        <v>6</v>
      </c>
      <c r="D68">
        <v>4.6500000000000004</v>
      </c>
      <c r="E68">
        <v>3</v>
      </c>
    </row>
    <row r="69" spans="1:5" x14ac:dyDescent="0.15">
      <c r="A69">
        <v>5.75</v>
      </c>
      <c r="D69">
        <v>4.6539999999999999</v>
      </c>
      <c r="E69">
        <v>1</v>
      </c>
    </row>
    <row r="70" spans="1:5" x14ac:dyDescent="0.15">
      <c r="A70">
        <v>4</v>
      </c>
      <c r="D70">
        <v>4.6579899999999999</v>
      </c>
      <c r="E70">
        <v>1</v>
      </c>
    </row>
    <row r="71" spans="1:5" x14ac:dyDescent="0.15">
      <c r="A71">
        <v>3.9378299999999999</v>
      </c>
      <c r="D71">
        <v>4.6618599999999999</v>
      </c>
      <c r="E71">
        <v>1</v>
      </c>
    </row>
    <row r="72" spans="1:5" x14ac:dyDescent="0.15">
      <c r="A72">
        <v>3.9378299999999999</v>
      </c>
      <c r="D72">
        <v>4.6628699999999998</v>
      </c>
      <c r="E72">
        <v>4</v>
      </c>
    </row>
    <row r="73" spans="1:5" x14ac:dyDescent="0.15">
      <c r="A73">
        <v>4</v>
      </c>
      <c r="D73">
        <v>4.6640600000000001</v>
      </c>
      <c r="E73">
        <v>12</v>
      </c>
    </row>
    <row r="74" spans="1:5" x14ac:dyDescent="0.15">
      <c r="A74">
        <v>5</v>
      </c>
      <c r="D74">
        <v>4.7</v>
      </c>
      <c r="E74">
        <v>4</v>
      </c>
    </row>
    <row r="75" spans="1:5" x14ac:dyDescent="0.15">
      <c r="A75">
        <v>5</v>
      </c>
      <c r="D75">
        <v>4.7338800000000001</v>
      </c>
      <c r="E75">
        <v>1</v>
      </c>
    </row>
    <row r="76" spans="1:5" x14ac:dyDescent="0.15">
      <c r="A76">
        <v>5</v>
      </c>
      <c r="D76">
        <v>4.75</v>
      </c>
      <c r="E76">
        <v>32</v>
      </c>
    </row>
    <row r="77" spans="1:5" x14ac:dyDescent="0.15">
      <c r="A77">
        <v>5</v>
      </c>
      <c r="D77">
        <v>4.7655900000000004</v>
      </c>
      <c r="E77">
        <v>1</v>
      </c>
    </row>
    <row r="78" spans="1:5" x14ac:dyDescent="0.15">
      <c r="A78">
        <v>5</v>
      </c>
      <c r="D78">
        <v>4.7699999999999996</v>
      </c>
      <c r="E78">
        <v>1</v>
      </c>
    </row>
    <row r="79" spans="1:5" x14ac:dyDescent="0.15">
      <c r="A79">
        <v>5</v>
      </c>
      <c r="D79">
        <v>4.79826</v>
      </c>
      <c r="E79">
        <v>1</v>
      </c>
    </row>
    <row r="80" spans="1:5" x14ac:dyDescent="0.15">
      <c r="A80">
        <v>4.25</v>
      </c>
      <c r="D80">
        <v>4.8</v>
      </c>
      <c r="E80">
        <v>2</v>
      </c>
    </row>
    <row r="81" spans="1:5" x14ac:dyDescent="0.15">
      <c r="A81">
        <v>4.6386700000000003</v>
      </c>
      <c r="D81">
        <v>4.8056599999999996</v>
      </c>
      <c r="E81">
        <v>1</v>
      </c>
    </row>
    <row r="82" spans="1:5" x14ac:dyDescent="0.15">
      <c r="A82">
        <v>4.6386700000000003</v>
      </c>
      <c r="D82">
        <v>4.8234300000000001</v>
      </c>
      <c r="E82">
        <v>1</v>
      </c>
    </row>
    <row r="83" spans="1:5" x14ac:dyDescent="0.15">
      <c r="A83">
        <v>4.6386700000000003</v>
      </c>
      <c r="D83">
        <v>4.8499999999999996</v>
      </c>
      <c r="E83">
        <v>2</v>
      </c>
    </row>
    <row r="84" spans="1:5" x14ac:dyDescent="0.15">
      <c r="A84">
        <v>4.6386700000000003</v>
      </c>
      <c r="D84">
        <v>4.8658400000000004</v>
      </c>
      <c r="E84">
        <v>1</v>
      </c>
    </row>
    <row r="85" spans="1:5" x14ac:dyDescent="0.15">
      <c r="A85">
        <v>4.6386700000000003</v>
      </c>
      <c r="D85">
        <v>4.8960900000000001</v>
      </c>
      <c r="E85">
        <v>1</v>
      </c>
    </row>
    <row r="86" spans="1:5" x14ac:dyDescent="0.15">
      <c r="A86">
        <v>3.9843700000000002</v>
      </c>
      <c r="D86">
        <v>4.9000000000000004</v>
      </c>
      <c r="E86">
        <v>15</v>
      </c>
    </row>
    <row r="87" spans="1:5" x14ac:dyDescent="0.15">
      <c r="A87">
        <v>3.9843700000000002</v>
      </c>
      <c r="D87">
        <v>4.95</v>
      </c>
      <c r="E87">
        <v>1</v>
      </c>
    </row>
    <row r="88" spans="1:5" x14ac:dyDescent="0.15">
      <c r="A88">
        <v>3.9464800000000002</v>
      </c>
      <c r="D88">
        <v>4.9609300000000003</v>
      </c>
      <c r="E88">
        <v>1</v>
      </c>
    </row>
    <row r="89" spans="1:5" x14ac:dyDescent="0.15">
      <c r="A89">
        <v>4</v>
      </c>
      <c r="D89">
        <v>4.9689399999999999</v>
      </c>
      <c r="E89">
        <v>2</v>
      </c>
    </row>
    <row r="90" spans="1:5" x14ac:dyDescent="0.15">
      <c r="A90">
        <v>4</v>
      </c>
      <c r="D90">
        <v>4.9804599999999999</v>
      </c>
      <c r="E90">
        <v>2</v>
      </c>
    </row>
    <row r="91" spans="1:5" x14ac:dyDescent="0.15">
      <c r="A91">
        <v>4</v>
      </c>
      <c r="D91">
        <v>4.9930300000000001</v>
      </c>
      <c r="E91">
        <v>1</v>
      </c>
    </row>
    <row r="92" spans="1:5" x14ac:dyDescent="0.15">
      <c r="A92">
        <v>4</v>
      </c>
      <c r="D92">
        <v>4.9960899999999997</v>
      </c>
      <c r="E92">
        <v>1</v>
      </c>
    </row>
    <row r="93" spans="1:5" x14ac:dyDescent="0.15">
      <c r="A93">
        <v>4.5</v>
      </c>
      <c r="D93">
        <v>4.99688</v>
      </c>
      <c r="E93">
        <v>8</v>
      </c>
    </row>
    <row r="94" spans="1:5" x14ac:dyDescent="0.15">
      <c r="A94">
        <v>4.5</v>
      </c>
      <c r="D94">
        <v>5</v>
      </c>
      <c r="E94">
        <v>141</v>
      </c>
    </row>
    <row r="95" spans="1:5" x14ac:dyDescent="0.15">
      <c r="A95">
        <v>4.75</v>
      </c>
      <c r="D95">
        <v>5.0006199999999996</v>
      </c>
      <c r="E95">
        <v>2</v>
      </c>
    </row>
    <row r="96" spans="1:5" x14ac:dyDescent="0.15">
      <c r="A96">
        <v>5</v>
      </c>
      <c r="D96">
        <v>5.0018099999999999</v>
      </c>
      <c r="E96">
        <v>9</v>
      </c>
    </row>
    <row r="97" spans="1:5" x14ac:dyDescent="0.15">
      <c r="A97">
        <v>4.5</v>
      </c>
      <c r="D97">
        <v>5.02407</v>
      </c>
      <c r="E97">
        <v>1</v>
      </c>
    </row>
    <row r="98" spans="1:5" x14ac:dyDescent="0.15">
      <c r="A98">
        <v>4.25</v>
      </c>
      <c r="D98">
        <v>5.0302699999999998</v>
      </c>
      <c r="E98">
        <v>1</v>
      </c>
    </row>
    <row r="99" spans="1:5" x14ac:dyDescent="0.15">
      <c r="A99">
        <v>5.0970700000000004</v>
      </c>
      <c r="D99">
        <v>5.0391300000000001</v>
      </c>
      <c r="E99">
        <v>2</v>
      </c>
    </row>
    <row r="100" spans="1:5" x14ac:dyDescent="0.15">
      <c r="A100">
        <v>4.25</v>
      </c>
      <c r="D100">
        <v>5.0479399999999996</v>
      </c>
      <c r="E100">
        <v>1</v>
      </c>
    </row>
    <row r="101" spans="1:5" x14ac:dyDescent="0.15">
      <c r="A101">
        <v>5.0006199999999996</v>
      </c>
      <c r="D101">
        <v>5.0481400000000001</v>
      </c>
      <c r="E101">
        <v>1</v>
      </c>
    </row>
    <row r="102" spans="1:5" x14ac:dyDescent="0.15">
      <c r="A102">
        <v>4.23339</v>
      </c>
      <c r="D102">
        <v>5.0484099999999996</v>
      </c>
      <c r="E102">
        <v>1</v>
      </c>
    </row>
    <row r="103" spans="1:5" x14ac:dyDescent="0.15">
      <c r="A103">
        <v>4</v>
      </c>
      <c r="D103">
        <v>5.0485300000000004</v>
      </c>
      <c r="E103">
        <v>5</v>
      </c>
    </row>
    <row r="104" spans="1:5" x14ac:dyDescent="0.15">
      <c r="A104">
        <v>4</v>
      </c>
      <c r="D104">
        <v>5.0613000000000001</v>
      </c>
      <c r="E104">
        <v>1</v>
      </c>
    </row>
    <row r="105" spans="1:5" x14ac:dyDescent="0.15">
      <c r="A105">
        <v>4.25</v>
      </c>
      <c r="D105">
        <v>5.0728</v>
      </c>
      <c r="E105">
        <v>2</v>
      </c>
    </row>
    <row r="106" spans="1:5" x14ac:dyDescent="0.15">
      <c r="A106">
        <v>5</v>
      </c>
      <c r="D106">
        <v>5.0966699999999996</v>
      </c>
      <c r="E106">
        <v>2</v>
      </c>
    </row>
    <row r="107" spans="1:5" x14ac:dyDescent="0.15">
      <c r="A107">
        <v>4.9000000000000004</v>
      </c>
      <c r="D107">
        <v>5.0970700000000004</v>
      </c>
      <c r="E107">
        <v>2</v>
      </c>
    </row>
    <row r="108" spans="1:5" x14ac:dyDescent="0.15">
      <c r="A108">
        <v>4.9000000000000004</v>
      </c>
      <c r="D108">
        <v>5.0999999999999996</v>
      </c>
      <c r="E108">
        <v>5</v>
      </c>
    </row>
    <row r="109" spans="1:5" x14ac:dyDescent="0.15">
      <c r="A109">
        <v>5.0485300000000004</v>
      </c>
      <c r="D109">
        <v>5.1203500000000002</v>
      </c>
      <c r="E109">
        <v>2</v>
      </c>
    </row>
    <row r="110" spans="1:5" x14ac:dyDescent="0.15">
      <c r="A110">
        <v>4.5</v>
      </c>
      <c r="D110">
        <v>5.1213300000000004</v>
      </c>
      <c r="E110">
        <v>1</v>
      </c>
    </row>
    <row r="111" spans="1:5" x14ac:dyDescent="0.15">
      <c r="A111">
        <v>4.5</v>
      </c>
      <c r="D111">
        <v>5.1441299999999996</v>
      </c>
      <c r="E111">
        <v>1</v>
      </c>
    </row>
    <row r="112" spans="1:5" x14ac:dyDescent="0.15">
      <c r="A112">
        <v>4.75</v>
      </c>
      <c r="D112">
        <v>5.1484800000000002</v>
      </c>
      <c r="E112">
        <v>1</v>
      </c>
    </row>
    <row r="113" spans="1:5" x14ac:dyDescent="0.15">
      <c r="A113">
        <v>4.5483799999999999</v>
      </c>
      <c r="D113">
        <v>5.15</v>
      </c>
      <c r="E113">
        <v>2</v>
      </c>
    </row>
    <row r="114" spans="1:5" x14ac:dyDescent="0.15">
      <c r="A114">
        <v>5.0485300000000004</v>
      </c>
      <c r="D114">
        <v>5.1564500000000004</v>
      </c>
      <c r="E114">
        <v>1</v>
      </c>
    </row>
    <row r="115" spans="1:5" x14ac:dyDescent="0.15">
      <c r="A115">
        <v>4.5241899999999999</v>
      </c>
      <c r="D115">
        <v>5.1679599999999999</v>
      </c>
      <c r="E115">
        <v>1</v>
      </c>
    </row>
    <row r="116" spans="1:5" x14ac:dyDescent="0.15">
      <c r="A116">
        <v>5</v>
      </c>
      <c r="D116">
        <v>5.1992099999999999</v>
      </c>
      <c r="E116">
        <v>1</v>
      </c>
    </row>
    <row r="117" spans="1:5" x14ac:dyDescent="0.15">
      <c r="A117">
        <v>5</v>
      </c>
      <c r="D117">
        <v>5.2</v>
      </c>
      <c r="E117">
        <v>8</v>
      </c>
    </row>
    <row r="118" spans="1:5" x14ac:dyDescent="0.15">
      <c r="A118">
        <v>5</v>
      </c>
      <c r="D118">
        <v>5.2421800000000003</v>
      </c>
      <c r="E118">
        <v>1</v>
      </c>
    </row>
    <row r="119" spans="1:5" x14ac:dyDescent="0.15">
      <c r="A119">
        <v>5</v>
      </c>
      <c r="D119">
        <v>5.25</v>
      </c>
      <c r="E119">
        <v>14</v>
      </c>
    </row>
    <row r="120" spans="1:5" x14ac:dyDescent="0.15">
      <c r="A120">
        <v>5</v>
      </c>
      <c r="D120">
        <v>5.2742000000000004</v>
      </c>
      <c r="E120">
        <v>1</v>
      </c>
    </row>
    <row r="121" spans="1:5" x14ac:dyDescent="0.15">
      <c r="A121">
        <v>5</v>
      </c>
      <c r="D121">
        <v>5.3</v>
      </c>
      <c r="E121">
        <v>2</v>
      </c>
    </row>
    <row r="122" spans="1:5" x14ac:dyDescent="0.15">
      <c r="A122">
        <v>5</v>
      </c>
      <c r="D122">
        <v>5.3468200000000001</v>
      </c>
      <c r="E122">
        <v>1</v>
      </c>
    </row>
    <row r="123" spans="1:5" x14ac:dyDescent="0.15">
      <c r="A123">
        <v>5</v>
      </c>
      <c r="D123">
        <v>5.35</v>
      </c>
      <c r="E123">
        <v>5</v>
      </c>
    </row>
    <row r="124" spans="1:5" x14ac:dyDescent="0.15">
      <c r="A124">
        <v>5</v>
      </c>
      <c r="D124">
        <v>5.3709800000000003</v>
      </c>
      <c r="E124">
        <v>1</v>
      </c>
    </row>
    <row r="125" spans="1:5" x14ac:dyDescent="0.15">
      <c r="A125">
        <v>5</v>
      </c>
      <c r="D125">
        <v>5.3725699999999996</v>
      </c>
      <c r="E125">
        <v>1</v>
      </c>
    </row>
    <row r="126" spans="1:5" x14ac:dyDescent="0.15">
      <c r="A126">
        <v>5</v>
      </c>
      <c r="D126">
        <v>5.3940599999999996</v>
      </c>
      <c r="E126">
        <v>1</v>
      </c>
    </row>
    <row r="127" spans="1:5" x14ac:dyDescent="0.15">
      <c r="A127">
        <v>5.5794300000000003</v>
      </c>
      <c r="D127">
        <v>5.3967700000000001</v>
      </c>
      <c r="E127">
        <v>1</v>
      </c>
    </row>
    <row r="128" spans="1:5" x14ac:dyDescent="0.15">
      <c r="A128">
        <v>4</v>
      </c>
      <c r="D128">
        <v>5.4</v>
      </c>
      <c r="E128">
        <v>1</v>
      </c>
    </row>
    <row r="129" spans="1:5" x14ac:dyDescent="0.15">
      <c r="A129">
        <v>4</v>
      </c>
      <c r="D129">
        <v>5.5</v>
      </c>
      <c r="E129">
        <v>14</v>
      </c>
    </row>
    <row r="130" spans="1:5" x14ac:dyDescent="0.15">
      <c r="A130">
        <v>4</v>
      </c>
      <c r="D130">
        <v>5.5241400000000001</v>
      </c>
      <c r="E130">
        <v>2</v>
      </c>
    </row>
    <row r="131" spans="1:5" x14ac:dyDescent="0.15">
      <c r="A131">
        <v>4</v>
      </c>
      <c r="D131">
        <v>5.5794300000000003</v>
      </c>
      <c r="E131">
        <v>1</v>
      </c>
    </row>
    <row r="132" spans="1:5" x14ac:dyDescent="0.15">
      <c r="A132">
        <v>4</v>
      </c>
      <c r="D132">
        <v>5.6309500000000003</v>
      </c>
      <c r="E132">
        <v>1</v>
      </c>
    </row>
    <row r="133" spans="1:5" x14ac:dyDescent="0.15">
      <c r="A133">
        <v>4</v>
      </c>
      <c r="D133">
        <v>5.6672599999999997</v>
      </c>
      <c r="E133">
        <v>1</v>
      </c>
    </row>
    <row r="134" spans="1:5" x14ac:dyDescent="0.15">
      <c r="A134">
        <v>5</v>
      </c>
      <c r="D134">
        <v>5.7172999999999998</v>
      </c>
      <c r="E134">
        <v>1</v>
      </c>
    </row>
    <row r="135" spans="1:5" x14ac:dyDescent="0.15">
      <c r="A135">
        <v>5.25</v>
      </c>
      <c r="D135">
        <v>5.75</v>
      </c>
      <c r="E135">
        <v>2</v>
      </c>
    </row>
    <row r="136" spans="1:5" x14ac:dyDescent="0.15">
      <c r="A136">
        <v>5.25</v>
      </c>
      <c r="D136">
        <v>5.8216599999999996</v>
      </c>
      <c r="E136">
        <v>1</v>
      </c>
    </row>
    <row r="137" spans="1:5" x14ac:dyDescent="0.15">
      <c r="A137">
        <v>4.5241899999999999</v>
      </c>
      <c r="D137">
        <v>6</v>
      </c>
      <c r="E137">
        <v>23</v>
      </c>
    </row>
    <row r="138" spans="1:5" x14ac:dyDescent="0.15">
      <c r="A138">
        <v>5</v>
      </c>
      <c r="D138">
        <v>6.0480400000000003</v>
      </c>
      <c r="E138">
        <v>1</v>
      </c>
    </row>
    <row r="139" spans="1:5" x14ac:dyDescent="0.15">
      <c r="A139">
        <v>5</v>
      </c>
      <c r="D139">
        <v>6.2</v>
      </c>
      <c r="E139">
        <v>4</v>
      </c>
    </row>
    <row r="140" spans="1:5" x14ac:dyDescent="0.15">
      <c r="A140">
        <v>5</v>
      </c>
      <c r="D140">
        <v>6.3</v>
      </c>
      <c r="E140">
        <v>4</v>
      </c>
    </row>
    <row r="141" spans="1:5" x14ac:dyDescent="0.15">
      <c r="A141">
        <v>4.75</v>
      </c>
      <c r="D141">
        <v>6.5239000000000003</v>
      </c>
      <c r="E141">
        <v>1</v>
      </c>
    </row>
    <row r="142" spans="1:5" x14ac:dyDescent="0.15">
      <c r="A142">
        <v>4.75</v>
      </c>
      <c r="D142">
        <v>6.7</v>
      </c>
      <c r="E142">
        <v>4</v>
      </c>
    </row>
    <row r="143" spans="1:5" x14ac:dyDescent="0.15">
      <c r="A143">
        <v>4.75</v>
      </c>
      <c r="D143" t="s">
        <v>33</v>
      </c>
      <c r="E143">
        <v>1078</v>
      </c>
    </row>
    <row r="144" spans="1:5" x14ac:dyDescent="0.15">
      <c r="A144">
        <v>4.9000000000000004</v>
      </c>
    </row>
    <row r="145" spans="1:1" x14ac:dyDescent="0.15">
      <c r="A145">
        <v>5</v>
      </c>
    </row>
    <row r="146" spans="1:1" x14ac:dyDescent="0.15">
      <c r="A146">
        <v>5</v>
      </c>
    </row>
    <row r="147" spans="1:1" x14ac:dyDescent="0.15">
      <c r="A147">
        <v>5</v>
      </c>
    </row>
    <row r="148" spans="1:1" x14ac:dyDescent="0.15">
      <c r="A148">
        <v>5</v>
      </c>
    </row>
    <row r="149" spans="1:1" x14ac:dyDescent="0.15">
      <c r="A149">
        <v>5</v>
      </c>
    </row>
    <row r="150" spans="1:1" x14ac:dyDescent="0.15">
      <c r="A150">
        <v>5</v>
      </c>
    </row>
    <row r="151" spans="1:1" x14ac:dyDescent="0.15">
      <c r="A151">
        <v>5.0999999999999996</v>
      </c>
    </row>
    <row r="152" spans="1:1" x14ac:dyDescent="0.15">
      <c r="A152">
        <v>5.0999999999999996</v>
      </c>
    </row>
    <row r="153" spans="1:1" x14ac:dyDescent="0.15">
      <c r="A153">
        <v>5.0999999999999996</v>
      </c>
    </row>
    <row r="154" spans="1:1" x14ac:dyDescent="0.15">
      <c r="A154">
        <v>4.25</v>
      </c>
    </row>
    <row r="155" spans="1:1" x14ac:dyDescent="0.15">
      <c r="A155">
        <v>5.0970700000000004</v>
      </c>
    </row>
    <row r="156" spans="1:1" x14ac:dyDescent="0.15">
      <c r="A156">
        <v>4.25</v>
      </c>
    </row>
    <row r="157" spans="1:1" x14ac:dyDescent="0.15">
      <c r="A157">
        <v>5.0006199999999996</v>
      </c>
    </row>
    <row r="158" spans="1:1" x14ac:dyDescent="0.15">
      <c r="A158">
        <v>4.23339</v>
      </c>
    </row>
    <row r="159" spans="1:1" x14ac:dyDescent="0.15">
      <c r="A159">
        <v>4</v>
      </c>
    </row>
    <row r="160" spans="1:1" x14ac:dyDescent="0.15">
      <c r="A160">
        <v>4</v>
      </c>
    </row>
    <row r="161" spans="1:1" x14ac:dyDescent="0.15">
      <c r="A161">
        <v>5.0613000000000001</v>
      </c>
    </row>
    <row r="162" spans="1:1" x14ac:dyDescent="0.15">
      <c r="A162">
        <v>4.9930300000000001</v>
      </c>
    </row>
    <row r="163" spans="1:1" x14ac:dyDescent="0.15">
      <c r="A163">
        <v>4.95</v>
      </c>
    </row>
    <row r="164" spans="1:1" x14ac:dyDescent="0.15">
      <c r="A164">
        <v>5</v>
      </c>
    </row>
    <row r="165" spans="1:1" x14ac:dyDescent="0.15">
      <c r="A165">
        <v>5</v>
      </c>
    </row>
    <row r="166" spans="1:1" x14ac:dyDescent="0.15">
      <c r="A166">
        <v>5</v>
      </c>
    </row>
    <row r="167" spans="1:1" x14ac:dyDescent="0.15">
      <c r="A167">
        <v>5</v>
      </c>
    </row>
    <row r="168" spans="1:1" x14ac:dyDescent="0.15">
      <c r="A168">
        <v>5</v>
      </c>
    </row>
    <row r="169" spans="1:1" x14ac:dyDescent="0.15">
      <c r="A169">
        <v>5</v>
      </c>
    </row>
    <row r="170" spans="1:1" x14ac:dyDescent="0.15">
      <c r="A170">
        <v>5</v>
      </c>
    </row>
    <row r="171" spans="1:1" x14ac:dyDescent="0.15">
      <c r="A171">
        <v>5</v>
      </c>
    </row>
    <row r="172" spans="1:1" x14ac:dyDescent="0.15">
      <c r="A172">
        <v>5</v>
      </c>
    </row>
    <row r="173" spans="1:1" x14ac:dyDescent="0.15">
      <c r="A173">
        <v>5</v>
      </c>
    </row>
    <row r="174" spans="1:1" x14ac:dyDescent="0.15">
      <c r="A174">
        <v>5.1484800000000002</v>
      </c>
    </row>
    <row r="175" spans="1:1" x14ac:dyDescent="0.15">
      <c r="A175">
        <v>4.9000000000000004</v>
      </c>
    </row>
    <row r="176" spans="1:1" x14ac:dyDescent="0.15">
      <c r="A176">
        <v>4.5999999999999996</v>
      </c>
    </row>
    <row r="177" spans="1:1" x14ac:dyDescent="0.15">
      <c r="A177">
        <v>4.25</v>
      </c>
    </row>
    <row r="178" spans="1:1" x14ac:dyDescent="0.15">
      <c r="A178">
        <v>4.9000000000000004</v>
      </c>
    </row>
    <row r="179" spans="1:1" x14ac:dyDescent="0.15">
      <c r="A179">
        <v>4.5999999999999996</v>
      </c>
    </row>
    <row r="180" spans="1:1" x14ac:dyDescent="0.15">
      <c r="A180">
        <v>4.25</v>
      </c>
    </row>
    <row r="181" spans="1:1" x14ac:dyDescent="0.15">
      <c r="A181">
        <v>5.0391300000000001</v>
      </c>
    </row>
    <row r="182" spans="1:1" x14ac:dyDescent="0.15">
      <c r="A182">
        <v>5.35</v>
      </c>
    </row>
    <row r="183" spans="1:1" x14ac:dyDescent="0.15">
      <c r="A183">
        <v>4.8499999999999996</v>
      </c>
    </row>
    <row r="184" spans="1:1" x14ac:dyDescent="0.15">
      <c r="A184">
        <v>4.5999999999999996</v>
      </c>
    </row>
    <row r="185" spans="1:1" x14ac:dyDescent="0.15">
      <c r="A185">
        <v>4.3</v>
      </c>
    </row>
    <row r="186" spans="1:1" x14ac:dyDescent="0.15">
      <c r="A186">
        <v>4.5</v>
      </c>
    </row>
    <row r="187" spans="1:1" x14ac:dyDescent="0.15">
      <c r="A187">
        <v>4.25</v>
      </c>
    </row>
    <row r="188" spans="1:1" x14ac:dyDescent="0.15">
      <c r="A188">
        <v>4.75</v>
      </c>
    </row>
    <row r="189" spans="1:1" x14ac:dyDescent="0.15">
      <c r="A189">
        <v>4.75</v>
      </c>
    </row>
    <row r="190" spans="1:1" x14ac:dyDescent="0.15">
      <c r="A190">
        <v>4.25</v>
      </c>
    </row>
    <row r="191" spans="1:1" x14ac:dyDescent="0.15">
      <c r="A191">
        <v>4.25</v>
      </c>
    </row>
    <row r="192" spans="1:1" x14ac:dyDescent="0.15">
      <c r="A192">
        <v>4.25</v>
      </c>
    </row>
    <row r="193" spans="1:1" x14ac:dyDescent="0.15">
      <c r="A193">
        <v>5.1679599999999999</v>
      </c>
    </row>
    <row r="194" spans="1:1" x14ac:dyDescent="0.15">
      <c r="A194">
        <v>4.5</v>
      </c>
    </row>
    <row r="195" spans="1:1" x14ac:dyDescent="0.15">
      <c r="A195">
        <v>4.5</v>
      </c>
    </row>
    <row r="196" spans="1:1" x14ac:dyDescent="0.15">
      <c r="A196">
        <v>5</v>
      </c>
    </row>
    <row r="197" spans="1:1" x14ac:dyDescent="0.15">
      <c r="A197">
        <v>5</v>
      </c>
    </row>
    <row r="198" spans="1:1" x14ac:dyDescent="0.15">
      <c r="A198">
        <v>5</v>
      </c>
    </row>
    <row r="199" spans="1:1" x14ac:dyDescent="0.15">
      <c r="A199">
        <v>6</v>
      </c>
    </row>
    <row r="200" spans="1:1" x14ac:dyDescent="0.15">
      <c r="A200">
        <v>4.6640600000000001</v>
      </c>
    </row>
    <row r="201" spans="1:1" x14ac:dyDescent="0.15">
      <c r="A201">
        <v>4.55</v>
      </c>
    </row>
    <row r="202" spans="1:1" x14ac:dyDescent="0.15">
      <c r="A202">
        <v>4.25</v>
      </c>
    </row>
    <row r="203" spans="1:1" x14ac:dyDescent="0.15">
      <c r="A203">
        <v>4.25</v>
      </c>
    </row>
    <row r="204" spans="1:1" x14ac:dyDescent="0.15">
      <c r="A204">
        <v>5.5</v>
      </c>
    </row>
    <row r="205" spans="1:1" x14ac:dyDescent="0.15">
      <c r="A205">
        <v>5.5</v>
      </c>
    </row>
    <row r="206" spans="1:1" x14ac:dyDescent="0.15">
      <c r="A206">
        <v>4.5</v>
      </c>
    </row>
    <row r="207" spans="1:1" x14ac:dyDescent="0.15">
      <c r="A207">
        <v>4.5</v>
      </c>
    </row>
    <row r="208" spans="1:1" x14ac:dyDescent="0.15">
      <c r="A208">
        <v>4.9000000000000004</v>
      </c>
    </row>
    <row r="209" spans="1:1" x14ac:dyDescent="0.15">
      <c r="A209">
        <v>5.4</v>
      </c>
    </row>
    <row r="210" spans="1:1" x14ac:dyDescent="0.15">
      <c r="A210">
        <v>4.25</v>
      </c>
    </row>
    <row r="211" spans="1:1" x14ac:dyDescent="0.15">
      <c r="A211">
        <v>4</v>
      </c>
    </row>
    <row r="212" spans="1:1" x14ac:dyDescent="0.15">
      <c r="A212">
        <v>4</v>
      </c>
    </row>
    <row r="213" spans="1:1" x14ac:dyDescent="0.15">
      <c r="A213">
        <v>4.6628699999999998</v>
      </c>
    </row>
    <row r="214" spans="1:1" x14ac:dyDescent="0.15">
      <c r="A214">
        <v>4.9609300000000003</v>
      </c>
    </row>
    <row r="215" spans="1:1" x14ac:dyDescent="0.15">
      <c r="A215">
        <v>4.5241899999999999</v>
      </c>
    </row>
    <row r="216" spans="1:1" x14ac:dyDescent="0.15">
      <c r="A216">
        <v>4.3</v>
      </c>
    </row>
    <row r="217" spans="1:1" x14ac:dyDescent="0.15">
      <c r="A217">
        <v>4.3</v>
      </c>
    </row>
    <row r="218" spans="1:1" x14ac:dyDescent="0.15">
      <c r="A218">
        <v>4.25</v>
      </c>
    </row>
    <row r="219" spans="1:1" x14ac:dyDescent="0.15">
      <c r="A219">
        <v>4.25</v>
      </c>
    </row>
    <row r="220" spans="1:1" x14ac:dyDescent="0.15">
      <c r="A220">
        <v>4.7</v>
      </c>
    </row>
    <row r="221" spans="1:1" x14ac:dyDescent="0.15">
      <c r="A221">
        <v>4.9000000000000004</v>
      </c>
    </row>
    <row r="222" spans="1:1" x14ac:dyDescent="0.15">
      <c r="A222">
        <v>5.25</v>
      </c>
    </row>
    <row r="223" spans="1:1" x14ac:dyDescent="0.15">
      <c r="A223">
        <v>4.8234300000000001</v>
      </c>
    </row>
    <row r="224" spans="1:1" x14ac:dyDescent="0.15">
      <c r="A224">
        <v>4.6640600000000001</v>
      </c>
    </row>
    <row r="225" spans="1:1" x14ac:dyDescent="0.15">
      <c r="A225">
        <v>5.25</v>
      </c>
    </row>
    <row r="226" spans="1:1" x14ac:dyDescent="0.15">
      <c r="A226">
        <v>4.5882300000000003</v>
      </c>
    </row>
    <row r="227" spans="1:1" x14ac:dyDescent="0.15">
      <c r="A227">
        <v>5.2</v>
      </c>
    </row>
    <row r="228" spans="1:1" x14ac:dyDescent="0.15">
      <c r="A228">
        <v>5.2</v>
      </c>
    </row>
    <row r="229" spans="1:1" x14ac:dyDescent="0.15">
      <c r="A229">
        <v>4.5</v>
      </c>
    </row>
    <row r="230" spans="1:1" x14ac:dyDescent="0.15">
      <c r="A230">
        <v>4.5</v>
      </c>
    </row>
    <row r="231" spans="1:1" x14ac:dyDescent="0.15">
      <c r="A231">
        <v>5.0302699999999998</v>
      </c>
    </row>
    <row r="232" spans="1:1" x14ac:dyDescent="0.15">
      <c r="A232">
        <v>5.0999999999999996</v>
      </c>
    </row>
    <row r="233" spans="1:1" x14ac:dyDescent="0.15">
      <c r="A233">
        <v>4.6399999999999997</v>
      </c>
    </row>
    <row r="234" spans="1:1" x14ac:dyDescent="0.15">
      <c r="A234">
        <v>4.6386700000000003</v>
      </c>
    </row>
    <row r="235" spans="1:1" x14ac:dyDescent="0.15">
      <c r="A235">
        <v>5.3468200000000001</v>
      </c>
    </row>
    <row r="236" spans="1:1" x14ac:dyDescent="0.15">
      <c r="A236">
        <v>4.5999999999999996</v>
      </c>
    </row>
    <row r="237" spans="1:1" x14ac:dyDescent="0.15">
      <c r="A237">
        <v>4.6640600000000001</v>
      </c>
    </row>
    <row r="238" spans="1:1" x14ac:dyDescent="0.15">
      <c r="A238">
        <v>5.25</v>
      </c>
    </row>
    <row r="239" spans="1:1" x14ac:dyDescent="0.15">
      <c r="A239">
        <v>5.2</v>
      </c>
    </row>
    <row r="240" spans="1:1" x14ac:dyDescent="0.15">
      <c r="A240">
        <v>6</v>
      </c>
    </row>
    <row r="241" spans="1:1" x14ac:dyDescent="0.15">
      <c r="A241">
        <v>6</v>
      </c>
    </row>
    <row r="242" spans="1:1" x14ac:dyDescent="0.15">
      <c r="A242">
        <v>4.6386700000000003</v>
      </c>
    </row>
    <row r="243" spans="1:1" x14ac:dyDescent="0.15">
      <c r="A243">
        <v>4.75</v>
      </c>
    </row>
    <row r="244" spans="1:1" x14ac:dyDescent="0.15">
      <c r="A244">
        <v>4.8499999999999996</v>
      </c>
    </row>
    <row r="245" spans="1:1" x14ac:dyDescent="0.15">
      <c r="A245">
        <v>4.5</v>
      </c>
    </row>
    <row r="246" spans="1:1" x14ac:dyDescent="0.15">
      <c r="A246">
        <v>4.5</v>
      </c>
    </row>
    <row r="247" spans="1:1" x14ac:dyDescent="0.15">
      <c r="A247">
        <v>4.6386700000000003</v>
      </c>
    </row>
    <row r="248" spans="1:1" x14ac:dyDescent="0.15">
      <c r="A248">
        <v>4.6386700000000003</v>
      </c>
    </row>
    <row r="249" spans="1:1" x14ac:dyDescent="0.15">
      <c r="A249">
        <v>4.30572</v>
      </c>
    </row>
    <row r="250" spans="1:1" x14ac:dyDescent="0.15">
      <c r="A250">
        <v>4.2942499999999999</v>
      </c>
    </row>
    <row r="251" spans="1:1" x14ac:dyDescent="0.15">
      <c r="A251">
        <v>4.6243600000000002</v>
      </c>
    </row>
    <row r="252" spans="1:1" x14ac:dyDescent="0.15">
      <c r="A252">
        <v>4.25</v>
      </c>
    </row>
    <row r="253" spans="1:1" x14ac:dyDescent="0.15">
      <c r="A253">
        <v>4.41</v>
      </c>
    </row>
    <row r="254" spans="1:1" x14ac:dyDescent="0.15">
      <c r="A254">
        <v>4.6640600000000001</v>
      </c>
    </row>
    <row r="255" spans="1:1" x14ac:dyDescent="0.15">
      <c r="A255">
        <v>5.0728</v>
      </c>
    </row>
    <row r="256" spans="1:1" x14ac:dyDescent="0.15">
      <c r="A256">
        <v>4.75</v>
      </c>
    </row>
    <row r="257" spans="1:1" x14ac:dyDescent="0.15">
      <c r="A257">
        <v>5</v>
      </c>
    </row>
    <row r="258" spans="1:1" x14ac:dyDescent="0.15">
      <c r="A258">
        <v>5</v>
      </c>
    </row>
    <row r="259" spans="1:1" x14ac:dyDescent="0.15">
      <c r="A259">
        <v>5</v>
      </c>
    </row>
    <row r="260" spans="1:1" x14ac:dyDescent="0.15">
      <c r="A260">
        <v>5</v>
      </c>
    </row>
    <row r="261" spans="1:1" x14ac:dyDescent="0.15">
      <c r="A261">
        <v>4.23339</v>
      </c>
    </row>
    <row r="262" spans="1:1" x14ac:dyDescent="0.15">
      <c r="A262">
        <v>4</v>
      </c>
    </row>
    <row r="263" spans="1:1" x14ac:dyDescent="0.15">
      <c r="A263">
        <v>4</v>
      </c>
    </row>
    <row r="264" spans="1:1" x14ac:dyDescent="0.15">
      <c r="A264">
        <v>4.6500000000000004</v>
      </c>
    </row>
    <row r="265" spans="1:1" x14ac:dyDescent="0.15">
      <c r="A265">
        <v>4.6500000000000004</v>
      </c>
    </row>
    <row r="266" spans="1:1" x14ac:dyDescent="0.15">
      <c r="A266">
        <v>4.6500000000000004</v>
      </c>
    </row>
    <row r="267" spans="1:1" x14ac:dyDescent="0.15">
      <c r="A267">
        <v>4.25</v>
      </c>
    </row>
    <row r="268" spans="1:1" x14ac:dyDescent="0.15">
      <c r="A268">
        <v>4.25</v>
      </c>
    </row>
    <row r="269" spans="1:1" x14ac:dyDescent="0.15">
      <c r="A269">
        <v>4.7</v>
      </c>
    </row>
    <row r="270" spans="1:1" x14ac:dyDescent="0.15">
      <c r="A270">
        <v>4.9000000000000004</v>
      </c>
    </row>
    <row r="271" spans="1:1" x14ac:dyDescent="0.15">
      <c r="A271">
        <v>4.6640600000000001</v>
      </c>
    </row>
    <row r="272" spans="1:1" x14ac:dyDescent="0.15">
      <c r="A272">
        <v>4.63</v>
      </c>
    </row>
    <row r="273" spans="1:1" x14ac:dyDescent="0.15">
      <c r="A273">
        <v>4.25</v>
      </c>
    </row>
    <row r="274" spans="1:1" x14ac:dyDescent="0.15">
      <c r="A274">
        <v>4.6386700000000003</v>
      </c>
    </row>
    <row r="275" spans="1:1" x14ac:dyDescent="0.15">
      <c r="A275">
        <v>4.25</v>
      </c>
    </row>
    <row r="276" spans="1:1" x14ac:dyDescent="0.15">
      <c r="A276">
        <v>4.7</v>
      </c>
    </row>
    <row r="277" spans="1:1" x14ac:dyDescent="0.15">
      <c r="A277">
        <v>4.9000000000000004</v>
      </c>
    </row>
    <row r="278" spans="1:1" x14ac:dyDescent="0.15">
      <c r="A278">
        <v>4.5999999999999996</v>
      </c>
    </row>
    <row r="279" spans="1:1" x14ac:dyDescent="0.15">
      <c r="A279">
        <v>4.75</v>
      </c>
    </row>
    <row r="280" spans="1:1" x14ac:dyDescent="0.15">
      <c r="A280">
        <v>4.75</v>
      </c>
    </row>
    <row r="281" spans="1:1" x14ac:dyDescent="0.15">
      <c r="A281">
        <v>4.6386700000000003</v>
      </c>
    </row>
    <row r="282" spans="1:1" x14ac:dyDescent="0.15">
      <c r="A282">
        <v>4.6386700000000003</v>
      </c>
    </row>
    <row r="283" spans="1:1" x14ac:dyDescent="0.15">
      <c r="A283">
        <v>5.0999999999999996</v>
      </c>
    </row>
    <row r="284" spans="1:1" x14ac:dyDescent="0.15">
      <c r="A284">
        <v>5</v>
      </c>
    </row>
    <row r="285" spans="1:1" x14ac:dyDescent="0.15">
      <c r="A285">
        <v>4.2742500000000003</v>
      </c>
    </row>
    <row r="286" spans="1:1" x14ac:dyDescent="0.15">
      <c r="A286">
        <v>4.6243600000000002</v>
      </c>
    </row>
    <row r="287" spans="1:1" x14ac:dyDescent="0.15">
      <c r="A287">
        <v>4.4682899999999997</v>
      </c>
    </row>
    <row r="288" spans="1:1" x14ac:dyDescent="0.15">
      <c r="A288">
        <v>5.3967700000000001</v>
      </c>
    </row>
    <row r="289" spans="1:1" x14ac:dyDescent="0.15">
      <c r="A289">
        <v>4.6386700000000003</v>
      </c>
    </row>
    <row r="290" spans="1:1" x14ac:dyDescent="0.15">
      <c r="A290">
        <v>4.6386700000000003</v>
      </c>
    </row>
    <row r="291" spans="1:1" x14ac:dyDescent="0.15">
      <c r="A291">
        <v>4.25</v>
      </c>
    </row>
    <row r="292" spans="1:1" x14ac:dyDescent="0.15">
      <c r="A292">
        <v>4.6406200000000002</v>
      </c>
    </row>
    <row r="293" spans="1:1" x14ac:dyDescent="0.15">
      <c r="A293">
        <v>4.6628699999999998</v>
      </c>
    </row>
    <row r="294" spans="1:1" x14ac:dyDescent="0.15">
      <c r="A294">
        <v>4.6628699999999998</v>
      </c>
    </row>
    <row r="295" spans="1:1" x14ac:dyDescent="0.15">
      <c r="A295">
        <v>4.6628699999999998</v>
      </c>
    </row>
    <row r="296" spans="1:1" x14ac:dyDescent="0.15">
      <c r="A296">
        <v>4.25</v>
      </c>
    </row>
    <row r="297" spans="1:1" x14ac:dyDescent="0.15">
      <c r="A297">
        <v>4.25</v>
      </c>
    </row>
    <row r="298" spans="1:1" x14ac:dyDescent="0.15">
      <c r="A298">
        <v>4.25</v>
      </c>
    </row>
    <row r="299" spans="1:1" x14ac:dyDescent="0.15">
      <c r="A299">
        <v>4.25</v>
      </c>
    </row>
    <row r="300" spans="1:1" x14ac:dyDescent="0.15">
      <c r="A300">
        <v>4.5487700000000002</v>
      </c>
    </row>
    <row r="301" spans="1:1" x14ac:dyDescent="0.15">
      <c r="A301">
        <v>4.8658400000000004</v>
      </c>
    </row>
    <row r="302" spans="1:1" x14ac:dyDescent="0.15">
      <c r="A302">
        <v>4.5</v>
      </c>
    </row>
    <row r="303" spans="1:1" x14ac:dyDescent="0.15">
      <c r="A303">
        <v>4.5</v>
      </c>
    </row>
    <row r="304" spans="1:1" x14ac:dyDescent="0.15">
      <c r="A304">
        <v>4.9000000000000004</v>
      </c>
    </row>
    <row r="305" spans="1:1" x14ac:dyDescent="0.15">
      <c r="A305">
        <v>4.25</v>
      </c>
    </row>
    <row r="306" spans="1:1" x14ac:dyDescent="0.15">
      <c r="A306">
        <v>4.25</v>
      </c>
    </row>
    <row r="307" spans="1:1" x14ac:dyDescent="0.15">
      <c r="A307">
        <v>4.25</v>
      </c>
    </row>
    <row r="308" spans="1:1" x14ac:dyDescent="0.15">
      <c r="A308">
        <v>4.6399999999999997</v>
      </c>
    </row>
    <row r="309" spans="1:1" x14ac:dyDescent="0.15">
      <c r="A309">
        <v>4</v>
      </c>
    </row>
    <row r="310" spans="1:1" x14ac:dyDescent="0.15">
      <c r="A310">
        <v>4</v>
      </c>
    </row>
    <row r="311" spans="1:1" x14ac:dyDescent="0.15">
      <c r="A311">
        <v>4.23339</v>
      </c>
    </row>
    <row r="312" spans="1:1" x14ac:dyDescent="0.15">
      <c r="A312">
        <v>4</v>
      </c>
    </row>
    <row r="313" spans="1:1" x14ac:dyDescent="0.15">
      <c r="A313">
        <v>4</v>
      </c>
    </row>
    <row r="314" spans="1:1" x14ac:dyDescent="0.15">
      <c r="A314">
        <v>4.6640600000000001</v>
      </c>
    </row>
    <row r="315" spans="1:1" x14ac:dyDescent="0.15">
      <c r="A315">
        <v>4.6406200000000002</v>
      </c>
    </row>
    <row r="316" spans="1:1" x14ac:dyDescent="0.15">
      <c r="A316">
        <v>4.25</v>
      </c>
    </row>
    <row r="317" spans="1:1" x14ac:dyDescent="0.15">
      <c r="A317">
        <v>4.9000000000000004</v>
      </c>
    </row>
    <row r="318" spans="1:1" x14ac:dyDescent="0.15">
      <c r="A318">
        <v>4.9000000000000004</v>
      </c>
    </row>
    <row r="319" spans="1:1" x14ac:dyDescent="0.15">
      <c r="A319">
        <v>4.6386700000000003</v>
      </c>
    </row>
    <row r="320" spans="1:1" x14ac:dyDescent="0.15">
      <c r="A320">
        <v>5.3</v>
      </c>
    </row>
    <row r="321" spans="1:1" x14ac:dyDescent="0.15">
      <c r="A321">
        <v>5.3</v>
      </c>
    </row>
    <row r="322" spans="1:1" x14ac:dyDescent="0.15">
      <c r="A322">
        <v>4.5</v>
      </c>
    </row>
    <row r="323" spans="1:1" x14ac:dyDescent="0.15">
      <c r="A323">
        <v>4.5</v>
      </c>
    </row>
    <row r="324" spans="1:1" x14ac:dyDescent="0.15">
      <c r="A324">
        <v>4.75</v>
      </c>
    </row>
    <row r="325" spans="1:1" x14ac:dyDescent="0.15">
      <c r="A325">
        <v>4.75</v>
      </c>
    </row>
    <row r="326" spans="1:1" x14ac:dyDescent="0.15">
      <c r="A326">
        <v>4.25</v>
      </c>
    </row>
    <row r="327" spans="1:1" x14ac:dyDescent="0.15">
      <c r="A327">
        <v>4.25</v>
      </c>
    </row>
    <row r="328" spans="1:1" x14ac:dyDescent="0.15">
      <c r="A328">
        <v>4</v>
      </c>
    </row>
    <row r="329" spans="1:1" x14ac:dyDescent="0.15">
      <c r="A329">
        <v>4</v>
      </c>
    </row>
    <row r="330" spans="1:1" x14ac:dyDescent="0.15">
      <c r="A330">
        <v>4</v>
      </c>
    </row>
    <row r="331" spans="1:1" x14ac:dyDescent="0.15">
      <c r="A331">
        <v>4.20519</v>
      </c>
    </row>
    <row r="332" spans="1:1" x14ac:dyDescent="0.15">
      <c r="A332">
        <v>4.25</v>
      </c>
    </row>
    <row r="333" spans="1:1" x14ac:dyDescent="0.15">
      <c r="A333">
        <v>4.5</v>
      </c>
    </row>
    <row r="334" spans="1:1" x14ac:dyDescent="0.15">
      <c r="A334">
        <v>4.5999999999999996</v>
      </c>
    </row>
    <row r="335" spans="1:1" x14ac:dyDescent="0.15">
      <c r="A335">
        <v>4.5999999999999996</v>
      </c>
    </row>
    <row r="336" spans="1:1" x14ac:dyDescent="0.15">
      <c r="A336">
        <v>4.5999999999999996</v>
      </c>
    </row>
    <row r="337" spans="1:1" x14ac:dyDescent="0.15">
      <c r="A337">
        <v>4.25</v>
      </c>
    </row>
    <row r="338" spans="1:1" x14ac:dyDescent="0.15">
      <c r="A338">
        <v>4.6386700000000003</v>
      </c>
    </row>
    <row r="339" spans="1:1" x14ac:dyDescent="0.15">
      <c r="A339">
        <v>4.6640600000000001</v>
      </c>
    </row>
    <row r="340" spans="1:1" x14ac:dyDescent="0.15">
      <c r="A340">
        <v>4.6386700000000003</v>
      </c>
    </row>
    <row r="341" spans="1:1" x14ac:dyDescent="0.15">
      <c r="A341">
        <v>4</v>
      </c>
    </row>
    <row r="342" spans="1:1" x14ac:dyDescent="0.15">
      <c r="A342">
        <v>4</v>
      </c>
    </row>
    <row r="343" spans="1:1" x14ac:dyDescent="0.15">
      <c r="A343">
        <v>4.25</v>
      </c>
    </row>
    <row r="344" spans="1:1" x14ac:dyDescent="0.15">
      <c r="A344">
        <v>4.25</v>
      </c>
    </row>
    <row r="345" spans="1:1" x14ac:dyDescent="0.15">
      <c r="A345">
        <v>4.6618599999999999</v>
      </c>
    </row>
    <row r="346" spans="1:1" x14ac:dyDescent="0.15">
      <c r="A346">
        <v>4.23339</v>
      </c>
    </row>
    <row r="347" spans="1:1" x14ac:dyDescent="0.15">
      <c r="A347">
        <v>4</v>
      </c>
    </row>
    <row r="348" spans="1:1" x14ac:dyDescent="0.15">
      <c r="A348">
        <v>4</v>
      </c>
    </row>
    <row r="349" spans="1:1" x14ac:dyDescent="0.15">
      <c r="A349">
        <v>4.25</v>
      </c>
    </row>
    <row r="350" spans="1:1" x14ac:dyDescent="0.15">
      <c r="A350">
        <v>5.5</v>
      </c>
    </row>
    <row r="351" spans="1:1" x14ac:dyDescent="0.15">
      <c r="A351">
        <v>5.5</v>
      </c>
    </row>
    <row r="352" spans="1:1" x14ac:dyDescent="0.15">
      <c r="A352">
        <v>5.35</v>
      </c>
    </row>
    <row r="353" spans="1:1" x14ac:dyDescent="0.15">
      <c r="A353">
        <v>5.35</v>
      </c>
    </row>
    <row r="354" spans="1:1" x14ac:dyDescent="0.15">
      <c r="A354">
        <v>5.35</v>
      </c>
    </row>
    <row r="355" spans="1:1" x14ac:dyDescent="0.15">
      <c r="A355">
        <v>5.15</v>
      </c>
    </row>
    <row r="356" spans="1:1" x14ac:dyDescent="0.15">
      <c r="A356">
        <v>5.15</v>
      </c>
    </row>
    <row r="357" spans="1:1" x14ac:dyDescent="0.15">
      <c r="A357">
        <v>4.7</v>
      </c>
    </row>
    <row r="358" spans="1:1" x14ac:dyDescent="0.15">
      <c r="A358">
        <v>5.35</v>
      </c>
    </row>
    <row r="359" spans="1:1" x14ac:dyDescent="0.15">
      <c r="A359">
        <v>4.46</v>
      </c>
    </row>
    <row r="360" spans="1:1" x14ac:dyDescent="0.15">
      <c r="A360">
        <v>4.99688</v>
      </c>
    </row>
    <row r="361" spans="1:1" x14ac:dyDescent="0.15">
      <c r="A361">
        <v>4.99688</v>
      </c>
    </row>
    <row r="362" spans="1:1" x14ac:dyDescent="0.15">
      <c r="A362">
        <v>4.99688</v>
      </c>
    </row>
    <row r="363" spans="1:1" x14ac:dyDescent="0.15">
      <c r="A363">
        <v>4.0198099999999997</v>
      </c>
    </row>
    <row r="364" spans="1:1" x14ac:dyDescent="0.15">
      <c r="A364">
        <v>4.0198099999999997</v>
      </c>
    </row>
    <row r="365" spans="1:1" x14ac:dyDescent="0.15">
      <c r="A365">
        <v>4.6386700000000003</v>
      </c>
    </row>
    <row r="366" spans="1:1" x14ac:dyDescent="0.15">
      <c r="A366">
        <v>4.6386700000000003</v>
      </c>
    </row>
    <row r="367" spans="1:1" x14ac:dyDescent="0.15">
      <c r="A367">
        <v>4.6386700000000003</v>
      </c>
    </row>
    <row r="368" spans="1:1" x14ac:dyDescent="0.15">
      <c r="A368">
        <v>4.6386700000000003</v>
      </c>
    </row>
    <row r="369" spans="1:1" x14ac:dyDescent="0.15">
      <c r="A369">
        <v>4.6386700000000003</v>
      </c>
    </row>
    <row r="370" spans="1:1" x14ac:dyDescent="0.15">
      <c r="A370">
        <v>4.6386700000000003</v>
      </c>
    </row>
    <row r="371" spans="1:1" x14ac:dyDescent="0.15">
      <c r="A371">
        <v>4.6386700000000003</v>
      </c>
    </row>
    <row r="372" spans="1:1" x14ac:dyDescent="0.15">
      <c r="A372">
        <v>4</v>
      </c>
    </row>
    <row r="373" spans="1:1" x14ac:dyDescent="0.15">
      <c r="A373">
        <v>4.25</v>
      </c>
    </row>
    <row r="374" spans="1:1" x14ac:dyDescent="0.15">
      <c r="A374">
        <v>4.6386700000000003</v>
      </c>
    </row>
    <row r="375" spans="1:1" x14ac:dyDescent="0.15">
      <c r="A375">
        <v>4.6386700000000003</v>
      </c>
    </row>
    <row r="376" spans="1:1" x14ac:dyDescent="0.15">
      <c r="A376">
        <v>4.6386700000000003</v>
      </c>
    </row>
    <row r="377" spans="1:1" x14ac:dyDescent="0.15">
      <c r="A377">
        <v>4.6386700000000003</v>
      </c>
    </row>
    <row r="378" spans="1:1" x14ac:dyDescent="0.15">
      <c r="A378">
        <v>4.6386700000000003</v>
      </c>
    </row>
    <row r="379" spans="1:1" x14ac:dyDescent="0.15">
      <c r="A379">
        <v>4.6386700000000003</v>
      </c>
    </row>
    <row r="380" spans="1:1" x14ac:dyDescent="0.15">
      <c r="A380">
        <v>4.6386700000000003</v>
      </c>
    </row>
    <row r="381" spans="1:1" x14ac:dyDescent="0.15">
      <c r="A381">
        <v>4.6386700000000003</v>
      </c>
    </row>
    <row r="382" spans="1:1" x14ac:dyDescent="0.15">
      <c r="A382">
        <v>6</v>
      </c>
    </row>
    <row r="383" spans="1:1" x14ac:dyDescent="0.15">
      <c r="A383">
        <v>6</v>
      </c>
    </row>
    <row r="384" spans="1:1" x14ac:dyDescent="0.15">
      <c r="A384">
        <v>4.6386700000000003</v>
      </c>
    </row>
    <row r="385" spans="1:1" x14ac:dyDescent="0.15">
      <c r="A385">
        <v>4.6386700000000003</v>
      </c>
    </row>
    <row r="386" spans="1:1" x14ac:dyDescent="0.15">
      <c r="A386">
        <v>4.6221100000000002</v>
      </c>
    </row>
    <row r="387" spans="1:1" x14ac:dyDescent="0.15">
      <c r="A387">
        <v>4.6640600000000001</v>
      </c>
    </row>
    <row r="388" spans="1:1" x14ac:dyDescent="0.15">
      <c r="A388">
        <v>4.6386700000000003</v>
      </c>
    </row>
    <row r="389" spans="1:1" x14ac:dyDescent="0.15">
      <c r="A389">
        <v>4.6640600000000001</v>
      </c>
    </row>
    <row r="390" spans="1:1" x14ac:dyDescent="0.15">
      <c r="A390">
        <v>4.6386700000000003</v>
      </c>
    </row>
    <row r="391" spans="1:1" x14ac:dyDescent="0.15">
      <c r="A391">
        <v>4.6386700000000003</v>
      </c>
    </row>
    <row r="392" spans="1:1" x14ac:dyDescent="0.15">
      <c r="A392">
        <v>4.6640600000000001</v>
      </c>
    </row>
    <row r="393" spans="1:1" x14ac:dyDescent="0.15">
      <c r="A393">
        <v>4.6640600000000001</v>
      </c>
    </row>
    <row r="394" spans="1:1" x14ac:dyDescent="0.15">
      <c r="A394">
        <v>4.6640600000000001</v>
      </c>
    </row>
    <row r="395" spans="1:1" x14ac:dyDescent="0.15">
      <c r="A395">
        <v>4.99688</v>
      </c>
    </row>
    <row r="396" spans="1:1" x14ac:dyDescent="0.15">
      <c r="A396">
        <v>4.99688</v>
      </c>
    </row>
    <row r="397" spans="1:1" x14ac:dyDescent="0.15">
      <c r="A397">
        <v>4.0198099999999997</v>
      </c>
    </row>
    <row r="398" spans="1:1" x14ac:dyDescent="0.15">
      <c r="A398">
        <v>4.0198099999999997</v>
      </c>
    </row>
    <row r="399" spans="1:1" x14ac:dyDescent="0.15">
      <c r="A399">
        <v>5.25</v>
      </c>
    </row>
    <row r="400" spans="1:1" x14ac:dyDescent="0.15">
      <c r="A400">
        <v>5.02407</v>
      </c>
    </row>
    <row r="401" spans="1:1" x14ac:dyDescent="0.15">
      <c r="A401">
        <v>5</v>
      </c>
    </row>
    <row r="402" spans="1:1" x14ac:dyDescent="0.15">
      <c r="A402">
        <v>4.5</v>
      </c>
    </row>
    <row r="403" spans="1:1" x14ac:dyDescent="0.15">
      <c r="A403">
        <v>5.3725699999999996</v>
      </c>
    </row>
    <row r="404" spans="1:1" x14ac:dyDescent="0.15">
      <c r="A404">
        <v>5.0481400000000001</v>
      </c>
    </row>
    <row r="405" spans="1:1" x14ac:dyDescent="0.15">
      <c r="A405">
        <v>5.25</v>
      </c>
    </row>
    <row r="406" spans="1:1" x14ac:dyDescent="0.15">
      <c r="A406">
        <v>4.9689399999999999</v>
      </c>
    </row>
    <row r="407" spans="1:1" x14ac:dyDescent="0.15">
      <c r="A407">
        <v>4.5241899999999999</v>
      </c>
    </row>
    <row r="408" spans="1:1" x14ac:dyDescent="0.15">
      <c r="A408">
        <v>4.9689399999999999</v>
      </c>
    </row>
    <row r="409" spans="1:1" x14ac:dyDescent="0.15">
      <c r="A409">
        <v>4.5724099999999996</v>
      </c>
    </row>
    <row r="410" spans="1:1" x14ac:dyDescent="0.15">
      <c r="A410">
        <v>4.5</v>
      </c>
    </row>
    <row r="411" spans="1:1" x14ac:dyDescent="0.15">
      <c r="A411">
        <v>5.25</v>
      </c>
    </row>
    <row r="412" spans="1:1" x14ac:dyDescent="0.15">
      <c r="A412">
        <v>5.5241400000000001</v>
      </c>
    </row>
    <row r="413" spans="1:1" x14ac:dyDescent="0.15">
      <c r="A413">
        <v>5.5241400000000001</v>
      </c>
    </row>
    <row r="414" spans="1:1" x14ac:dyDescent="0.15">
      <c r="A414">
        <v>4.25</v>
      </c>
    </row>
    <row r="415" spans="1:1" x14ac:dyDescent="0.15">
      <c r="A415">
        <v>4</v>
      </c>
    </row>
    <row r="416" spans="1:1" x14ac:dyDescent="0.15">
      <c r="A416">
        <v>4</v>
      </c>
    </row>
    <row r="417" spans="1:1" x14ac:dyDescent="0.15">
      <c r="A417">
        <v>4</v>
      </c>
    </row>
    <row r="418" spans="1:1" x14ac:dyDescent="0.15">
      <c r="A418">
        <v>4</v>
      </c>
    </row>
    <row r="419" spans="1:1" x14ac:dyDescent="0.15">
      <c r="A419">
        <v>4.23339</v>
      </c>
    </row>
    <row r="420" spans="1:1" x14ac:dyDescent="0.15">
      <c r="A420">
        <v>4</v>
      </c>
    </row>
    <row r="421" spans="1:1" x14ac:dyDescent="0.15">
      <c r="A421">
        <v>4</v>
      </c>
    </row>
    <row r="422" spans="1:1" x14ac:dyDescent="0.15">
      <c r="A422">
        <v>6</v>
      </c>
    </row>
    <row r="423" spans="1:1" x14ac:dyDescent="0.15">
      <c r="A423">
        <v>6</v>
      </c>
    </row>
    <row r="424" spans="1:1" x14ac:dyDescent="0.15">
      <c r="A424">
        <v>6</v>
      </c>
    </row>
    <row r="425" spans="1:1" x14ac:dyDescent="0.15">
      <c r="A425">
        <v>5</v>
      </c>
    </row>
    <row r="426" spans="1:1" x14ac:dyDescent="0.15">
      <c r="A426">
        <v>5</v>
      </c>
    </row>
    <row r="427" spans="1:1" x14ac:dyDescent="0.15">
      <c r="A427">
        <v>4.75</v>
      </c>
    </row>
    <row r="428" spans="1:1" x14ac:dyDescent="0.15">
      <c r="A428">
        <v>4.75</v>
      </c>
    </row>
    <row r="429" spans="1:1" x14ac:dyDescent="0.15">
      <c r="A429">
        <v>4.5</v>
      </c>
    </row>
    <row r="430" spans="1:1" x14ac:dyDescent="0.15">
      <c r="A430">
        <v>4.5</v>
      </c>
    </row>
    <row r="431" spans="1:1" x14ac:dyDescent="0.15">
      <c r="A431">
        <v>4.5</v>
      </c>
    </row>
    <row r="432" spans="1:1" x14ac:dyDescent="0.15">
      <c r="A432">
        <v>4.5</v>
      </c>
    </row>
    <row r="433" spans="1:1" x14ac:dyDescent="0.15">
      <c r="A433">
        <v>5.0485300000000004</v>
      </c>
    </row>
    <row r="434" spans="1:1" x14ac:dyDescent="0.15">
      <c r="A434">
        <v>4.6448700000000001</v>
      </c>
    </row>
    <row r="435" spans="1:1" x14ac:dyDescent="0.15">
      <c r="A435">
        <v>4.4296800000000003</v>
      </c>
    </row>
    <row r="436" spans="1:1" x14ac:dyDescent="0.15">
      <c r="A436">
        <v>4.75</v>
      </c>
    </row>
    <row r="437" spans="1:1" x14ac:dyDescent="0.15">
      <c r="A437">
        <v>4.75</v>
      </c>
    </row>
    <row r="438" spans="1:1" x14ac:dyDescent="0.15">
      <c r="A438">
        <v>4.5</v>
      </c>
    </row>
    <row r="439" spans="1:1" x14ac:dyDescent="0.15">
      <c r="A439">
        <v>4.5</v>
      </c>
    </row>
    <row r="440" spans="1:1" x14ac:dyDescent="0.15">
      <c r="A440">
        <v>5</v>
      </c>
    </row>
    <row r="441" spans="1:1" x14ac:dyDescent="0.15">
      <c r="A441">
        <v>4.25</v>
      </c>
    </row>
    <row r="442" spans="1:1" x14ac:dyDescent="0.15">
      <c r="A442">
        <v>5.5</v>
      </c>
    </row>
    <row r="443" spans="1:1" x14ac:dyDescent="0.15">
      <c r="A443">
        <v>5.25</v>
      </c>
    </row>
    <row r="444" spans="1:1" x14ac:dyDescent="0.15">
      <c r="A444">
        <v>5</v>
      </c>
    </row>
    <row r="445" spans="1:1" x14ac:dyDescent="0.15">
      <c r="A445">
        <v>4</v>
      </c>
    </row>
    <row r="446" spans="1:1" x14ac:dyDescent="0.15">
      <c r="A446">
        <v>4.2239500000000003</v>
      </c>
    </row>
    <row r="447" spans="1:1" x14ac:dyDescent="0.15">
      <c r="A447">
        <v>4</v>
      </c>
    </row>
    <row r="448" spans="1:1" x14ac:dyDescent="0.15">
      <c r="A448">
        <v>4</v>
      </c>
    </row>
    <row r="449" spans="1:1" x14ac:dyDescent="0.15">
      <c r="A449">
        <v>5</v>
      </c>
    </row>
    <row r="450" spans="1:1" x14ac:dyDescent="0.15">
      <c r="A450">
        <v>5</v>
      </c>
    </row>
    <row r="451" spans="1:1" x14ac:dyDescent="0.15">
      <c r="A451">
        <v>5</v>
      </c>
    </row>
    <row r="452" spans="1:1" x14ac:dyDescent="0.15">
      <c r="A452">
        <v>5</v>
      </c>
    </row>
    <row r="453" spans="1:1" x14ac:dyDescent="0.15">
      <c r="A453">
        <v>5</v>
      </c>
    </row>
    <row r="454" spans="1:1" x14ac:dyDescent="0.15">
      <c r="A454">
        <v>5.75</v>
      </c>
    </row>
    <row r="455" spans="1:1" x14ac:dyDescent="0.15">
      <c r="A455">
        <v>5.3940599999999996</v>
      </c>
    </row>
    <row r="456" spans="1:1" x14ac:dyDescent="0.15">
      <c r="A456">
        <v>5.1441299999999996</v>
      </c>
    </row>
    <row r="457" spans="1:1" x14ac:dyDescent="0.15">
      <c r="A457">
        <v>4.99688</v>
      </c>
    </row>
    <row r="458" spans="1:1" x14ac:dyDescent="0.15">
      <c r="A458">
        <v>4.0198099999999997</v>
      </c>
    </row>
    <row r="459" spans="1:1" x14ac:dyDescent="0.15">
      <c r="A459">
        <v>4.0198099999999997</v>
      </c>
    </row>
    <row r="460" spans="1:1" x14ac:dyDescent="0.15">
      <c r="A460">
        <v>5.2742000000000004</v>
      </c>
    </row>
    <row r="461" spans="1:1" x14ac:dyDescent="0.15">
      <c r="A461">
        <v>5.1564500000000004</v>
      </c>
    </row>
    <row r="462" spans="1:1" x14ac:dyDescent="0.15">
      <c r="A462">
        <v>5</v>
      </c>
    </row>
    <row r="463" spans="1:1" x14ac:dyDescent="0.15">
      <c r="A463">
        <v>4.25</v>
      </c>
    </row>
    <row r="464" spans="1:1" x14ac:dyDescent="0.15">
      <c r="A464">
        <v>4.99688</v>
      </c>
    </row>
    <row r="465" spans="1:1" x14ac:dyDescent="0.15">
      <c r="A465">
        <v>4.0198099999999997</v>
      </c>
    </row>
    <row r="466" spans="1:1" x14ac:dyDescent="0.15">
      <c r="A466">
        <v>4.0198099999999997</v>
      </c>
    </row>
    <row r="467" spans="1:1" x14ac:dyDescent="0.15">
      <c r="A467">
        <v>4.23339</v>
      </c>
    </row>
    <row r="468" spans="1:1" x14ac:dyDescent="0.15">
      <c r="A468">
        <v>4</v>
      </c>
    </row>
    <row r="469" spans="1:1" x14ac:dyDescent="0.15">
      <c r="A469">
        <v>4</v>
      </c>
    </row>
    <row r="470" spans="1:1" x14ac:dyDescent="0.15">
      <c r="A470">
        <v>6</v>
      </c>
    </row>
    <row r="471" spans="1:1" x14ac:dyDescent="0.15">
      <c r="A471">
        <v>5</v>
      </c>
    </row>
    <row r="472" spans="1:1" x14ac:dyDescent="0.15">
      <c r="A472">
        <v>5</v>
      </c>
    </row>
    <row r="473" spans="1:1" x14ac:dyDescent="0.15">
      <c r="A473">
        <v>4.25</v>
      </c>
    </row>
    <row r="474" spans="1:1" x14ac:dyDescent="0.15">
      <c r="A474">
        <v>4.25</v>
      </c>
    </row>
    <row r="475" spans="1:1" x14ac:dyDescent="0.15">
      <c r="A475">
        <v>5.5</v>
      </c>
    </row>
    <row r="476" spans="1:1" x14ac:dyDescent="0.15">
      <c r="A476">
        <v>4.25</v>
      </c>
    </row>
    <row r="477" spans="1:1" x14ac:dyDescent="0.15">
      <c r="A477">
        <v>4.6266699999999998</v>
      </c>
    </row>
    <row r="478" spans="1:1" x14ac:dyDescent="0.15">
      <c r="A478">
        <v>5</v>
      </c>
    </row>
    <row r="479" spans="1:1" x14ac:dyDescent="0.15">
      <c r="A479">
        <v>5</v>
      </c>
    </row>
    <row r="480" spans="1:1" x14ac:dyDescent="0.15">
      <c r="A480">
        <v>4.75</v>
      </c>
    </row>
    <row r="481" spans="1:1" x14ac:dyDescent="0.15">
      <c r="A481">
        <v>4.75</v>
      </c>
    </row>
    <row r="482" spans="1:1" x14ac:dyDescent="0.15">
      <c r="A482">
        <v>4.9000000000000004</v>
      </c>
    </row>
    <row r="483" spans="1:1" x14ac:dyDescent="0.15">
      <c r="A483">
        <v>5</v>
      </c>
    </row>
    <row r="484" spans="1:1" x14ac:dyDescent="0.15">
      <c r="A484">
        <v>5</v>
      </c>
    </row>
    <row r="485" spans="1:1" x14ac:dyDescent="0.15">
      <c r="A485">
        <v>5</v>
      </c>
    </row>
    <row r="486" spans="1:1" x14ac:dyDescent="0.15">
      <c r="A486">
        <v>5</v>
      </c>
    </row>
    <row r="487" spans="1:1" x14ac:dyDescent="0.15">
      <c r="A487">
        <v>5</v>
      </c>
    </row>
    <row r="488" spans="1:1" x14ac:dyDescent="0.15">
      <c r="A488">
        <v>5</v>
      </c>
    </row>
    <row r="489" spans="1:1" x14ac:dyDescent="0.15">
      <c r="A489">
        <v>5.7172999999999998</v>
      </c>
    </row>
    <row r="490" spans="1:1" x14ac:dyDescent="0.15">
      <c r="A490">
        <v>5.2421800000000003</v>
      </c>
    </row>
    <row r="491" spans="1:1" x14ac:dyDescent="0.15">
      <c r="A491">
        <v>4.6386700000000003</v>
      </c>
    </row>
    <row r="492" spans="1:1" x14ac:dyDescent="0.15">
      <c r="A492">
        <v>4.6386700000000003</v>
      </c>
    </row>
    <row r="493" spans="1:1" x14ac:dyDescent="0.15">
      <c r="A493">
        <v>4.6386700000000003</v>
      </c>
    </row>
    <row r="494" spans="1:1" x14ac:dyDescent="0.15">
      <c r="A494">
        <v>4.25</v>
      </c>
    </row>
    <row r="495" spans="1:1" x14ac:dyDescent="0.15">
      <c r="A495">
        <v>4.25</v>
      </c>
    </row>
    <row r="496" spans="1:1" x14ac:dyDescent="0.15">
      <c r="A496">
        <v>4.25</v>
      </c>
    </row>
    <row r="497" spans="1:1" x14ac:dyDescent="0.15">
      <c r="A497">
        <v>4.25</v>
      </c>
    </row>
    <row r="498" spans="1:1" x14ac:dyDescent="0.15">
      <c r="A498">
        <v>4.2984099999999996</v>
      </c>
    </row>
    <row r="499" spans="1:1" x14ac:dyDescent="0.15">
      <c r="A499">
        <v>4.2984099999999996</v>
      </c>
    </row>
    <row r="500" spans="1:1" x14ac:dyDescent="0.15">
      <c r="A500">
        <v>4.2984099999999996</v>
      </c>
    </row>
    <row r="501" spans="1:1" x14ac:dyDescent="0.15">
      <c r="A501">
        <v>5.25</v>
      </c>
    </row>
    <row r="502" spans="1:1" x14ac:dyDescent="0.15">
      <c r="A502">
        <v>5.25</v>
      </c>
    </row>
    <row r="503" spans="1:1" x14ac:dyDescent="0.15">
      <c r="A503">
        <v>4.23339</v>
      </c>
    </row>
    <row r="504" spans="1:1" x14ac:dyDescent="0.15">
      <c r="A504">
        <v>4</v>
      </c>
    </row>
    <row r="505" spans="1:1" x14ac:dyDescent="0.15">
      <c r="A505">
        <v>4</v>
      </c>
    </row>
    <row r="506" spans="1:1" x14ac:dyDescent="0.15">
      <c r="A506">
        <v>4.6579899999999999</v>
      </c>
    </row>
    <row r="507" spans="1:1" x14ac:dyDescent="0.15">
      <c r="A507">
        <v>4</v>
      </c>
    </row>
    <row r="508" spans="1:1" x14ac:dyDescent="0.15">
      <c r="A508">
        <v>4</v>
      </c>
    </row>
    <row r="509" spans="1:1" x14ac:dyDescent="0.15">
      <c r="A509">
        <v>5</v>
      </c>
    </row>
    <row r="510" spans="1:1" x14ac:dyDescent="0.15">
      <c r="A510">
        <v>4.5</v>
      </c>
    </row>
    <row r="511" spans="1:1" x14ac:dyDescent="0.15">
      <c r="A511">
        <v>4.9000000000000004</v>
      </c>
    </row>
    <row r="512" spans="1:1" x14ac:dyDescent="0.15">
      <c r="A512">
        <v>4.5</v>
      </c>
    </row>
    <row r="513" spans="1:1" x14ac:dyDescent="0.15">
      <c r="A513">
        <v>4.5</v>
      </c>
    </row>
    <row r="514" spans="1:1" x14ac:dyDescent="0.15">
      <c r="A514">
        <v>4.5</v>
      </c>
    </row>
    <row r="515" spans="1:1" x14ac:dyDescent="0.15">
      <c r="A515">
        <v>4.79826</v>
      </c>
    </row>
    <row r="516" spans="1:1" x14ac:dyDescent="0.15">
      <c r="A516">
        <v>5.6309500000000003</v>
      </c>
    </row>
    <row r="517" spans="1:1" x14ac:dyDescent="0.15">
      <c r="A517">
        <v>4.6386700000000003</v>
      </c>
    </row>
    <row r="518" spans="1:1" x14ac:dyDescent="0.15">
      <c r="A518">
        <v>4.6386700000000003</v>
      </c>
    </row>
    <row r="519" spans="1:1" x14ac:dyDescent="0.15">
      <c r="A519">
        <v>4.25</v>
      </c>
    </row>
    <row r="520" spans="1:1" x14ac:dyDescent="0.15">
      <c r="A520">
        <v>4.25</v>
      </c>
    </row>
    <row r="521" spans="1:1" x14ac:dyDescent="0.15">
      <c r="A521">
        <v>4.25</v>
      </c>
    </row>
    <row r="522" spans="1:1" x14ac:dyDescent="0.15">
      <c r="A522">
        <v>4.25</v>
      </c>
    </row>
    <row r="523" spans="1:1" x14ac:dyDescent="0.15">
      <c r="A523">
        <v>4.2984099999999996</v>
      </c>
    </row>
    <row r="524" spans="1:1" x14ac:dyDescent="0.15">
      <c r="A524">
        <v>4.2984099999999996</v>
      </c>
    </row>
    <row r="525" spans="1:1" x14ac:dyDescent="0.15">
      <c r="A525">
        <v>4.2984099999999996</v>
      </c>
    </row>
    <row r="526" spans="1:1" x14ac:dyDescent="0.15">
      <c r="A526">
        <v>4.5167999999999999</v>
      </c>
    </row>
    <row r="527" spans="1:1" x14ac:dyDescent="0.15">
      <c r="A527">
        <v>4</v>
      </c>
    </row>
    <row r="528" spans="1:1" x14ac:dyDescent="0.15">
      <c r="A528">
        <v>5</v>
      </c>
    </row>
    <row r="529" spans="1:1" x14ac:dyDescent="0.15">
      <c r="A529">
        <v>5</v>
      </c>
    </row>
    <row r="530" spans="1:1" x14ac:dyDescent="0.15">
      <c r="A530">
        <v>5</v>
      </c>
    </row>
    <row r="531" spans="1:1" x14ac:dyDescent="0.15">
      <c r="A531">
        <v>4.75</v>
      </c>
    </row>
    <row r="532" spans="1:1" x14ac:dyDescent="0.15">
      <c r="A532">
        <v>4.4211799999999997</v>
      </c>
    </row>
    <row r="533" spans="1:1" x14ac:dyDescent="0.15">
      <c r="A533">
        <v>4.4211799999999997</v>
      </c>
    </row>
    <row r="534" spans="1:1" x14ac:dyDescent="0.15">
      <c r="A534">
        <v>5</v>
      </c>
    </row>
    <row r="535" spans="1:1" x14ac:dyDescent="0.15">
      <c r="A535">
        <v>5</v>
      </c>
    </row>
    <row r="536" spans="1:1" x14ac:dyDescent="0.15">
      <c r="A536">
        <v>5</v>
      </c>
    </row>
    <row r="537" spans="1:1" x14ac:dyDescent="0.15">
      <c r="A537">
        <v>4</v>
      </c>
    </row>
    <row r="538" spans="1:1" x14ac:dyDescent="0.15">
      <c r="A538">
        <v>4</v>
      </c>
    </row>
    <row r="539" spans="1:1" x14ac:dyDescent="0.15">
      <c r="A539">
        <v>4.5</v>
      </c>
    </row>
    <row r="540" spans="1:1" x14ac:dyDescent="0.15">
      <c r="A540">
        <v>6</v>
      </c>
    </row>
    <row r="541" spans="1:1" x14ac:dyDescent="0.15">
      <c r="A541">
        <v>5</v>
      </c>
    </row>
    <row r="542" spans="1:1" x14ac:dyDescent="0.15">
      <c r="A542">
        <v>4.75</v>
      </c>
    </row>
    <row r="543" spans="1:1" x14ac:dyDescent="0.15">
      <c r="A543">
        <v>4.5</v>
      </c>
    </row>
    <row r="544" spans="1:1" x14ac:dyDescent="0.15">
      <c r="A544">
        <v>5</v>
      </c>
    </row>
    <row r="545" spans="1:1" x14ac:dyDescent="0.15">
      <c r="A545">
        <v>5</v>
      </c>
    </row>
    <row r="546" spans="1:1" x14ac:dyDescent="0.15">
      <c r="A546">
        <v>5</v>
      </c>
    </row>
    <row r="547" spans="1:1" x14ac:dyDescent="0.15">
      <c r="A547">
        <v>5</v>
      </c>
    </row>
    <row r="548" spans="1:1" x14ac:dyDescent="0.15">
      <c r="A548">
        <v>5</v>
      </c>
    </row>
    <row r="549" spans="1:1" x14ac:dyDescent="0.15">
      <c r="A549">
        <v>5.0485300000000004</v>
      </c>
    </row>
    <row r="550" spans="1:1" x14ac:dyDescent="0.15">
      <c r="A550">
        <v>4.75</v>
      </c>
    </row>
    <row r="551" spans="1:1" x14ac:dyDescent="0.15">
      <c r="A551">
        <v>4.5</v>
      </c>
    </row>
    <row r="552" spans="1:1" x14ac:dyDescent="0.15">
      <c r="A552">
        <v>5</v>
      </c>
    </row>
    <row r="553" spans="1:1" x14ac:dyDescent="0.15">
      <c r="A553">
        <v>4.75</v>
      </c>
    </row>
    <row r="554" spans="1:1" x14ac:dyDescent="0.15">
      <c r="A554">
        <v>4</v>
      </c>
    </row>
    <row r="555" spans="1:1" x14ac:dyDescent="0.15">
      <c r="A555">
        <v>5</v>
      </c>
    </row>
    <row r="556" spans="1:1" x14ac:dyDescent="0.15">
      <c r="A556">
        <v>5</v>
      </c>
    </row>
    <row r="557" spans="1:1" x14ac:dyDescent="0.15">
      <c r="A557">
        <v>4.75</v>
      </c>
    </row>
    <row r="558" spans="1:1" x14ac:dyDescent="0.15">
      <c r="A558">
        <v>4.75</v>
      </c>
    </row>
    <row r="559" spans="1:1" x14ac:dyDescent="0.15">
      <c r="A559">
        <v>4.5</v>
      </c>
    </row>
    <row r="560" spans="1:1" x14ac:dyDescent="0.15">
      <c r="A560">
        <v>4.5</v>
      </c>
    </row>
    <row r="561" spans="1:1" x14ac:dyDescent="0.15">
      <c r="A561">
        <v>4.5</v>
      </c>
    </row>
    <row r="562" spans="1:1" x14ac:dyDescent="0.15">
      <c r="A562">
        <v>4.5</v>
      </c>
    </row>
    <row r="563" spans="1:1" x14ac:dyDescent="0.15">
      <c r="A563">
        <v>4.5</v>
      </c>
    </row>
    <row r="564" spans="1:1" x14ac:dyDescent="0.15">
      <c r="A564">
        <v>4.5</v>
      </c>
    </row>
    <row r="565" spans="1:1" x14ac:dyDescent="0.15">
      <c r="A565">
        <v>4.99688</v>
      </c>
    </row>
    <row r="566" spans="1:1" x14ac:dyDescent="0.15">
      <c r="A566">
        <v>4.0198099999999997</v>
      </c>
    </row>
    <row r="567" spans="1:1" x14ac:dyDescent="0.15">
      <c r="A567">
        <v>4.0198099999999997</v>
      </c>
    </row>
    <row r="568" spans="1:1" x14ac:dyDescent="0.15">
      <c r="A568">
        <v>4.1500000000000004</v>
      </c>
    </row>
    <row r="569" spans="1:1" x14ac:dyDescent="0.15">
      <c r="A569">
        <v>4.1500000000000004</v>
      </c>
    </row>
    <row r="570" spans="1:1" x14ac:dyDescent="0.15">
      <c r="A570">
        <v>4.1500000000000004</v>
      </c>
    </row>
    <row r="571" spans="1:1" x14ac:dyDescent="0.15">
      <c r="A571">
        <v>4.1500000000000004</v>
      </c>
    </row>
    <row r="572" spans="1:1" x14ac:dyDescent="0.15">
      <c r="A572">
        <v>4</v>
      </c>
    </row>
    <row r="573" spans="1:1" x14ac:dyDescent="0.15">
      <c r="A573">
        <v>4.25</v>
      </c>
    </row>
    <row r="574" spans="1:1" x14ac:dyDescent="0.15">
      <c r="A574">
        <v>6.7</v>
      </c>
    </row>
    <row r="575" spans="1:1" x14ac:dyDescent="0.15">
      <c r="A575">
        <v>6.2</v>
      </c>
    </row>
    <row r="576" spans="1:1" x14ac:dyDescent="0.15">
      <c r="A576">
        <v>6.3</v>
      </c>
    </row>
    <row r="577" spans="1:1" x14ac:dyDescent="0.15">
      <c r="A577">
        <v>6</v>
      </c>
    </row>
    <row r="578" spans="1:1" x14ac:dyDescent="0.15">
      <c r="A578">
        <v>6</v>
      </c>
    </row>
    <row r="579" spans="1:1" x14ac:dyDescent="0.15">
      <c r="A579">
        <v>4</v>
      </c>
    </row>
    <row r="580" spans="1:1" x14ac:dyDescent="0.15">
      <c r="A580">
        <v>4.5</v>
      </c>
    </row>
    <row r="581" spans="1:1" x14ac:dyDescent="0.15">
      <c r="A581">
        <v>5</v>
      </c>
    </row>
    <row r="582" spans="1:1" x14ac:dyDescent="0.15">
      <c r="A582">
        <v>5</v>
      </c>
    </row>
    <row r="583" spans="1:1" x14ac:dyDescent="0.15">
      <c r="A583">
        <v>4.5</v>
      </c>
    </row>
    <row r="584" spans="1:1" x14ac:dyDescent="0.15">
      <c r="A584">
        <v>4.25</v>
      </c>
    </row>
    <row r="585" spans="1:1" x14ac:dyDescent="0.15">
      <c r="A585">
        <v>4.5</v>
      </c>
    </row>
    <row r="586" spans="1:1" x14ac:dyDescent="0.15">
      <c r="A586">
        <v>4.5</v>
      </c>
    </row>
    <row r="587" spans="1:1" x14ac:dyDescent="0.15">
      <c r="A587">
        <v>4</v>
      </c>
    </row>
    <row r="588" spans="1:1" x14ac:dyDescent="0.15">
      <c r="A588">
        <v>4</v>
      </c>
    </row>
    <row r="589" spans="1:1" x14ac:dyDescent="0.15">
      <c r="A589">
        <v>4.5</v>
      </c>
    </row>
    <row r="590" spans="1:1" x14ac:dyDescent="0.15">
      <c r="A590">
        <v>4.4194399999999998</v>
      </c>
    </row>
    <row r="591" spans="1:1" x14ac:dyDescent="0.15">
      <c r="A591">
        <v>4</v>
      </c>
    </row>
    <row r="592" spans="1:1" x14ac:dyDescent="0.15">
      <c r="A592">
        <v>4</v>
      </c>
    </row>
    <row r="593" spans="1:1" x14ac:dyDescent="0.15">
      <c r="A593">
        <v>4</v>
      </c>
    </row>
    <row r="594" spans="1:1" x14ac:dyDescent="0.15">
      <c r="A594">
        <v>4.7699999999999996</v>
      </c>
    </row>
    <row r="595" spans="1:1" x14ac:dyDescent="0.15">
      <c r="A595">
        <v>5.25</v>
      </c>
    </row>
    <row r="596" spans="1:1" x14ac:dyDescent="0.15">
      <c r="A596">
        <v>5.0484099999999996</v>
      </c>
    </row>
    <row r="597" spans="1:1" x14ac:dyDescent="0.15">
      <c r="A597">
        <v>4</v>
      </c>
    </row>
    <row r="598" spans="1:1" x14ac:dyDescent="0.15">
      <c r="A598">
        <v>4.7655900000000004</v>
      </c>
    </row>
    <row r="599" spans="1:1" x14ac:dyDescent="0.15">
      <c r="A599">
        <v>4.25</v>
      </c>
    </row>
    <row r="600" spans="1:1" x14ac:dyDescent="0.15">
      <c r="A600">
        <v>4.25</v>
      </c>
    </row>
    <row r="601" spans="1:1" x14ac:dyDescent="0.15">
      <c r="A601">
        <v>4.5</v>
      </c>
    </row>
    <row r="602" spans="1:1" x14ac:dyDescent="0.15">
      <c r="A602">
        <v>4.5</v>
      </c>
    </row>
    <row r="603" spans="1:1" x14ac:dyDescent="0.15">
      <c r="A603">
        <v>4</v>
      </c>
    </row>
    <row r="604" spans="1:1" x14ac:dyDescent="0.15">
      <c r="A604">
        <v>4</v>
      </c>
    </row>
    <row r="605" spans="1:1" x14ac:dyDescent="0.15">
      <c r="A605">
        <v>4</v>
      </c>
    </row>
    <row r="606" spans="1:1" x14ac:dyDescent="0.15">
      <c r="A606">
        <v>4</v>
      </c>
    </row>
    <row r="607" spans="1:1" x14ac:dyDescent="0.15">
      <c r="A607">
        <v>4</v>
      </c>
    </row>
    <row r="608" spans="1:1" x14ac:dyDescent="0.15">
      <c r="A608">
        <v>4.0198099999999997</v>
      </c>
    </row>
    <row r="609" spans="1:1" x14ac:dyDescent="0.15">
      <c r="A609">
        <v>4</v>
      </c>
    </row>
    <row r="610" spans="1:1" x14ac:dyDescent="0.15">
      <c r="A610">
        <v>4</v>
      </c>
    </row>
    <row r="611" spans="1:1" x14ac:dyDescent="0.15">
      <c r="A611">
        <v>4.5</v>
      </c>
    </row>
    <row r="612" spans="1:1" x14ac:dyDescent="0.15">
      <c r="A612">
        <v>5</v>
      </c>
    </row>
    <row r="613" spans="1:1" x14ac:dyDescent="0.15">
      <c r="A613">
        <v>5</v>
      </c>
    </row>
    <row r="614" spans="1:1" x14ac:dyDescent="0.15">
      <c r="A614">
        <v>5</v>
      </c>
    </row>
    <row r="615" spans="1:1" x14ac:dyDescent="0.15">
      <c r="A615">
        <v>5</v>
      </c>
    </row>
    <row r="616" spans="1:1" x14ac:dyDescent="0.15">
      <c r="A616">
        <v>5</v>
      </c>
    </row>
    <row r="617" spans="1:1" x14ac:dyDescent="0.15">
      <c r="A617">
        <v>5</v>
      </c>
    </row>
    <row r="618" spans="1:1" x14ac:dyDescent="0.15">
      <c r="A618">
        <v>5</v>
      </c>
    </row>
    <row r="619" spans="1:1" x14ac:dyDescent="0.15">
      <c r="A619">
        <v>5</v>
      </c>
    </row>
    <row r="620" spans="1:1" x14ac:dyDescent="0.15">
      <c r="A620">
        <v>5</v>
      </c>
    </row>
    <row r="621" spans="1:1" x14ac:dyDescent="0.15">
      <c r="A621">
        <v>5</v>
      </c>
    </row>
    <row r="622" spans="1:1" x14ac:dyDescent="0.15">
      <c r="A622">
        <v>5</v>
      </c>
    </row>
    <row r="623" spans="1:1" x14ac:dyDescent="0.15">
      <c r="A623">
        <v>5</v>
      </c>
    </row>
    <row r="624" spans="1:1" x14ac:dyDescent="0.15">
      <c r="A624">
        <v>4</v>
      </c>
    </row>
    <row r="625" spans="1:1" x14ac:dyDescent="0.15">
      <c r="A625">
        <v>4</v>
      </c>
    </row>
    <row r="626" spans="1:1" x14ac:dyDescent="0.15">
      <c r="A626">
        <v>4</v>
      </c>
    </row>
    <row r="627" spans="1:1" x14ac:dyDescent="0.15">
      <c r="A627">
        <v>4</v>
      </c>
    </row>
    <row r="628" spans="1:1" x14ac:dyDescent="0.15">
      <c r="A628">
        <v>4.4211799999999997</v>
      </c>
    </row>
    <row r="629" spans="1:1" x14ac:dyDescent="0.15">
      <c r="A629">
        <v>4.25</v>
      </c>
    </row>
    <row r="630" spans="1:1" x14ac:dyDescent="0.15">
      <c r="A630">
        <v>4.25</v>
      </c>
    </row>
    <row r="631" spans="1:1" x14ac:dyDescent="0.15">
      <c r="A631">
        <v>4.25</v>
      </c>
    </row>
    <row r="632" spans="1:1" x14ac:dyDescent="0.15">
      <c r="A632">
        <v>4.2984099999999996</v>
      </c>
    </row>
    <row r="633" spans="1:1" x14ac:dyDescent="0.15">
      <c r="A633">
        <v>4.2984099999999996</v>
      </c>
    </row>
    <row r="634" spans="1:1" x14ac:dyDescent="0.15">
      <c r="A634">
        <v>4.2984099999999996</v>
      </c>
    </row>
    <row r="635" spans="1:1" x14ac:dyDescent="0.15">
      <c r="A635">
        <v>4</v>
      </c>
    </row>
    <row r="636" spans="1:1" x14ac:dyDescent="0.15">
      <c r="A636">
        <v>5</v>
      </c>
    </row>
    <row r="637" spans="1:1" x14ac:dyDescent="0.15">
      <c r="A637">
        <v>4</v>
      </c>
    </row>
    <row r="638" spans="1:1" x14ac:dyDescent="0.15">
      <c r="A638">
        <v>4.25</v>
      </c>
    </row>
    <row r="639" spans="1:1" x14ac:dyDescent="0.15">
      <c r="A639">
        <v>4.25</v>
      </c>
    </row>
    <row r="640" spans="1:1" x14ac:dyDescent="0.15">
      <c r="A640">
        <v>4</v>
      </c>
    </row>
    <row r="641" spans="1:1" x14ac:dyDescent="0.15">
      <c r="A641">
        <v>5</v>
      </c>
    </row>
    <row r="642" spans="1:1" x14ac:dyDescent="0.15">
      <c r="A642">
        <v>4</v>
      </c>
    </row>
    <row r="643" spans="1:1" x14ac:dyDescent="0.15">
      <c r="A643">
        <v>4.0349399999999997</v>
      </c>
    </row>
    <row r="644" spans="1:1" x14ac:dyDescent="0.15">
      <c r="A644">
        <v>4.0349399999999997</v>
      </c>
    </row>
    <row r="645" spans="1:1" x14ac:dyDescent="0.15">
      <c r="A645">
        <v>4.0349399999999997</v>
      </c>
    </row>
    <row r="646" spans="1:1" x14ac:dyDescent="0.15">
      <c r="A646">
        <v>4.23339</v>
      </c>
    </row>
    <row r="647" spans="1:1" x14ac:dyDescent="0.15">
      <c r="A647">
        <v>4.23339</v>
      </c>
    </row>
    <row r="648" spans="1:1" x14ac:dyDescent="0.15">
      <c r="A648">
        <v>4.25</v>
      </c>
    </row>
    <row r="649" spans="1:1" x14ac:dyDescent="0.15">
      <c r="A649">
        <v>4.25</v>
      </c>
    </row>
    <row r="650" spans="1:1" x14ac:dyDescent="0.15">
      <c r="A650">
        <v>5</v>
      </c>
    </row>
    <row r="651" spans="1:1" x14ac:dyDescent="0.15">
      <c r="A651">
        <v>5</v>
      </c>
    </row>
    <row r="652" spans="1:1" x14ac:dyDescent="0.15">
      <c r="A652">
        <v>4</v>
      </c>
    </row>
    <row r="653" spans="1:1" x14ac:dyDescent="0.15">
      <c r="A653">
        <v>4</v>
      </c>
    </row>
    <row r="654" spans="1:1" x14ac:dyDescent="0.15">
      <c r="A654">
        <v>4</v>
      </c>
    </row>
    <row r="655" spans="1:1" x14ac:dyDescent="0.15">
      <c r="A655">
        <v>4</v>
      </c>
    </row>
    <row r="656" spans="1:1" x14ac:dyDescent="0.15">
      <c r="A656">
        <v>4</v>
      </c>
    </row>
    <row r="657" spans="1:1" x14ac:dyDescent="0.15">
      <c r="A657">
        <v>4</v>
      </c>
    </row>
    <row r="658" spans="1:1" x14ac:dyDescent="0.15">
      <c r="A658">
        <v>4</v>
      </c>
    </row>
    <row r="659" spans="1:1" x14ac:dyDescent="0.15">
      <c r="A659">
        <v>4</v>
      </c>
    </row>
    <row r="660" spans="1:1" x14ac:dyDescent="0.15">
      <c r="A660">
        <v>4</v>
      </c>
    </row>
    <row r="661" spans="1:1" x14ac:dyDescent="0.15">
      <c r="A661">
        <v>4</v>
      </c>
    </row>
    <row r="662" spans="1:1" x14ac:dyDescent="0.15">
      <c r="A662">
        <v>3.8924500000000002</v>
      </c>
    </row>
    <row r="663" spans="1:1" x14ac:dyDescent="0.15">
      <c r="A663">
        <v>4</v>
      </c>
    </row>
    <row r="664" spans="1:1" x14ac:dyDescent="0.15">
      <c r="A664">
        <v>4</v>
      </c>
    </row>
    <row r="665" spans="1:1" x14ac:dyDescent="0.15">
      <c r="A665">
        <v>4</v>
      </c>
    </row>
    <row r="666" spans="1:1" x14ac:dyDescent="0.15">
      <c r="A666">
        <v>4</v>
      </c>
    </row>
    <row r="667" spans="1:1" x14ac:dyDescent="0.15">
      <c r="A667">
        <v>4</v>
      </c>
    </row>
    <row r="668" spans="1:1" x14ac:dyDescent="0.15">
      <c r="A668">
        <v>4</v>
      </c>
    </row>
    <row r="669" spans="1:1" x14ac:dyDescent="0.15">
      <c r="A669">
        <v>4</v>
      </c>
    </row>
    <row r="670" spans="1:1" x14ac:dyDescent="0.15">
      <c r="A670">
        <v>4</v>
      </c>
    </row>
    <row r="671" spans="1:1" x14ac:dyDescent="0.15">
      <c r="A671">
        <v>4</v>
      </c>
    </row>
    <row r="672" spans="1:1" x14ac:dyDescent="0.15">
      <c r="A672">
        <v>4</v>
      </c>
    </row>
    <row r="673" spans="1:1" x14ac:dyDescent="0.15">
      <c r="A673">
        <v>4</v>
      </c>
    </row>
    <row r="674" spans="1:1" x14ac:dyDescent="0.15">
      <c r="A674">
        <v>4</v>
      </c>
    </row>
    <row r="675" spans="1:1" x14ac:dyDescent="0.15">
      <c r="A675">
        <v>4</v>
      </c>
    </row>
    <row r="676" spans="1:1" x14ac:dyDescent="0.15">
      <c r="A676">
        <v>4</v>
      </c>
    </row>
    <row r="677" spans="1:1" x14ac:dyDescent="0.15">
      <c r="A677">
        <v>4</v>
      </c>
    </row>
    <row r="678" spans="1:1" x14ac:dyDescent="0.15">
      <c r="A678">
        <v>4</v>
      </c>
    </row>
    <row r="679" spans="1:1" x14ac:dyDescent="0.15">
      <c r="A679">
        <v>4</v>
      </c>
    </row>
    <row r="680" spans="1:1" x14ac:dyDescent="0.15">
      <c r="A680">
        <v>4</v>
      </c>
    </row>
    <row r="681" spans="1:1" x14ac:dyDescent="0.15">
      <c r="A681">
        <v>4</v>
      </c>
    </row>
    <row r="682" spans="1:1" x14ac:dyDescent="0.15">
      <c r="A682">
        <v>4</v>
      </c>
    </row>
    <row r="683" spans="1:1" x14ac:dyDescent="0.15">
      <c r="A683">
        <v>4</v>
      </c>
    </row>
    <row r="684" spans="1:1" x14ac:dyDescent="0.15">
      <c r="A684">
        <v>4</v>
      </c>
    </row>
    <row r="685" spans="1:1" x14ac:dyDescent="0.15">
      <c r="A685">
        <v>4</v>
      </c>
    </row>
    <row r="686" spans="1:1" x14ac:dyDescent="0.15">
      <c r="A686">
        <v>4</v>
      </c>
    </row>
    <row r="687" spans="1:1" x14ac:dyDescent="0.15">
      <c r="A687">
        <v>4</v>
      </c>
    </row>
    <row r="688" spans="1:1" x14ac:dyDescent="0.15">
      <c r="A688">
        <v>4</v>
      </c>
    </row>
    <row r="689" spans="1:1" x14ac:dyDescent="0.15">
      <c r="A689">
        <v>4</v>
      </c>
    </row>
    <row r="690" spans="1:1" x14ac:dyDescent="0.15">
      <c r="A690">
        <v>4</v>
      </c>
    </row>
    <row r="691" spans="1:1" x14ac:dyDescent="0.15">
      <c r="A691">
        <v>4</v>
      </c>
    </row>
    <row r="692" spans="1:1" x14ac:dyDescent="0.15">
      <c r="A692">
        <v>4.0198099999999997</v>
      </c>
    </row>
    <row r="693" spans="1:1" x14ac:dyDescent="0.15">
      <c r="A693">
        <v>4</v>
      </c>
    </row>
    <row r="694" spans="1:1" x14ac:dyDescent="0.15">
      <c r="A694">
        <v>4</v>
      </c>
    </row>
    <row r="695" spans="1:1" x14ac:dyDescent="0.15">
      <c r="A695">
        <v>4</v>
      </c>
    </row>
    <row r="696" spans="1:1" x14ac:dyDescent="0.15">
      <c r="A696">
        <v>4</v>
      </c>
    </row>
    <row r="697" spans="1:1" x14ac:dyDescent="0.15">
      <c r="A697">
        <v>4</v>
      </c>
    </row>
    <row r="698" spans="1:1" x14ac:dyDescent="0.15">
      <c r="A698">
        <v>4</v>
      </c>
    </row>
    <row r="699" spans="1:1" x14ac:dyDescent="0.15">
      <c r="A699">
        <v>4</v>
      </c>
    </row>
    <row r="700" spans="1:1" x14ac:dyDescent="0.15">
      <c r="A700">
        <v>4</v>
      </c>
    </row>
    <row r="701" spans="1:1" x14ac:dyDescent="0.15">
      <c r="A701">
        <v>4</v>
      </c>
    </row>
    <row r="702" spans="1:1" x14ac:dyDescent="0.15">
      <c r="A702">
        <v>4</v>
      </c>
    </row>
    <row r="703" spans="1:1" x14ac:dyDescent="0.15">
      <c r="A703">
        <v>4</v>
      </c>
    </row>
    <row r="704" spans="1:1" x14ac:dyDescent="0.15">
      <c r="A704">
        <v>4</v>
      </c>
    </row>
    <row r="705" spans="1:1" x14ac:dyDescent="0.15">
      <c r="A705">
        <v>4</v>
      </c>
    </row>
    <row r="706" spans="1:1" x14ac:dyDescent="0.15">
      <c r="A706">
        <v>4.0198099999999997</v>
      </c>
    </row>
    <row r="707" spans="1:1" x14ac:dyDescent="0.15">
      <c r="A707">
        <v>4.25</v>
      </c>
    </row>
    <row r="708" spans="1:1" x14ac:dyDescent="0.15">
      <c r="A708">
        <v>4.0366099999999996</v>
      </c>
    </row>
    <row r="709" spans="1:1" x14ac:dyDescent="0.15">
      <c r="A709">
        <v>4</v>
      </c>
    </row>
    <row r="710" spans="1:1" x14ac:dyDescent="0.15">
      <c r="A710">
        <v>4</v>
      </c>
    </row>
    <row r="711" spans="1:1" x14ac:dyDescent="0.15">
      <c r="A711">
        <v>4</v>
      </c>
    </row>
    <row r="712" spans="1:1" x14ac:dyDescent="0.15">
      <c r="A712">
        <v>4</v>
      </c>
    </row>
    <row r="713" spans="1:1" x14ac:dyDescent="0.15">
      <c r="A713">
        <v>4</v>
      </c>
    </row>
    <row r="714" spans="1:1" x14ac:dyDescent="0.15">
      <c r="A714">
        <v>4</v>
      </c>
    </row>
    <row r="715" spans="1:1" x14ac:dyDescent="0.15">
      <c r="A715">
        <v>4</v>
      </c>
    </row>
    <row r="716" spans="1:1" x14ac:dyDescent="0.15">
      <c r="A716">
        <v>4.25</v>
      </c>
    </row>
    <row r="717" spans="1:1" x14ac:dyDescent="0.15">
      <c r="A717">
        <v>4.25</v>
      </c>
    </row>
    <row r="718" spans="1:1" x14ac:dyDescent="0.15">
      <c r="A718">
        <v>4</v>
      </c>
    </row>
    <row r="719" spans="1:1" x14ac:dyDescent="0.15">
      <c r="A719">
        <v>4</v>
      </c>
    </row>
    <row r="720" spans="1:1" x14ac:dyDescent="0.15">
      <c r="A720">
        <v>4</v>
      </c>
    </row>
    <row r="721" spans="1:1" x14ac:dyDescent="0.15">
      <c r="A721">
        <v>4.8</v>
      </c>
    </row>
    <row r="722" spans="1:1" x14ac:dyDescent="0.15">
      <c r="A722">
        <v>4</v>
      </c>
    </row>
    <row r="723" spans="1:1" x14ac:dyDescent="0.15">
      <c r="A723">
        <v>5</v>
      </c>
    </row>
    <row r="724" spans="1:1" x14ac:dyDescent="0.15">
      <c r="A724">
        <v>4</v>
      </c>
    </row>
    <row r="725" spans="1:1" x14ac:dyDescent="0.15">
      <c r="A725">
        <v>4</v>
      </c>
    </row>
    <row r="726" spans="1:1" x14ac:dyDescent="0.15">
      <c r="A726">
        <v>4</v>
      </c>
    </row>
    <row r="727" spans="1:1" x14ac:dyDescent="0.15">
      <c r="A727">
        <v>4</v>
      </c>
    </row>
    <row r="728" spans="1:1" x14ac:dyDescent="0.15">
      <c r="A728">
        <v>4</v>
      </c>
    </row>
    <row r="729" spans="1:1" x14ac:dyDescent="0.15">
      <c r="A729">
        <v>4</v>
      </c>
    </row>
    <row r="730" spans="1:1" x14ac:dyDescent="0.15">
      <c r="A730">
        <v>4</v>
      </c>
    </row>
    <row r="731" spans="1:1" x14ac:dyDescent="0.15">
      <c r="A731">
        <v>4.0076400000000003</v>
      </c>
    </row>
    <row r="732" spans="1:1" x14ac:dyDescent="0.15">
      <c r="A732">
        <v>4.0117500000000001</v>
      </c>
    </row>
    <row r="733" spans="1:1" x14ac:dyDescent="0.15">
      <c r="A733">
        <v>4.0117500000000001</v>
      </c>
    </row>
    <row r="734" spans="1:1" x14ac:dyDescent="0.15">
      <c r="A734">
        <v>4</v>
      </c>
    </row>
    <row r="735" spans="1:1" x14ac:dyDescent="0.15">
      <c r="A735">
        <v>4</v>
      </c>
    </row>
    <row r="736" spans="1:1" x14ac:dyDescent="0.15">
      <c r="A736">
        <v>5.2</v>
      </c>
    </row>
    <row r="737" spans="1:1" x14ac:dyDescent="0.15">
      <c r="A737">
        <v>5.1992099999999999</v>
      </c>
    </row>
    <row r="738" spans="1:1" x14ac:dyDescent="0.15">
      <c r="A738">
        <v>4.0076400000000003</v>
      </c>
    </row>
    <row r="739" spans="1:1" x14ac:dyDescent="0.15">
      <c r="A739">
        <v>4.0117500000000001</v>
      </c>
    </row>
    <row r="740" spans="1:1" x14ac:dyDescent="0.15">
      <c r="A740">
        <v>4</v>
      </c>
    </row>
    <row r="741" spans="1:1" x14ac:dyDescent="0.15">
      <c r="A741">
        <v>4</v>
      </c>
    </row>
    <row r="742" spans="1:1" x14ac:dyDescent="0.15">
      <c r="A742">
        <v>4</v>
      </c>
    </row>
    <row r="743" spans="1:1" x14ac:dyDescent="0.15">
      <c r="A743">
        <v>4.5</v>
      </c>
    </row>
    <row r="744" spans="1:1" x14ac:dyDescent="0.15">
      <c r="A744">
        <v>4.5</v>
      </c>
    </row>
    <row r="745" spans="1:1" x14ac:dyDescent="0.15">
      <c r="A745">
        <v>4.1500000000000004</v>
      </c>
    </row>
    <row r="746" spans="1:1" x14ac:dyDescent="0.15">
      <c r="A746">
        <v>4.1500000000000004</v>
      </c>
    </row>
    <row r="747" spans="1:1" x14ac:dyDescent="0.15">
      <c r="A747">
        <v>4</v>
      </c>
    </row>
    <row r="748" spans="1:1" x14ac:dyDescent="0.15">
      <c r="A748">
        <v>4.25</v>
      </c>
    </row>
    <row r="749" spans="1:1" x14ac:dyDescent="0.15">
      <c r="A749">
        <v>6.7</v>
      </c>
    </row>
    <row r="750" spans="1:1" x14ac:dyDescent="0.15">
      <c r="A750">
        <v>6.2</v>
      </c>
    </row>
    <row r="751" spans="1:1" x14ac:dyDescent="0.15">
      <c r="A751">
        <v>6.3</v>
      </c>
    </row>
    <row r="752" spans="1:1" x14ac:dyDescent="0.15">
      <c r="A752">
        <v>6</v>
      </c>
    </row>
    <row r="753" spans="1:1" x14ac:dyDescent="0.15">
      <c r="A753">
        <v>6</v>
      </c>
    </row>
    <row r="754" spans="1:1" x14ac:dyDescent="0.15">
      <c r="A754">
        <v>4.1698700000000004</v>
      </c>
    </row>
    <row r="755" spans="1:1" x14ac:dyDescent="0.15">
      <c r="A755">
        <v>4</v>
      </c>
    </row>
    <row r="756" spans="1:1" x14ac:dyDescent="0.15">
      <c r="A756">
        <v>4.25</v>
      </c>
    </row>
    <row r="757" spans="1:1" x14ac:dyDescent="0.15">
      <c r="A757">
        <v>6.7</v>
      </c>
    </row>
    <row r="758" spans="1:1" x14ac:dyDescent="0.15">
      <c r="A758">
        <v>6.2</v>
      </c>
    </row>
    <row r="759" spans="1:1" x14ac:dyDescent="0.15">
      <c r="A759">
        <v>6.3</v>
      </c>
    </row>
    <row r="760" spans="1:1" x14ac:dyDescent="0.15">
      <c r="A760">
        <v>6</v>
      </c>
    </row>
    <row r="761" spans="1:1" x14ac:dyDescent="0.15">
      <c r="A761">
        <v>6</v>
      </c>
    </row>
    <row r="762" spans="1:1" x14ac:dyDescent="0.15">
      <c r="A762">
        <v>4.5</v>
      </c>
    </row>
    <row r="763" spans="1:1" x14ac:dyDescent="0.15">
      <c r="A763">
        <v>4.8056599999999996</v>
      </c>
    </row>
    <row r="764" spans="1:1" x14ac:dyDescent="0.15">
      <c r="A764">
        <v>4.4365399999999999</v>
      </c>
    </row>
    <row r="765" spans="1:1" x14ac:dyDescent="0.15">
      <c r="A765">
        <v>6</v>
      </c>
    </row>
    <row r="766" spans="1:1" x14ac:dyDescent="0.15">
      <c r="A766">
        <v>5.6672599999999997</v>
      </c>
    </row>
    <row r="767" spans="1:1" x14ac:dyDescent="0.15">
      <c r="A767">
        <v>4</v>
      </c>
    </row>
    <row r="768" spans="1:1" x14ac:dyDescent="0.15">
      <c r="A768">
        <v>4</v>
      </c>
    </row>
    <row r="769" spans="1:1" x14ac:dyDescent="0.15">
      <c r="A769">
        <v>5</v>
      </c>
    </row>
    <row r="770" spans="1:1" x14ac:dyDescent="0.15">
      <c r="A770">
        <v>5</v>
      </c>
    </row>
    <row r="771" spans="1:1" x14ac:dyDescent="0.15">
      <c r="A771">
        <v>5</v>
      </c>
    </row>
    <row r="772" spans="1:1" x14ac:dyDescent="0.15">
      <c r="A772">
        <v>5</v>
      </c>
    </row>
    <row r="773" spans="1:1" x14ac:dyDescent="0.15">
      <c r="A773">
        <v>4</v>
      </c>
    </row>
    <row r="774" spans="1:1" x14ac:dyDescent="0.15">
      <c r="A774">
        <v>4</v>
      </c>
    </row>
    <row r="775" spans="1:1" x14ac:dyDescent="0.15">
      <c r="A775">
        <v>4</v>
      </c>
    </row>
    <row r="776" spans="1:1" x14ac:dyDescent="0.15">
      <c r="A776">
        <v>4</v>
      </c>
    </row>
    <row r="777" spans="1:1" x14ac:dyDescent="0.15">
      <c r="A777">
        <v>4.0349399999999997</v>
      </c>
    </row>
    <row r="778" spans="1:1" x14ac:dyDescent="0.15">
      <c r="A778">
        <v>4.0349399999999997</v>
      </c>
    </row>
    <row r="779" spans="1:1" x14ac:dyDescent="0.15">
      <c r="A779">
        <v>4.0349399999999997</v>
      </c>
    </row>
    <row r="780" spans="1:1" x14ac:dyDescent="0.15">
      <c r="A780">
        <v>4.23339</v>
      </c>
    </row>
    <row r="781" spans="1:1" x14ac:dyDescent="0.15">
      <c r="A781">
        <v>4.23339</v>
      </c>
    </row>
    <row r="782" spans="1:1" x14ac:dyDescent="0.15">
      <c r="A782">
        <v>4.25</v>
      </c>
    </row>
    <row r="783" spans="1:1" x14ac:dyDescent="0.15">
      <c r="A783">
        <v>4.25</v>
      </c>
    </row>
    <row r="784" spans="1:1" x14ac:dyDescent="0.15">
      <c r="A784">
        <v>5</v>
      </c>
    </row>
    <row r="785" spans="1:1" x14ac:dyDescent="0.15">
      <c r="A785">
        <v>5</v>
      </c>
    </row>
    <row r="786" spans="1:1" x14ac:dyDescent="0.15">
      <c r="A786">
        <v>4</v>
      </c>
    </row>
    <row r="787" spans="1:1" x14ac:dyDescent="0.15">
      <c r="A787">
        <v>4</v>
      </c>
    </row>
    <row r="788" spans="1:1" x14ac:dyDescent="0.15">
      <c r="A788">
        <v>4.5</v>
      </c>
    </row>
    <row r="789" spans="1:1" x14ac:dyDescent="0.15">
      <c r="A789">
        <v>4.5</v>
      </c>
    </row>
    <row r="790" spans="1:1" x14ac:dyDescent="0.15">
      <c r="A790">
        <v>4</v>
      </c>
    </row>
    <row r="791" spans="1:1" x14ac:dyDescent="0.15">
      <c r="A791">
        <v>4</v>
      </c>
    </row>
    <row r="792" spans="1:1" x14ac:dyDescent="0.15">
      <c r="A792">
        <v>4</v>
      </c>
    </row>
    <row r="793" spans="1:1" x14ac:dyDescent="0.15">
      <c r="A793">
        <v>4</v>
      </c>
    </row>
    <row r="794" spans="1:1" x14ac:dyDescent="0.15">
      <c r="A794">
        <v>4</v>
      </c>
    </row>
    <row r="795" spans="1:1" x14ac:dyDescent="0.15">
      <c r="A795">
        <v>4</v>
      </c>
    </row>
    <row r="796" spans="1:1" x14ac:dyDescent="0.15">
      <c r="A796">
        <v>4</v>
      </c>
    </row>
    <row r="797" spans="1:1" x14ac:dyDescent="0.15">
      <c r="A797">
        <v>4</v>
      </c>
    </row>
    <row r="798" spans="1:1" x14ac:dyDescent="0.15">
      <c r="A798">
        <v>4</v>
      </c>
    </row>
    <row r="799" spans="1:1" x14ac:dyDescent="0.15">
      <c r="A799">
        <v>4</v>
      </c>
    </row>
    <row r="800" spans="1:1" x14ac:dyDescent="0.15">
      <c r="A800">
        <v>4</v>
      </c>
    </row>
    <row r="801" spans="1:1" x14ac:dyDescent="0.15">
      <c r="A801">
        <v>4</v>
      </c>
    </row>
    <row r="802" spans="1:1" x14ac:dyDescent="0.15">
      <c r="A802">
        <v>4</v>
      </c>
    </row>
    <row r="803" spans="1:1" x14ac:dyDescent="0.15">
      <c r="A803">
        <v>4</v>
      </c>
    </row>
    <row r="804" spans="1:1" x14ac:dyDescent="0.15">
      <c r="A804">
        <v>4</v>
      </c>
    </row>
    <row r="805" spans="1:1" x14ac:dyDescent="0.15">
      <c r="A805">
        <v>4</v>
      </c>
    </row>
    <row r="806" spans="1:1" x14ac:dyDescent="0.15">
      <c r="A806">
        <v>4</v>
      </c>
    </row>
    <row r="807" spans="1:1" x14ac:dyDescent="0.15">
      <c r="A807">
        <v>4</v>
      </c>
    </row>
    <row r="808" spans="1:1" x14ac:dyDescent="0.15">
      <c r="A808">
        <v>4</v>
      </c>
    </row>
    <row r="809" spans="1:1" x14ac:dyDescent="0.15">
      <c r="A809">
        <v>4</v>
      </c>
    </row>
    <row r="810" spans="1:1" x14ac:dyDescent="0.15">
      <c r="A810">
        <v>4</v>
      </c>
    </row>
    <row r="811" spans="1:1" x14ac:dyDescent="0.15">
      <c r="A811">
        <v>4</v>
      </c>
    </row>
    <row r="812" spans="1:1" x14ac:dyDescent="0.15">
      <c r="A812">
        <v>4</v>
      </c>
    </row>
    <row r="813" spans="1:1" x14ac:dyDescent="0.15">
      <c r="A813">
        <v>4</v>
      </c>
    </row>
    <row r="814" spans="1:1" x14ac:dyDescent="0.15">
      <c r="A814">
        <v>4</v>
      </c>
    </row>
    <row r="815" spans="1:1" x14ac:dyDescent="0.15">
      <c r="A815">
        <v>4</v>
      </c>
    </row>
    <row r="816" spans="1:1" x14ac:dyDescent="0.15">
      <c r="A816">
        <v>4</v>
      </c>
    </row>
    <row r="817" spans="1:1" x14ac:dyDescent="0.15">
      <c r="A817">
        <v>4</v>
      </c>
    </row>
    <row r="818" spans="1:1" x14ac:dyDescent="0.15">
      <c r="A818">
        <v>6.5239000000000003</v>
      </c>
    </row>
    <row r="819" spans="1:1" x14ac:dyDescent="0.15">
      <c r="A819">
        <v>5.5</v>
      </c>
    </row>
    <row r="820" spans="1:1" x14ac:dyDescent="0.15">
      <c r="A820">
        <v>4</v>
      </c>
    </row>
    <row r="821" spans="1:1" x14ac:dyDescent="0.15">
      <c r="A821">
        <v>4</v>
      </c>
    </row>
    <row r="822" spans="1:1" x14ac:dyDescent="0.15">
      <c r="A822">
        <v>4.2984</v>
      </c>
    </row>
    <row r="823" spans="1:1" x14ac:dyDescent="0.15">
      <c r="A823">
        <v>4.2984</v>
      </c>
    </row>
    <row r="824" spans="1:1" x14ac:dyDescent="0.15">
      <c r="A824">
        <v>4.5</v>
      </c>
    </row>
    <row r="825" spans="1:1" x14ac:dyDescent="0.15">
      <c r="A825">
        <v>4.8960900000000001</v>
      </c>
    </row>
    <row r="826" spans="1:1" x14ac:dyDescent="0.15">
      <c r="A826">
        <v>4.9960899999999997</v>
      </c>
    </row>
    <row r="827" spans="1:1" x14ac:dyDescent="0.15">
      <c r="A827">
        <v>4.1698700000000004</v>
      </c>
    </row>
    <row r="828" spans="1:1" x14ac:dyDescent="0.15">
      <c r="A828">
        <v>4</v>
      </c>
    </row>
    <row r="829" spans="1:1" x14ac:dyDescent="0.15">
      <c r="A829">
        <v>4.25</v>
      </c>
    </row>
    <row r="830" spans="1:1" x14ac:dyDescent="0.15">
      <c r="A830">
        <v>6.7</v>
      </c>
    </row>
    <row r="831" spans="1:1" x14ac:dyDescent="0.15">
      <c r="A831">
        <v>6.2</v>
      </c>
    </row>
    <row r="832" spans="1:1" x14ac:dyDescent="0.15">
      <c r="A832">
        <v>6.3</v>
      </c>
    </row>
    <row r="833" spans="1:1" x14ac:dyDescent="0.15">
      <c r="A833">
        <v>6</v>
      </c>
    </row>
    <row r="834" spans="1:1" x14ac:dyDescent="0.15">
      <c r="A834">
        <v>6</v>
      </c>
    </row>
    <row r="835" spans="1:1" x14ac:dyDescent="0.15">
      <c r="A835">
        <v>4</v>
      </c>
    </row>
    <row r="836" spans="1:1" x14ac:dyDescent="0.15">
      <c r="A836">
        <v>4</v>
      </c>
    </row>
    <row r="837" spans="1:1" x14ac:dyDescent="0.15">
      <c r="A837">
        <v>4</v>
      </c>
    </row>
    <row r="838" spans="1:1" x14ac:dyDescent="0.15">
      <c r="A838">
        <v>4</v>
      </c>
    </row>
    <row r="839" spans="1:1" x14ac:dyDescent="0.15">
      <c r="A839">
        <v>4</v>
      </c>
    </row>
    <row r="840" spans="1:1" x14ac:dyDescent="0.15">
      <c r="A840">
        <v>4</v>
      </c>
    </row>
    <row r="841" spans="1:1" x14ac:dyDescent="0.15">
      <c r="A841">
        <v>4</v>
      </c>
    </row>
    <row r="842" spans="1:1" x14ac:dyDescent="0.15">
      <c r="A842">
        <v>4</v>
      </c>
    </row>
    <row r="843" spans="1:1" x14ac:dyDescent="0.15">
      <c r="A843">
        <v>4</v>
      </c>
    </row>
    <row r="844" spans="1:1" x14ac:dyDescent="0.15">
      <c r="A844">
        <v>4</v>
      </c>
    </row>
    <row r="845" spans="1:1" x14ac:dyDescent="0.15">
      <c r="A845">
        <v>4.0243099999999998</v>
      </c>
    </row>
    <row r="846" spans="1:1" x14ac:dyDescent="0.15">
      <c r="A846">
        <v>4.0243099999999998</v>
      </c>
    </row>
    <row r="847" spans="1:1" x14ac:dyDescent="0.15">
      <c r="A847">
        <v>4.0243099999999998</v>
      </c>
    </row>
    <row r="848" spans="1:1" x14ac:dyDescent="0.15">
      <c r="A848">
        <v>4.0076400000000003</v>
      </c>
    </row>
    <row r="849" spans="1:1" x14ac:dyDescent="0.15">
      <c r="A849">
        <v>4.0117500000000001</v>
      </c>
    </row>
    <row r="850" spans="1:1" x14ac:dyDescent="0.15">
      <c r="A850">
        <v>5.0485300000000004</v>
      </c>
    </row>
    <row r="851" spans="1:1" x14ac:dyDescent="0.15">
      <c r="A851">
        <v>4.9804599999999999</v>
      </c>
    </row>
    <row r="852" spans="1:1" x14ac:dyDescent="0.15">
      <c r="A852">
        <v>4</v>
      </c>
    </row>
    <row r="853" spans="1:1" x14ac:dyDescent="0.15">
      <c r="A853">
        <v>4</v>
      </c>
    </row>
    <row r="854" spans="1:1" x14ac:dyDescent="0.15">
      <c r="A854">
        <v>4</v>
      </c>
    </row>
    <row r="855" spans="1:1" x14ac:dyDescent="0.15">
      <c r="A855">
        <v>4</v>
      </c>
    </row>
    <row r="856" spans="1:1" x14ac:dyDescent="0.15">
      <c r="A856">
        <v>4</v>
      </c>
    </row>
    <row r="857" spans="1:1" x14ac:dyDescent="0.15">
      <c r="A857">
        <v>4</v>
      </c>
    </row>
    <row r="858" spans="1:1" x14ac:dyDescent="0.15">
      <c r="A858">
        <v>4.0117500000000001</v>
      </c>
    </row>
    <row r="859" spans="1:1" x14ac:dyDescent="0.15">
      <c r="A859">
        <v>4</v>
      </c>
    </row>
    <row r="860" spans="1:1" x14ac:dyDescent="0.15">
      <c r="A860">
        <v>4</v>
      </c>
    </row>
    <row r="861" spans="1:1" x14ac:dyDescent="0.15">
      <c r="A861">
        <v>4</v>
      </c>
    </row>
    <row r="862" spans="1:1" x14ac:dyDescent="0.15">
      <c r="A862">
        <v>4</v>
      </c>
    </row>
    <row r="863" spans="1:1" x14ac:dyDescent="0.15">
      <c r="A863">
        <v>4</v>
      </c>
    </row>
    <row r="864" spans="1:1" x14ac:dyDescent="0.15">
      <c r="A864">
        <v>4</v>
      </c>
    </row>
    <row r="865" spans="1:1" x14ac:dyDescent="0.15">
      <c r="A865">
        <v>4</v>
      </c>
    </row>
    <row r="866" spans="1:1" x14ac:dyDescent="0.15">
      <c r="A866">
        <v>3.96875</v>
      </c>
    </row>
    <row r="867" spans="1:1" x14ac:dyDescent="0.15">
      <c r="A867">
        <v>4.75</v>
      </c>
    </row>
    <row r="868" spans="1:1" x14ac:dyDescent="0.15">
      <c r="A868">
        <v>5</v>
      </c>
    </row>
    <row r="869" spans="1:1" x14ac:dyDescent="0.15">
      <c r="A869">
        <v>4</v>
      </c>
    </row>
    <row r="870" spans="1:1" x14ac:dyDescent="0.15">
      <c r="A870">
        <v>4</v>
      </c>
    </row>
    <row r="871" spans="1:1" x14ac:dyDescent="0.15">
      <c r="A871">
        <v>4</v>
      </c>
    </row>
    <row r="872" spans="1:1" x14ac:dyDescent="0.15">
      <c r="A872">
        <v>4.0103299999999997</v>
      </c>
    </row>
    <row r="873" spans="1:1" x14ac:dyDescent="0.15">
      <c r="A873">
        <v>4.5193099999999999</v>
      </c>
    </row>
    <row r="874" spans="1:1" x14ac:dyDescent="0.15">
      <c r="A874">
        <v>5.0018099999999999</v>
      </c>
    </row>
    <row r="875" spans="1:1" x14ac:dyDescent="0.15">
      <c r="A875">
        <v>5.0018099999999999</v>
      </c>
    </row>
    <row r="876" spans="1:1" x14ac:dyDescent="0.15">
      <c r="A876">
        <v>5.0018099999999999</v>
      </c>
    </row>
    <row r="877" spans="1:1" x14ac:dyDescent="0.15">
      <c r="A877">
        <v>4.5</v>
      </c>
    </row>
    <row r="878" spans="1:1" x14ac:dyDescent="0.15">
      <c r="A878">
        <v>5.0018099999999999</v>
      </c>
    </row>
    <row r="879" spans="1:1" x14ac:dyDescent="0.15">
      <c r="A879">
        <v>5.0018099999999999</v>
      </c>
    </row>
    <row r="880" spans="1:1" x14ac:dyDescent="0.15">
      <c r="A880">
        <v>5.0018099999999999</v>
      </c>
    </row>
    <row r="881" spans="1:1" x14ac:dyDescent="0.15">
      <c r="A881">
        <v>4</v>
      </c>
    </row>
    <row r="882" spans="1:1" x14ac:dyDescent="0.15">
      <c r="A882">
        <v>4.0115100000000004</v>
      </c>
    </row>
    <row r="883" spans="1:1" x14ac:dyDescent="0.15">
      <c r="A883">
        <v>4</v>
      </c>
    </row>
    <row r="884" spans="1:1" x14ac:dyDescent="0.15">
      <c r="A884">
        <v>4</v>
      </c>
    </row>
    <row r="885" spans="1:1" x14ac:dyDescent="0.15">
      <c r="A885">
        <v>4.25</v>
      </c>
    </row>
    <row r="886" spans="1:1" x14ac:dyDescent="0.15">
      <c r="A886">
        <v>4.0103299999999997</v>
      </c>
    </row>
    <row r="887" spans="1:1" x14ac:dyDescent="0.15">
      <c r="A887">
        <v>4.0103299999999997</v>
      </c>
    </row>
    <row r="888" spans="1:1" x14ac:dyDescent="0.15">
      <c r="A888">
        <v>4.5</v>
      </c>
    </row>
    <row r="889" spans="1:1" x14ac:dyDescent="0.15">
      <c r="A889">
        <v>4.5</v>
      </c>
    </row>
    <row r="890" spans="1:1" x14ac:dyDescent="0.15">
      <c r="A890">
        <v>6</v>
      </c>
    </row>
    <row r="891" spans="1:1" x14ac:dyDescent="0.15">
      <c r="A891">
        <v>4.5</v>
      </c>
    </row>
    <row r="892" spans="1:1" x14ac:dyDescent="0.15">
      <c r="A892">
        <v>5.5</v>
      </c>
    </row>
    <row r="893" spans="1:1" x14ac:dyDescent="0.15">
      <c r="A893">
        <v>6</v>
      </c>
    </row>
    <row r="894" spans="1:1" x14ac:dyDescent="0.15">
      <c r="A894">
        <v>4.5</v>
      </c>
    </row>
    <row r="895" spans="1:1" x14ac:dyDescent="0.15">
      <c r="A895">
        <v>5.0018099999999999</v>
      </c>
    </row>
    <row r="896" spans="1:1" x14ac:dyDescent="0.15">
      <c r="A896">
        <v>5.0018099999999999</v>
      </c>
    </row>
    <row r="897" spans="1:1" x14ac:dyDescent="0.15">
      <c r="A897">
        <v>5.0018099999999999</v>
      </c>
    </row>
    <row r="898" spans="1:1" x14ac:dyDescent="0.15">
      <c r="A898">
        <v>4</v>
      </c>
    </row>
    <row r="899" spans="1:1" x14ac:dyDescent="0.15">
      <c r="A899">
        <v>4</v>
      </c>
    </row>
    <row r="900" spans="1:1" x14ac:dyDescent="0.15">
      <c r="A900">
        <v>6.0480400000000003</v>
      </c>
    </row>
    <row r="901" spans="1:1" x14ac:dyDescent="0.15">
      <c r="A901">
        <v>5.8216599999999996</v>
      </c>
    </row>
    <row r="902" spans="1:1" x14ac:dyDescent="0.15">
      <c r="A902">
        <v>4</v>
      </c>
    </row>
    <row r="903" spans="1:1" x14ac:dyDescent="0.15">
      <c r="A903">
        <v>5</v>
      </c>
    </row>
    <row r="904" spans="1:1" x14ac:dyDescent="0.15">
      <c r="A904">
        <v>4.17021</v>
      </c>
    </row>
    <row r="905" spans="1:1" x14ac:dyDescent="0.15">
      <c r="A905">
        <v>4.17021</v>
      </c>
    </row>
    <row r="906" spans="1:1" x14ac:dyDescent="0.15">
      <c r="A906">
        <v>4.17021</v>
      </c>
    </row>
    <row r="907" spans="1:1" x14ac:dyDescent="0.15">
      <c r="A907">
        <v>4</v>
      </c>
    </row>
    <row r="908" spans="1:1" x14ac:dyDescent="0.15">
      <c r="A908">
        <v>4</v>
      </c>
    </row>
    <row r="909" spans="1:1" x14ac:dyDescent="0.15">
      <c r="A909">
        <v>4</v>
      </c>
    </row>
    <row r="910" spans="1:1" x14ac:dyDescent="0.15">
      <c r="A910">
        <v>4</v>
      </c>
    </row>
    <row r="911" spans="1:1" x14ac:dyDescent="0.15">
      <c r="A911">
        <v>4</v>
      </c>
    </row>
    <row r="912" spans="1:1" x14ac:dyDescent="0.15">
      <c r="A912">
        <v>4</v>
      </c>
    </row>
    <row r="913" spans="1:1" x14ac:dyDescent="0.15">
      <c r="A913">
        <v>4.0029000000000003</v>
      </c>
    </row>
    <row r="914" spans="1:1" x14ac:dyDescent="0.15">
      <c r="A914">
        <v>4.0029000000000003</v>
      </c>
    </row>
    <row r="915" spans="1:1" x14ac:dyDescent="0.15">
      <c r="A915">
        <v>4.0069499999999998</v>
      </c>
    </row>
    <row r="916" spans="1:1" x14ac:dyDescent="0.15">
      <c r="A916">
        <v>4.0069499999999998</v>
      </c>
    </row>
    <row r="917" spans="1:1" x14ac:dyDescent="0.15">
      <c r="A917">
        <v>4.5531699999999997</v>
      </c>
    </row>
    <row r="918" spans="1:1" x14ac:dyDescent="0.15">
      <c r="A918">
        <v>4.5531699999999997</v>
      </c>
    </row>
    <row r="919" spans="1:1" x14ac:dyDescent="0.15">
      <c r="A919">
        <v>4</v>
      </c>
    </row>
    <row r="920" spans="1:1" x14ac:dyDescent="0.15">
      <c r="A920">
        <v>4.0155799999999999</v>
      </c>
    </row>
    <row r="921" spans="1:1" x14ac:dyDescent="0.15">
      <c r="A921">
        <v>4.0155799999999999</v>
      </c>
    </row>
    <row r="922" spans="1:1" x14ac:dyDescent="0.15">
      <c r="A922">
        <v>4.4303800000000004</v>
      </c>
    </row>
    <row r="923" spans="1:1" x14ac:dyDescent="0.15">
      <c r="A923">
        <v>5</v>
      </c>
    </row>
    <row r="924" spans="1:1" x14ac:dyDescent="0.15">
      <c r="A924">
        <v>5</v>
      </c>
    </row>
    <row r="925" spans="1:1" x14ac:dyDescent="0.15">
      <c r="A925">
        <v>4</v>
      </c>
    </row>
    <row r="926" spans="1:1" x14ac:dyDescent="0.15">
      <c r="A926">
        <v>4</v>
      </c>
    </row>
    <row r="927" spans="1:1" x14ac:dyDescent="0.15">
      <c r="A927">
        <v>4.5</v>
      </c>
    </row>
    <row r="928" spans="1:1" x14ac:dyDescent="0.15">
      <c r="A928">
        <v>4</v>
      </c>
    </row>
    <row r="929" spans="1:1" x14ac:dyDescent="0.15">
      <c r="A929">
        <v>5.5</v>
      </c>
    </row>
    <row r="930" spans="1:1" x14ac:dyDescent="0.15">
      <c r="A930">
        <v>5.5</v>
      </c>
    </row>
    <row r="931" spans="1:1" x14ac:dyDescent="0.15">
      <c r="A931">
        <v>4</v>
      </c>
    </row>
    <row r="932" spans="1:1" x14ac:dyDescent="0.15">
      <c r="A932">
        <v>4</v>
      </c>
    </row>
    <row r="933" spans="1:1" x14ac:dyDescent="0.15">
      <c r="A933">
        <v>4</v>
      </c>
    </row>
    <row r="934" spans="1:1" x14ac:dyDescent="0.15">
      <c r="A934">
        <v>4.5163000000000002</v>
      </c>
    </row>
    <row r="935" spans="1:1" x14ac:dyDescent="0.15">
      <c r="A935">
        <v>4.5163000000000002</v>
      </c>
    </row>
    <row r="936" spans="1:1" x14ac:dyDescent="0.15">
      <c r="A936">
        <v>4</v>
      </c>
    </row>
    <row r="937" spans="1:1" x14ac:dyDescent="0.15">
      <c r="A937">
        <v>4.1017900000000003</v>
      </c>
    </row>
    <row r="938" spans="1:1" x14ac:dyDescent="0.15">
      <c r="A938">
        <v>4.0155799999999999</v>
      </c>
    </row>
    <row r="939" spans="1:1" x14ac:dyDescent="0.15">
      <c r="A939">
        <v>4.0155799999999999</v>
      </c>
    </row>
    <row r="940" spans="1:1" x14ac:dyDescent="0.15">
      <c r="A940">
        <v>4.3</v>
      </c>
    </row>
    <row r="941" spans="1:1" x14ac:dyDescent="0.15">
      <c r="A941">
        <v>4.0999999999999996</v>
      </c>
    </row>
    <row r="942" spans="1:1" x14ac:dyDescent="0.15">
      <c r="A942">
        <v>4.7338800000000001</v>
      </c>
    </row>
    <row r="943" spans="1:1" x14ac:dyDescent="0.15">
      <c r="A943">
        <v>4.2</v>
      </c>
    </row>
    <row r="944" spans="1:1" x14ac:dyDescent="0.15">
      <c r="A944">
        <v>5</v>
      </c>
    </row>
    <row r="945" spans="1:1" x14ac:dyDescent="0.15">
      <c r="A945">
        <v>5</v>
      </c>
    </row>
    <row r="946" spans="1:1" x14ac:dyDescent="0.15">
      <c r="A946">
        <v>5.1213300000000004</v>
      </c>
    </row>
    <row r="947" spans="1:1" x14ac:dyDescent="0.15">
      <c r="A947">
        <v>4</v>
      </c>
    </row>
    <row r="948" spans="1:1" x14ac:dyDescent="0.15">
      <c r="A948">
        <v>4</v>
      </c>
    </row>
    <row r="949" spans="1:1" x14ac:dyDescent="0.15">
      <c r="A949">
        <v>4</v>
      </c>
    </row>
    <row r="950" spans="1:1" x14ac:dyDescent="0.15">
      <c r="A950">
        <v>4</v>
      </c>
    </row>
    <row r="951" spans="1:1" x14ac:dyDescent="0.15">
      <c r="A951">
        <v>4</v>
      </c>
    </row>
    <row r="952" spans="1:1" x14ac:dyDescent="0.15">
      <c r="A952">
        <v>4</v>
      </c>
    </row>
    <row r="953" spans="1:1" x14ac:dyDescent="0.15">
      <c r="A953">
        <v>4.5</v>
      </c>
    </row>
    <row r="954" spans="1:1" x14ac:dyDescent="0.15">
      <c r="A954">
        <v>4.3</v>
      </c>
    </row>
    <row r="955" spans="1:1" x14ac:dyDescent="0.15">
      <c r="A955">
        <v>4.3</v>
      </c>
    </row>
    <row r="956" spans="1:1" x14ac:dyDescent="0.15">
      <c r="A956">
        <v>4.0999999999999996</v>
      </c>
    </row>
    <row r="957" spans="1:1" x14ac:dyDescent="0.15">
      <c r="A957">
        <v>4.3</v>
      </c>
    </row>
    <row r="958" spans="1:1" x14ac:dyDescent="0.15">
      <c r="A958">
        <v>4.0999999999999996</v>
      </c>
    </row>
    <row r="959" spans="1:1" x14ac:dyDescent="0.15">
      <c r="A959">
        <v>4.3</v>
      </c>
    </row>
    <row r="960" spans="1:1" x14ac:dyDescent="0.15">
      <c r="A960">
        <v>4.0999999999999996</v>
      </c>
    </row>
    <row r="961" spans="1:1" x14ac:dyDescent="0.15">
      <c r="A961">
        <v>4.3</v>
      </c>
    </row>
    <row r="962" spans="1:1" x14ac:dyDescent="0.15">
      <c r="A962">
        <v>4.3</v>
      </c>
    </row>
    <row r="963" spans="1:1" x14ac:dyDescent="0.15">
      <c r="A963">
        <v>4.0999999999999996</v>
      </c>
    </row>
    <row r="964" spans="1:1" x14ac:dyDescent="0.15">
      <c r="A964">
        <v>5.25</v>
      </c>
    </row>
    <row r="965" spans="1:1" x14ac:dyDescent="0.15">
      <c r="A965">
        <v>5</v>
      </c>
    </row>
    <row r="966" spans="1:1" x14ac:dyDescent="0.15">
      <c r="A966">
        <v>4.02372</v>
      </c>
    </row>
    <row r="967" spans="1:1" x14ac:dyDescent="0.15">
      <c r="A967">
        <v>4</v>
      </c>
    </row>
    <row r="968" spans="1:1" x14ac:dyDescent="0.15">
      <c r="A968">
        <v>4.5</v>
      </c>
    </row>
    <row r="969" spans="1:1" x14ac:dyDescent="0.15">
      <c r="A969">
        <v>5</v>
      </c>
    </row>
    <row r="970" spans="1:1" x14ac:dyDescent="0.15">
      <c r="A970">
        <v>4</v>
      </c>
    </row>
    <row r="971" spans="1:1" x14ac:dyDescent="0.15">
      <c r="A971">
        <v>4</v>
      </c>
    </row>
    <row r="972" spans="1:1" x14ac:dyDescent="0.15">
      <c r="A972">
        <v>4</v>
      </c>
    </row>
    <row r="973" spans="1:1" x14ac:dyDescent="0.15">
      <c r="A973">
        <v>4</v>
      </c>
    </row>
    <row r="974" spans="1:1" x14ac:dyDescent="0.15">
      <c r="A974">
        <v>4</v>
      </c>
    </row>
    <row r="975" spans="1:1" x14ac:dyDescent="0.15">
      <c r="A975">
        <v>4</v>
      </c>
    </row>
    <row r="976" spans="1:1" x14ac:dyDescent="0.15">
      <c r="A976">
        <v>4</v>
      </c>
    </row>
    <row r="977" spans="1:1" x14ac:dyDescent="0.15">
      <c r="A977">
        <v>4</v>
      </c>
    </row>
    <row r="978" spans="1:1" x14ac:dyDescent="0.15">
      <c r="A978">
        <v>4</v>
      </c>
    </row>
    <row r="979" spans="1:1" x14ac:dyDescent="0.15">
      <c r="A979">
        <v>5</v>
      </c>
    </row>
    <row r="980" spans="1:1" x14ac:dyDescent="0.15">
      <c r="A980">
        <v>4</v>
      </c>
    </row>
    <row r="981" spans="1:1" x14ac:dyDescent="0.15">
      <c r="A981">
        <v>5</v>
      </c>
    </row>
    <row r="982" spans="1:1" x14ac:dyDescent="0.15">
      <c r="A982">
        <v>4</v>
      </c>
    </row>
    <row r="983" spans="1:1" x14ac:dyDescent="0.15">
      <c r="A983">
        <v>4</v>
      </c>
    </row>
    <row r="984" spans="1:1" x14ac:dyDescent="0.15">
      <c r="A984">
        <v>4.5</v>
      </c>
    </row>
    <row r="985" spans="1:1" x14ac:dyDescent="0.15">
      <c r="A985">
        <v>4.5</v>
      </c>
    </row>
    <row r="986" spans="1:1" x14ac:dyDescent="0.15">
      <c r="A986">
        <v>5.0479399999999996</v>
      </c>
    </row>
    <row r="987" spans="1:1" x14ac:dyDescent="0.15">
      <c r="A987">
        <v>4.2</v>
      </c>
    </row>
    <row r="988" spans="1:1" x14ac:dyDescent="0.15">
      <c r="A988">
        <v>4.4000000000000004</v>
      </c>
    </row>
    <row r="989" spans="1:1" x14ac:dyDescent="0.15">
      <c r="A989">
        <v>4.4000000000000004</v>
      </c>
    </row>
    <row r="990" spans="1:1" x14ac:dyDescent="0.15">
      <c r="A990">
        <v>5</v>
      </c>
    </row>
    <row r="991" spans="1:1" x14ac:dyDescent="0.15">
      <c r="A991">
        <v>4.0103299999999997</v>
      </c>
    </row>
    <row r="992" spans="1:1" x14ac:dyDescent="0.15">
      <c r="A992">
        <v>4.3</v>
      </c>
    </row>
    <row r="993" spans="1:1" x14ac:dyDescent="0.15">
      <c r="A993">
        <v>4.5</v>
      </c>
    </row>
    <row r="994" spans="1:1" x14ac:dyDescent="0.15">
      <c r="A994">
        <v>4.9000000000000004</v>
      </c>
    </row>
    <row r="995" spans="1:1" x14ac:dyDescent="0.15">
      <c r="A995">
        <v>5.0728</v>
      </c>
    </row>
    <row r="996" spans="1:1" x14ac:dyDescent="0.15">
      <c r="A996">
        <v>4.0103299999999997</v>
      </c>
    </row>
    <row r="997" spans="1:1" x14ac:dyDescent="0.15">
      <c r="A997">
        <v>5</v>
      </c>
    </row>
    <row r="998" spans="1:1" x14ac:dyDescent="0.15">
      <c r="A998">
        <v>4.2</v>
      </c>
    </row>
    <row r="999" spans="1:1" x14ac:dyDescent="0.15">
      <c r="A999">
        <v>4</v>
      </c>
    </row>
    <row r="1000" spans="1:1" x14ac:dyDescent="0.15">
      <c r="A1000">
        <v>4.3</v>
      </c>
    </row>
    <row r="1001" spans="1:1" x14ac:dyDescent="0.15">
      <c r="A1001">
        <v>4.3</v>
      </c>
    </row>
    <row r="1002" spans="1:1" x14ac:dyDescent="0.15">
      <c r="A1002">
        <v>4.0999999999999996</v>
      </c>
    </row>
    <row r="1003" spans="1:1" x14ac:dyDescent="0.15">
      <c r="A1003">
        <v>5</v>
      </c>
    </row>
    <row r="1004" spans="1:1" x14ac:dyDescent="0.15">
      <c r="A1004">
        <v>5</v>
      </c>
    </row>
    <row r="1005" spans="1:1" x14ac:dyDescent="0.15">
      <c r="A1005">
        <v>5.5</v>
      </c>
    </row>
    <row r="1006" spans="1:1" x14ac:dyDescent="0.15">
      <c r="A1006">
        <v>5.2</v>
      </c>
    </row>
    <row r="1007" spans="1:1" x14ac:dyDescent="0.15">
      <c r="A1007">
        <v>5.3709800000000003</v>
      </c>
    </row>
    <row r="1008" spans="1:1" x14ac:dyDescent="0.15">
      <c r="A1008">
        <v>5.1203500000000002</v>
      </c>
    </row>
    <row r="1009" spans="1:1" x14ac:dyDescent="0.15">
      <c r="A1009">
        <v>5.1203500000000002</v>
      </c>
    </row>
    <row r="1010" spans="1:1" x14ac:dyDescent="0.15">
      <c r="A1010">
        <v>5.2</v>
      </c>
    </row>
    <row r="1011" spans="1:1" x14ac:dyDescent="0.15">
      <c r="A1011">
        <v>5.2</v>
      </c>
    </row>
    <row r="1012" spans="1:1" x14ac:dyDescent="0.15">
      <c r="A1012">
        <v>5</v>
      </c>
    </row>
    <row r="1013" spans="1:1" x14ac:dyDescent="0.15">
      <c r="A1013">
        <v>5</v>
      </c>
    </row>
    <row r="1014" spans="1:1" x14ac:dyDescent="0.15">
      <c r="A1014">
        <v>4.4000000000000004</v>
      </c>
    </row>
    <row r="1015" spans="1:1" x14ac:dyDescent="0.15">
      <c r="A1015">
        <v>4.4000000000000004</v>
      </c>
    </row>
    <row r="1016" spans="1:1" x14ac:dyDescent="0.15">
      <c r="A1016">
        <v>4</v>
      </c>
    </row>
    <row r="1017" spans="1:1" x14ac:dyDescent="0.15">
      <c r="A1017">
        <v>4.5</v>
      </c>
    </row>
    <row r="1018" spans="1:1" x14ac:dyDescent="0.15">
      <c r="A1018">
        <v>4</v>
      </c>
    </row>
    <row r="1019" spans="1:1" x14ac:dyDescent="0.15">
      <c r="A1019">
        <v>4.5</v>
      </c>
    </row>
    <row r="1020" spans="1:1" x14ac:dyDescent="0.15">
      <c r="A1020">
        <v>4.8</v>
      </c>
    </row>
    <row r="1021" spans="1:1" x14ac:dyDescent="0.15">
      <c r="A1021">
        <v>5</v>
      </c>
    </row>
    <row r="1022" spans="1:1" x14ac:dyDescent="0.15">
      <c r="A1022">
        <v>4</v>
      </c>
    </row>
    <row r="1023" spans="1:1" x14ac:dyDescent="0.15">
      <c r="A1023">
        <v>4</v>
      </c>
    </row>
    <row r="1024" spans="1:1" x14ac:dyDescent="0.15">
      <c r="A1024">
        <v>4</v>
      </c>
    </row>
    <row r="1025" spans="1:1" x14ac:dyDescent="0.15">
      <c r="A1025">
        <v>4</v>
      </c>
    </row>
    <row r="1026" spans="1:1" x14ac:dyDescent="0.15">
      <c r="A1026">
        <v>5.0966699999999996</v>
      </c>
    </row>
    <row r="1027" spans="1:1" x14ac:dyDescent="0.15">
      <c r="A1027">
        <v>5</v>
      </c>
    </row>
    <row r="1028" spans="1:1" x14ac:dyDescent="0.15">
      <c r="A1028">
        <v>4.5483799999999999</v>
      </c>
    </row>
    <row r="1029" spans="1:1" x14ac:dyDescent="0.15">
      <c r="A1029">
        <v>4.6386700000000003</v>
      </c>
    </row>
    <row r="1030" spans="1:1" x14ac:dyDescent="0.15">
      <c r="A1030">
        <v>4.25</v>
      </c>
    </row>
    <row r="1031" spans="1:1" x14ac:dyDescent="0.15">
      <c r="A1031">
        <v>4.6386700000000003</v>
      </c>
    </row>
    <row r="1032" spans="1:1" x14ac:dyDescent="0.15">
      <c r="A1032">
        <v>4.6386700000000003</v>
      </c>
    </row>
    <row r="1033" spans="1:1" x14ac:dyDescent="0.15">
      <c r="A1033">
        <v>4</v>
      </c>
    </row>
    <row r="1034" spans="1:1" x14ac:dyDescent="0.15">
      <c r="A1034">
        <v>4</v>
      </c>
    </row>
    <row r="1035" spans="1:1" x14ac:dyDescent="0.15">
      <c r="A1035">
        <v>4</v>
      </c>
    </row>
    <row r="1036" spans="1:1" x14ac:dyDescent="0.15">
      <c r="A1036">
        <v>4.25</v>
      </c>
    </row>
    <row r="1037" spans="1:1" x14ac:dyDescent="0.15">
      <c r="A1037">
        <v>4.25</v>
      </c>
    </row>
    <row r="1038" spans="1:1" x14ac:dyDescent="0.15">
      <c r="A1038">
        <v>5.2</v>
      </c>
    </row>
    <row r="1039" spans="1:1" x14ac:dyDescent="0.15">
      <c r="A1039">
        <v>5</v>
      </c>
    </row>
    <row r="1040" spans="1:1" x14ac:dyDescent="0.15">
      <c r="A1040">
        <v>5</v>
      </c>
    </row>
    <row r="1041" spans="1:1" x14ac:dyDescent="0.15">
      <c r="A1041">
        <v>5.5</v>
      </c>
    </row>
    <row r="1042" spans="1:1" x14ac:dyDescent="0.15">
      <c r="A1042">
        <v>4</v>
      </c>
    </row>
    <row r="1043" spans="1:1" x14ac:dyDescent="0.15">
      <c r="A1043">
        <v>4</v>
      </c>
    </row>
    <row r="1044" spans="1:1" x14ac:dyDescent="0.15">
      <c r="A1044">
        <v>4</v>
      </c>
    </row>
    <row r="1045" spans="1:1" x14ac:dyDescent="0.15">
      <c r="A1045">
        <v>4</v>
      </c>
    </row>
    <row r="1046" spans="1:1" x14ac:dyDescent="0.15">
      <c r="A1046">
        <v>4.17</v>
      </c>
    </row>
    <row r="1047" spans="1:1" x14ac:dyDescent="0.15">
      <c r="A1047">
        <v>4.17</v>
      </c>
    </row>
    <row r="1048" spans="1:1" x14ac:dyDescent="0.15">
      <c r="A1048">
        <v>4.5</v>
      </c>
    </row>
    <row r="1049" spans="1:1" x14ac:dyDescent="0.15">
      <c r="A1049">
        <v>4.9804599999999999</v>
      </c>
    </row>
    <row r="1050" spans="1:1" x14ac:dyDescent="0.15">
      <c r="A1050">
        <v>4</v>
      </c>
    </row>
    <row r="1051" spans="1:1" x14ac:dyDescent="0.15">
      <c r="A1051">
        <v>5</v>
      </c>
    </row>
    <row r="1052" spans="1:1" x14ac:dyDescent="0.15">
      <c r="A1052">
        <v>4.5163000000000002</v>
      </c>
    </row>
    <row r="1053" spans="1:1" x14ac:dyDescent="0.15">
      <c r="A1053">
        <v>4.5163000000000002</v>
      </c>
    </row>
    <row r="1054" spans="1:1" x14ac:dyDescent="0.15">
      <c r="A1054">
        <v>4.5</v>
      </c>
    </row>
    <row r="1055" spans="1:1" x14ac:dyDescent="0.15">
      <c r="A1055">
        <v>4.25</v>
      </c>
    </row>
    <row r="1056" spans="1:1" x14ac:dyDescent="0.15">
      <c r="A1056">
        <v>4.0349399999999997</v>
      </c>
    </row>
    <row r="1057" spans="1:1" x14ac:dyDescent="0.15">
      <c r="A1057">
        <v>4.0349399999999997</v>
      </c>
    </row>
    <row r="1058" spans="1:1" x14ac:dyDescent="0.15">
      <c r="A1058">
        <v>4.0349399999999997</v>
      </c>
    </row>
    <row r="1059" spans="1:1" x14ac:dyDescent="0.15">
      <c r="A1059">
        <v>4.23339</v>
      </c>
    </row>
    <row r="1060" spans="1:1" x14ac:dyDescent="0.15">
      <c r="A1060">
        <v>4.23339</v>
      </c>
    </row>
    <row r="1061" spans="1:1" x14ac:dyDescent="0.15">
      <c r="A1061">
        <v>4.25</v>
      </c>
    </row>
    <row r="1062" spans="1:1" x14ac:dyDescent="0.15">
      <c r="A1062">
        <v>4.25</v>
      </c>
    </row>
    <row r="1063" spans="1:1" x14ac:dyDescent="0.15">
      <c r="A1063">
        <v>5</v>
      </c>
    </row>
    <row r="1064" spans="1:1" x14ac:dyDescent="0.15">
      <c r="A1064">
        <v>5</v>
      </c>
    </row>
    <row r="1065" spans="1:1" x14ac:dyDescent="0.15">
      <c r="A1065">
        <v>6</v>
      </c>
    </row>
    <row r="1066" spans="1:1" x14ac:dyDescent="0.15">
      <c r="A1066">
        <v>4.25</v>
      </c>
    </row>
    <row r="1067" spans="1:1" x14ac:dyDescent="0.15">
      <c r="A1067">
        <v>5.25</v>
      </c>
    </row>
    <row r="1068" spans="1:1" x14ac:dyDescent="0.15">
      <c r="A1068">
        <v>5</v>
      </c>
    </row>
    <row r="1069" spans="1:1" x14ac:dyDescent="0.15">
      <c r="A1069">
        <v>5</v>
      </c>
    </row>
    <row r="1070" spans="1:1" x14ac:dyDescent="0.15">
      <c r="A1070">
        <v>4.5163000000000002</v>
      </c>
    </row>
    <row r="1071" spans="1:1" x14ac:dyDescent="0.15">
      <c r="A1071">
        <v>4.5163000000000002</v>
      </c>
    </row>
    <row r="1072" spans="1:1" x14ac:dyDescent="0.15">
      <c r="A1072">
        <v>4</v>
      </c>
    </row>
    <row r="1073" spans="1:1" x14ac:dyDescent="0.15">
      <c r="A1073">
        <v>4</v>
      </c>
    </row>
    <row r="1074" spans="1:1" x14ac:dyDescent="0.15">
      <c r="A1074">
        <v>5</v>
      </c>
    </row>
    <row r="1075" spans="1:1" x14ac:dyDescent="0.15">
      <c r="A1075">
        <v>5.5</v>
      </c>
    </row>
    <row r="1076" spans="1:1" x14ac:dyDescent="0.15">
      <c r="A1076">
        <v>5.5</v>
      </c>
    </row>
    <row r="1077" spans="1:1" x14ac:dyDescent="0.15">
      <c r="A1077">
        <v>4.5540000000000003</v>
      </c>
    </row>
    <row r="1078" spans="1:1" x14ac:dyDescent="0.15">
      <c r="A1078">
        <v>4.6539999999999999</v>
      </c>
    </row>
    <row r="1079" spans="1:1" x14ac:dyDescent="0.15">
      <c r="A1079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Gig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KRISSANA PIPUTPRUEDTIGUL</dc:creator>
  <cp:keywords/>
  <dc:description/>
  <cp:lastModifiedBy>KRISSANA PIPUTPRUEDTIGUL</cp:lastModifiedBy>
  <cp:revision/>
  <dcterms:created xsi:type="dcterms:W3CDTF">2025-03-08T14:36:14Z</dcterms:created>
  <dcterms:modified xsi:type="dcterms:W3CDTF">2025-05-09T12:40:21Z</dcterms:modified>
  <cp:category/>
  <cp:contentStatus/>
</cp:coreProperties>
</file>