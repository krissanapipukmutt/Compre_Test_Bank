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https://plcoth-my.sharepoint.com/personal/krissana_p_pl_co_th/Documents/Desktop/KMUTT/BIS602/"/>
    </mc:Choice>
  </mc:AlternateContent>
  <xr:revisionPtr revIDLastSave="0" documentId="8_{D19CD94B-5298-4FB9-B7B8-EADB664B0F12}" xr6:coauthVersionLast="47" xr6:coauthVersionMax="47" xr10:uidLastSave="{00000000-0000-0000-0000-000000000000}"/>
  <bookViews>
    <workbookView xWindow="-108" yWindow="-108" windowWidth="23256" windowHeight="12576" activeTab="1" xr2:uid="{A36BB46D-57DA-4129-8B24-FAD4E4A78FBA}"/>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2" l="1"/>
  <c r="B9" i="2"/>
  <c r="C12" i="2" s="1"/>
  <c r="B25" i="2"/>
  <c r="C34" i="2" s="1"/>
  <c r="M8" i="3"/>
  <c r="M5" i="3"/>
  <c r="M6" i="3"/>
  <c r="M4" i="3"/>
  <c r="D12" i="3"/>
  <c r="H5" i="3"/>
  <c r="H6" i="3"/>
  <c r="H4" i="3"/>
  <c r="C7" i="3"/>
  <c r="C5" i="3"/>
  <c r="C6" i="3"/>
  <c r="C4" i="3"/>
  <c r="C29" i="2"/>
  <c r="O4" i="1"/>
  <c r="O3" i="1"/>
  <c r="O5" i="1" s="1"/>
  <c r="O6" i="1" s="1"/>
  <c r="P6" i="1" s="1"/>
  <c r="K12" i="1"/>
  <c r="F3" i="1"/>
  <c r="F4" i="1"/>
  <c r="F2" i="1"/>
  <c r="F5" i="1" s="1"/>
  <c r="F7" i="1" s="1"/>
  <c r="F8" i="1" s="1"/>
  <c r="E3" i="1"/>
  <c r="E4" i="1"/>
  <c r="E2" i="1"/>
  <c r="G2" i="1"/>
  <c r="H2" i="1"/>
  <c r="C30" i="2" l="1"/>
  <c r="C27" i="2"/>
  <c r="C33" i="2"/>
  <c r="C28" i="2"/>
  <c r="C31" i="2"/>
  <c r="C32" i="2"/>
  <c r="C18" i="2"/>
  <c r="C16" i="2"/>
  <c r="C17" i="2"/>
  <c r="C15" i="2"/>
  <c r="C11" i="2"/>
  <c r="C14" i="2"/>
  <c r="C13" i="2"/>
  <c r="M7" i="3"/>
  <c r="H7" i="3"/>
  <c r="D11" i="3" s="1"/>
  <c r="D13" i="3" s="1"/>
  <c r="D14" i="3" s="1"/>
  <c r="D15" i="3" s="1"/>
  <c r="C35" i="2"/>
  <c r="E5" i="1"/>
  <c r="E7" i="1" s="1"/>
  <c r="E8" i="1" s="1"/>
  <c r="C19" i="2" l="1"/>
  <c r="F11" i="2"/>
  <c r="F10" i="2"/>
  <c r="C37" i="2"/>
  <c r="C21" i="2"/>
  <c r="F14" i="2" l="1"/>
  <c r="F15" i="2" s="1"/>
  <c r="F16" i="2" s="1"/>
</calcChain>
</file>

<file path=xl/sharedStrings.xml><?xml version="1.0" encoding="utf-8"?>
<sst xmlns="http://schemas.openxmlformats.org/spreadsheetml/2006/main" count="58" uniqueCount="35">
  <si>
    <t>P1</t>
  </si>
  <si>
    <t>P2</t>
  </si>
  <si>
    <t>pv p1</t>
  </si>
  <si>
    <t>pv p2</t>
  </si>
  <si>
    <t>Cost</t>
  </si>
  <si>
    <t>Npv</t>
  </si>
  <si>
    <t>PI</t>
  </si>
  <si>
    <t>sum pv</t>
  </si>
  <si>
    <t>sum PV</t>
  </si>
  <si>
    <t>NPV</t>
  </si>
  <si>
    <t>Fv</t>
  </si>
  <si>
    <t>Pv</t>
  </si>
  <si>
    <t>Year</t>
  </si>
  <si>
    <t>Interest</t>
  </si>
  <si>
    <t>Interrest</t>
  </si>
  <si>
    <t>13% -&gt; 8%</t>
  </si>
  <si>
    <r>
      <t>Payback</t>
    </r>
    <r>
      <rPr>
        <b/>
        <sz val="11"/>
        <color theme="1"/>
        <rFont val="Times New Roman"/>
        <family val="1"/>
      </rPr>
      <t xml:space="preserve"> =</t>
    </r>
    <r>
      <rPr>
        <b/>
        <sz val="12"/>
        <color theme="1"/>
        <rFont val="Times New Roman"/>
        <family val="1"/>
      </rPr>
      <t xml:space="preserve">  11070/2000 = 5.5 ปี</t>
    </r>
  </si>
  <si>
    <t>Outflow</t>
  </si>
  <si>
    <t>Fvn*POWER((1/(1+i))^n)</t>
  </si>
  <si>
    <t>i</t>
  </si>
  <si>
    <t>หาค่าIRR</t>
  </si>
  <si>
    <t>[13% - &gt; 8%]</t>
  </si>
  <si>
    <t>9597-11493.28</t>
  </si>
  <si>
    <t>9597-11070</t>
  </si>
  <si>
    <t>8%-13%</t>
  </si>
  <si>
    <t>-1895.74/-1472.46</t>
  </si>
  <si>
    <t>0.776721*-5</t>
  </si>
  <si>
    <t>13+(-3.88)</t>
  </si>
  <si>
    <t>IRR = 9.12%</t>
  </si>
  <si>
    <t>ดังนั้น</t>
  </si>
  <si>
    <t>payback = 5.5 ปี</t>
  </si>
  <si>
    <t>NPV = -1472.46</t>
  </si>
  <si>
    <t xml:space="preserve">ไม่ควรลงทุน
</t>
  </si>
  <si>
    <t>1.IRR (9.12%) ต่ำกว่า Cost of Capital (13%)</t>
  </si>
  <si>
    <t>2.NPV เป็นค่าลบ −1472.46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</si>
</sst>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3" formatCode="_-* #,##0.00_-;\-* #,##0.00_-;_-* &quot;-&quot;??_-;_-@_-"/>
    <numFmt numFmtId="188" formatCode="0.0000"/>
  </numFmts>
  <fonts count="5" x14ac:knownFonts="1">
    <font>
      <sz val="11"/>
      <color theme="1"/>
      <name val="Tahoma"/>
      <family val="2"/>
      <charset val="222"/>
      <scheme val="minor"/>
    </font>
    <font>
      <sz val="11"/>
      <color theme="1"/>
      <name val="Tahoma"/>
      <family val="2"/>
      <charset val="222"/>
      <scheme val="minor"/>
    </font>
    <font>
      <b/>
      <sz val="11"/>
      <color theme="1"/>
      <name val="Tahoma"/>
      <family val="2"/>
      <scheme val="minor"/>
    </font>
    <font>
      <b/>
      <sz val="12"/>
      <color theme="1"/>
      <name val="Times New Roman"/>
      <family val="1"/>
    </font>
    <font>
      <b/>
      <sz val="11"/>
      <color theme="1"/>
      <name val="Times New Roman"/>
      <family val="1"/>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8">
    <xf numFmtId="0" fontId="0" fillId="0" borderId="0" xfId="0"/>
    <xf numFmtId="8" fontId="0" fillId="0" borderId="0" xfId="0" applyNumberFormat="1"/>
    <xf numFmtId="43" fontId="0" fillId="0" borderId="0" xfId="1" applyFont="1"/>
    <xf numFmtId="188" fontId="0" fillId="0" borderId="0" xfId="0" applyNumberFormat="1"/>
    <xf numFmtId="0" fontId="0" fillId="0" borderId="0" xfId="0" applyAlignment="1">
      <alignment horizontal="center"/>
    </xf>
    <xf numFmtId="0" fontId="0" fillId="2" borderId="0" xfId="0" applyFill="1"/>
    <xf numFmtId="0" fontId="2" fillId="0" borderId="0" xfId="0" applyFont="1"/>
    <xf numFmtId="43" fontId="0" fillId="0" borderId="0" xfId="0" applyNumberFormat="1"/>
    <xf numFmtId="0" fontId="3" fillId="2" borderId="0" xfId="0" applyFont="1" applyFill="1" applyAlignment="1">
      <alignment horizontal="left"/>
    </xf>
    <xf numFmtId="0" fontId="0" fillId="2" borderId="0" xfId="0" applyFill="1" applyAlignment="1"/>
    <xf numFmtId="0" fontId="2" fillId="2" borderId="0" xfId="0" applyFont="1" applyFill="1" applyAlignment="1"/>
    <xf numFmtId="43" fontId="2" fillId="2" borderId="0" xfId="1" applyFont="1" applyFill="1" applyAlignment="1"/>
    <xf numFmtId="17" fontId="0" fillId="0" borderId="0" xfId="0" applyNumberFormat="1"/>
    <xf numFmtId="0" fontId="0" fillId="0" borderId="0" xfId="0" quotePrefix="1"/>
    <xf numFmtId="0" fontId="2" fillId="2" borderId="0" xfId="0" applyFont="1" applyFill="1"/>
    <xf numFmtId="43" fontId="0" fillId="2" borderId="0" xfId="0" applyNumberFormat="1" applyFill="1"/>
    <xf numFmtId="0" fontId="0" fillId="0" borderId="0" xfId="0" applyFill="1"/>
    <xf numFmtId="43" fontId="0" fillId="0" borderId="0" xfId="1" applyFont="1" applyFill="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60960</xdr:rowOff>
    </xdr:from>
    <xdr:to>
      <xdr:col>6</xdr:col>
      <xdr:colOff>114300</xdr:colOff>
      <xdr:row>5</xdr:row>
      <xdr:rowOff>22860</xdr:rowOff>
    </xdr:to>
    <xdr:sp macro="" textlink="">
      <xdr:nvSpPr>
        <xdr:cNvPr id="2" name="TextBox 1">
          <a:extLst>
            <a:ext uri="{FF2B5EF4-FFF2-40B4-BE49-F238E27FC236}">
              <a16:creationId xmlns:a16="http://schemas.microsoft.com/office/drawing/2014/main" id="{8BD44518-1C45-0AFA-C105-D7FE4FFD0FD8}"/>
            </a:ext>
          </a:extLst>
        </xdr:cNvPr>
        <xdr:cNvSpPr txBox="1"/>
      </xdr:nvSpPr>
      <xdr:spPr>
        <a:xfrm>
          <a:off x="76200" y="60960"/>
          <a:ext cx="4968240" cy="838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3.Warner Business Products is considering the purchase of a new machine at a cost of $11,070. The machine will provide $2,000 per year in cash flow for eight years. Warner’s cost of capital is 13 percent. Using the Payback, NPV, and IRR methods, evaluate this project and indicate whether it should be undertaken. Discuss.</a:t>
          </a:r>
        </a:p>
        <a:p>
          <a:endParaRPr lang="th-TH" sz="1100" kern="12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2D097-8546-4E45-B0A5-E16CEAE118B5}">
  <dimension ref="A1:P12"/>
  <sheetViews>
    <sheetView workbookViewId="0">
      <selection activeCell="P6" sqref="P6"/>
    </sheetView>
  </sheetViews>
  <sheetFormatPr defaultRowHeight="13.8" x14ac:dyDescent="0.25"/>
  <cols>
    <col min="2" max="3" width="10.296875" bestFit="1" customWidth="1"/>
    <col min="5" max="5" width="10.796875" bestFit="1" customWidth="1"/>
    <col min="6" max="6" width="10.296875" bestFit="1" customWidth="1"/>
    <col min="7" max="7" width="9.3984375" bestFit="1" customWidth="1"/>
    <col min="8" max="8" width="10.69921875" bestFit="1" customWidth="1"/>
  </cols>
  <sheetData>
    <row r="1" spans="1:16" x14ac:dyDescent="0.25">
      <c r="B1" t="s">
        <v>0</v>
      </c>
      <c r="C1" t="s">
        <v>1</v>
      </c>
      <c r="E1" t="s">
        <v>2</v>
      </c>
      <c r="F1" t="s">
        <v>3</v>
      </c>
    </row>
    <row r="2" spans="1:16" x14ac:dyDescent="0.25">
      <c r="A2">
        <v>1</v>
      </c>
      <c r="B2" s="2">
        <v>12000</v>
      </c>
      <c r="C2" s="2">
        <v>10000</v>
      </c>
      <c r="E2" s="1">
        <f>B2*POWER((1/(1+0.1)),A2)</f>
        <v>10909.090909090908</v>
      </c>
      <c r="F2" s="1">
        <f>C2*POWER((1/(1+0.1)),A2)</f>
        <v>9090.9090909090901</v>
      </c>
      <c r="G2" s="3">
        <f>POWER((1/(1+0.1)),A2)</f>
        <v>0.90909090909090906</v>
      </c>
      <c r="H2" s="1">
        <f>PV(0.1,,B2,A2)</f>
        <v>-1</v>
      </c>
    </row>
    <row r="3" spans="1:16" x14ac:dyDescent="0.25">
      <c r="A3">
        <v>2</v>
      </c>
      <c r="B3" s="2">
        <v>8000</v>
      </c>
      <c r="C3" s="2">
        <v>6000</v>
      </c>
      <c r="E3" s="1">
        <f t="shared" ref="E3:E4" si="0">B3*POWER((1/(1+0.1)),A3)</f>
        <v>6611.5702479338834</v>
      </c>
      <c r="F3" s="1">
        <f t="shared" ref="F3:F4" si="1">C3*POWER((1/(1+0.1)),A3)</f>
        <v>4958.6776859504125</v>
      </c>
      <c r="O3">
        <f>10177-10000</f>
        <v>177</v>
      </c>
    </row>
    <row r="4" spans="1:16" x14ac:dyDescent="0.25">
      <c r="A4">
        <v>3</v>
      </c>
      <c r="B4" s="2">
        <v>6000</v>
      </c>
      <c r="C4" s="2">
        <v>16000</v>
      </c>
      <c r="E4" s="1">
        <f t="shared" si="0"/>
        <v>4507.8888054094659</v>
      </c>
      <c r="F4" s="1">
        <f t="shared" si="1"/>
        <v>12021.036814425242</v>
      </c>
      <c r="O4">
        <f>10177-9874</f>
        <v>303</v>
      </c>
    </row>
    <row r="5" spans="1:16" x14ac:dyDescent="0.25">
      <c r="D5" t="s">
        <v>7</v>
      </c>
      <c r="E5" s="1">
        <f>SUM(E2:E4)</f>
        <v>22028.549962434256</v>
      </c>
      <c r="F5" s="1">
        <f>SUM(F2:F4)</f>
        <v>26070.623591284744</v>
      </c>
      <c r="O5">
        <f>O3/O4</f>
        <v>0.58415841584158412</v>
      </c>
    </row>
    <row r="6" spans="1:16" x14ac:dyDescent="0.25">
      <c r="D6" t="s">
        <v>4</v>
      </c>
      <c r="E6" s="2">
        <v>10000</v>
      </c>
      <c r="F6" s="2">
        <v>10000</v>
      </c>
      <c r="O6">
        <f>O5*2</f>
        <v>1.1683168316831682</v>
      </c>
      <c r="P6">
        <f>10+O6</f>
        <v>11.168316831683168</v>
      </c>
    </row>
    <row r="7" spans="1:16" x14ac:dyDescent="0.25">
      <c r="D7" t="s">
        <v>5</v>
      </c>
      <c r="E7" s="1">
        <f>E5-E6</f>
        <v>12028.549962434256</v>
      </c>
      <c r="F7" s="1">
        <f>F5-F6</f>
        <v>16070.623591284744</v>
      </c>
    </row>
    <row r="8" spans="1:16" x14ac:dyDescent="0.25">
      <c r="D8" t="s">
        <v>6</v>
      </c>
      <c r="E8">
        <f>E7/E6</f>
        <v>1.2028549962434256</v>
      </c>
      <c r="F8">
        <f>F7/F6</f>
        <v>1.6070623591284745</v>
      </c>
    </row>
    <row r="12" spans="1:16" x14ac:dyDescent="0.25">
      <c r="K12">
        <f>120/(0.1+1)</f>
        <v>109.09090909090908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5FE4F-7BFA-442E-920E-EFC64B3FF80B}">
  <dimension ref="A7:J37"/>
  <sheetViews>
    <sheetView tabSelected="1" zoomScale="85" zoomScaleNormal="85" workbookViewId="0">
      <selection activeCell="L17" sqref="L17"/>
    </sheetView>
  </sheetViews>
  <sheetFormatPr defaultRowHeight="13.8" x14ac:dyDescent="0.25"/>
  <cols>
    <col min="1" max="1" width="12.19921875" bestFit="1" customWidth="1"/>
    <col min="2" max="2" width="12.09765625" bestFit="1" customWidth="1"/>
    <col min="3" max="3" width="11.8984375" style="2" bestFit="1" customWidth="1"/>
    <col min="4" max="4" width="30.59765625" customWidth="1"/>
    <col min="5" max="5" width="17.19921875" bestFit="1" customWidth="1"/>
    <col min="6" max="6" width="10" bestFit="1" customWidth="1"/>
    <col min="7" max="7" width="11" bestFit="1" customWidth="1"/>
    <col min="8" max="8" width="10" bestFit="1" customWidth="1"/>
  </cols>
  <sheetData>
    <row r="7" spans="1:8" ht="15.6" x14ac:dyDescent="0.3">
      <c r="A7" s="8" t="s">
        <v>16</v>
      </c>
      <c r="B7" s="8"/>
      <c r="C7" s="8"/>
      <c r="D7" s="8"/>
    </row>
    <row r="8" spans="1:8" x14ac:dyDescent="0.25">
      <c r="A8" s="10" t="s">
        <v>17</v>
      </c>
      <c r="B8" s="11">
        <v>11070</v>
      </c>
    </row>
    <row r="9" spans="1:8" x14ac:dyDescent="0.25">
      <c r="A9" s="16" t="s">
        <v>13</v>
      </c>
      <c r="B9" s="16">
        <f>13/100</f>
        <v>0.13</v>
      </c>
      <c r="C9" s="17" t="s">
        <v>18</v>
      </c>
      <c r="D9" s="16"/>
    </row>
    <row r="10" spans="1:8" x14ac:dyDescent="0.25">
      <c r="A10" t="s">
        <v>12</v>
      </c>
      <c r="B10" t="s">
        <v>10</v>
      </c>
      <c r="C10" s="2" t="s">
        <v>11</v>
      </c>
      <c r="E10" t="s">
        <v>22</v>
      </c>
      <c r="F10" s="7">
        <f>C19-C35</f>
        <v>-1895.7372985621223</v>
      </c>
      <c r="G10" t="s">
        <v>21</v>
      </c>
    </row>
    <row r="11" spans="1:8" x14ac:dyDescent="0.25">
      <c r="A11">
        <v>1</v>
      </c>
      <c r="B11">
        <v>2000</v>
      </c>
      <c r="C11" s="2">
        <f>B11*(1/(1+$B$9))^A11</f>
        <v>1769.9115044247787</v>
      </c>
      <c r="E11" t="s">
        <v>23</v>
      </c>
      <c r="F11" s="7">
        <f>C19-B8</f>
        <v>-1472.4594111115257</v>
      </c>
      <c r="G11" s="7"/>
      <c r="H11" s="7"/>
    </row>
    <row r="12" spans="1:8" x14ac:dyDescent="0.25">
      <c r="A12">
        <v>2</v>
      </c>
      <c r="B12">
        <v>2000</v>
      </c>
      <c r="C12" s="2">
        <f t="shared" ref="C12:C18" si="0">B12*(1/(1+$B$9))^A12</f>
        <v>1566.293366747592</v>
      </c>
      <c r="E12" s="12" t="s">
        <v>24</v>
      </c>
      <c r="F12" s="7">
        <f>8-13</f>
        <v>-5</v>
      </c>
      <c r="G12" s="7"/>
      <c r="H12" s="7"/>
    </row>
    <row r="13" spans="1:8" x14ac:dyDescent="0.25">
      <c r="A13">
        <v>3</v>
      </c>
      <c r="B13">
        <v>2000</v>
      </c>
      <c r="C13" s="2">
        <f t="shared" si="0"/>
        <v>1386.1003245553911</v>
      </c>
    </row>
    <row r="14" spans="1:8" x14ac:dyDescent="0.25">
      <c r="A14">
        <v>4</v>
      </c>
      <c r="B14">
        <v>2000</v>
      </c>
      <c r="C14" s="2">
        <f t="shared" si="0"/>
        <v>1226.6374553587534</v>
      </c>
      <c r="E14" s="13" t="s">
        <v>25</v>
      </c>
      <c r="F14">
        <f>F11/F10</f>
        <v>0.77672123254016046</v>
      </c>
    </row>
    <row r="15" spans="1:8" x14ac:dyDescent="0.25">
      <c r="A15">
        <v>5</v>
      </c>
      <c r="B15">
        <v>2000</v>
      </c>
      <c r="C15" s="2">
        <f t="shared" si="0"/>
        <v>1085.5198719988969</v>
      </c>
      <c r="E15" t="s">
        <v>26</v>
      </c>
      <c r="F15" s="7">
        <f>F14*F12</f>
        <v>-3.8836061627008025</v>
      </c>
    </row>
    <row r="16" spans="1:8" x14ac:dyDescent="0.25">
      <c r="A16">
        <v>6</v>
      </c>
      <c r="B16">
        <v>2000</v>
      </c>
      <c r="C16" s="2">
        <f t="shared" si="0"/>
        <v>960.63705486628044</v>
      </c>
      <c r="E16" s="13" t="s">
        <v>27</v>
      </c>
      <c r="F16" s="7">
        <f>(B9*100)+F15</f>
        <v>9.1163938372991975</v>
      </c>
    </row>
    <row r="17" spans="1:10" x14ac:dyDescent="0.25">
      <c r="A17">
        <v>7</v>
      </c>
      <c r="B17">
        <v>2000</v>
      </c>
      <c r="C17" s="2">
        <f t="shared" si="0"/>
        <v>850.1212874922835</v>
      </c>
    </row>
    <row r="18" spans="1:10" x14ac:dyDescent="0.25">
      <c r="A18">
        <v>8</v>
      </c>
      <c r="B18">
        <v>2000</v>
      </c>
      <c r="C18" s="2">
        <f t="shared" si="0"/>
        <v>752.31972344449878</v>
      </c>
    </row>
    <row r="19" spans="1:10" x14ac:dyDescent="0.25">
      <c r="A19" s="4" t="s">
        <v>8</v>
      </c>
      <c r="B19" s="4"/>
      <c r="C19" s="2">
        <f>SUM(C11:C18)</f>
        <v>9597.5405888884743</v>
      </c>
      <c r="E19" s="5"/>
      <c r="F19" s="5"/>
      <c r="G19" s="5"/>
      <c r="H19" s="5"/>
      <c r="I19" s="5"/>
      <c r="J19" s="5"/>
    </row>
    <row r="20" spans="1:10" x14ac:dyDescent="0.25">
      <c r="A20" s="4" t="s">
        <v>17</v>
      </c>
      <c r="B20" s="4"/>
      <c r="C20" s="2">
        <v>11070</v>
      </c>
      <c r="E20" s="5"/>
      <c r="F20" s="14" t="s">
        <v>29</v>
      </c>
      <c r="G20" s="5"/>
      <c r="H20" s="15"/>
      <c r="I20" s="5"/>
      <c r="J20" s="5"/>
    </row>
    <row r="21" spans="1:10" x14ac:dyDescent="0.25">
      <c r="A21" s="4" t="s">
        <v>9</v>
      </c>
      <c r="B21" s="4"/>
      <c r="C21" s="2">
        <f>C19-C20</f>
        <v>-1472.4594111115257</v>
      </c>
      <c r="E21" s="5"/>
      <c r="F21" s="14" t="s">
        <v>30</v>
      </c>
      <c r="G21" s="5"/>
      <c r="H21" s="15"/>
      <c r="I21" s="5"/>
      <c r="J21" s="5"/>
    </row>
    <row r="22" spans="1:10" x14ac:dyDescent="0.25">
      <c r="E22" s="5"/>
      <c r="F22" s="14" t="s">
        <v>31</v>
      </c>
      <c r="G22" s="5"/>
      <c r="H22" s="5"/>
      <c r="I22" s="5"/>
      <c r="J22" s="5"/>
    </row>
    <row r="23" spans="1:10" x14ac:dyDescent="0.25">
      <c r="A23" s="6" t="s">
        <v>20</v>
      </c>
      <c r="E23" s="5"/>
      <c r="F23" s="14" t="s">
        <v>28</v>
      </c>
      <c r="G23" s="5"/>
      <c r="H23" s="5"/>
      <c r="I23" s="5"/>
      <c r="J23" s="5"/>
    </row>
    <row r="24" spans="1:10" x14ac:dyDescent="0.25">
      <c r="A24" t="s">
        <v>14</v>
      </c>
      <c r="B24" t="s">
        <v>15</v>
      </c>
      <c r="E24" s="5"/>
      <c r="F24" s="5"/>
      <c r="G24" s="5"/>
      <c r="H24" s="5"/>
      <c r="I24" s="5"/>
      <c r="J24" s="5"/>
    </row>
    <row r="25" spans="1:10" x14ac:dyDescent="0.25">
      <c r="A25" s="16" t="s">
        <v>13</v>
      </c>
      <c r="B25" s="16">
        <f>8/100</f>
        <v>0.08</v>
      </c>
      <c r="C25" s="17" t="s">
        <v>18</v>
      </c>
      <c r="D25" s="16"/>
      <c r="E25" s="5"/>
      <c r="F25" s="10" t="s">
        <v>32</v>
      </c>
      <c r="G25" s="5"/>
      <c r="H25" s="5"/>
      <c r="I25" s="5"/>
      <c r="J25" s="5"/>
    </row>
    <row r="26" spans="1:10" x14ac:dyDescent="0.25">
      <c r="A26" t="s">
        <v>12</v>
      </c>
      <c r="B26" t="s">
        <v>10</v>
      </c>
      <c r="C26" s="2" t="s">
        <v>11</v>
      </c>
      <c r="E26" s="5"/>
      <c r="F26" s="5" t="s">
        <v>33</v>
      </c>
      <c r="G26" s="5"/>
      <c r="H26" s="5"/>
      <c r="I26" s="5"/>
      <c r="J26" s="5"/>
    </row>
    <row r="27" spans="1:10" x14ac:dyDescent="0.25">
      <c r="A27">
        <v>1</v>
      </c>
      <c r="B27">
        <v>2000</v>
      </c>
      <c r="C27" s="2">
        <f>B27*(1/(1+$B$25))^A27</f>
        <v>1851.8518518518517</v>
      </c>
      <c r="E27" s="5"/>
      <c r="F27" s="9" t="s">
        <v>34</v>
      </c>
      <c r="G27" s="5"/>
      <c r="H27" s="5"/>
      <c r="I27" s="5"/>
      <c r="J27" s="5"/>
    </row>
    <row r="28" spans="1:10" x14ac:dyDescent="0.25">
      <c r="A28">
        <v>2</v>
      </c>
      <c r="B28">
        <v>2000</v>
      </c>
      <c r="C28" s="2">
        <f t="shared" ref="C28:C34" si="1">B28*(1/(1+$B$25))^A28</f>
        <v>1714.6776406035663</v>
      </c>
      <c r="E28" s="5"/>
      <c r="F28" s="5"/>
      <c r="G28" s="5"/>
      <c r="H28" s="5"/>
      <c r="I28" s="5"/>
      <c r="J28" s="5"/>
    </row>
    <row r="29" spans="1:10" x14ac:dyDescent="0.25">
      <c r="A29">
        <v>3</v>
      </c>
      <c r="B29">
        <v>2000</v>
      </c>
      <c r="C29" s="2">
        <f t="shared" si="1"/>
        <v>1587.664482040339</v>
      </c>
    </row>
    <row r="30" spans="1:10" x14ac:dyDescent="0.25">
      <c r="A30">
        <v>4</v>
      </c>
      <c r="B30">
        <v>2000</v>
      </c>
      <c r="C30" s="2">
        <f t="shared" si="1"/>
        <v>1470.0597055929063</v>
      </c>
    </row>
    <row r="31" spans="1:10" x14ac:dyDescent="0.25">
      <c r="A31">
        <v>5</v>
      </c>
      <c r="B31">
        <v>2000</v>
      </c>
      <c r="C31" s="2">
        <f t="shared" si="1"/>
        <v>1361.1663940675055</v>
      </c>
    </row>
    <row r="32" spans="1:10" x14ac:dyDescent="0.25">
      <c r="A32">
        <v>6</v>
      </c>
      <c r="B32">
        <v>2000</v>
      </c>
      <c r="C32" s="2">
        <f t="shared" si="1"/>
        <v>1260.3392537662089</v>
      </c>
    </row>
    <row r="33" spans="1:7" x14ac:dyDescent="0.25">
      <c r="A33">
        <v>7</v>
      </c>
      <c r="B33">
        <v>2000</v>
      </c>
      <c r="C33" s="2">
        <f t="shared" si="1"/>
        <v>1166.9807905242674</v>
      </c>
    </row>
    <row r="34" spans="1:7" x14ac:dyDescent="0.25">
      <c r="A34">
        <v>8</v>
      </c>
      <c r="B34">
        <v>2000</v>
      </c>
      <c r="C34" s="2">
        <f t="shared" si="1"/>
        <v>1080.5377690039513</v>
      </c>
    </row>
    <row r="35" spans="1:7" x14ac:dyDescent="0.25">
      <c r="A35" s="4" t="s">
        <v>8</v>
      </c>
      <c r="B35" s="4"/>
      <c r="C35" s="2">
        <f>SUM(C27:C34)</f>
        <v>11493.277887450597</v>
      </c>
    </row>
    <row r="36" spans="1:7" x14ac:dyDescent="0.25">
      <c r="A36" s="4" t="s">
        <v>17</v>
      </c>
      <c r="B36" s="4"/>
      <c r="C36" s="2">
        <v>11070</v>
      </c>
      <c r="G36" s="7"/>
    </row>
    <row r="37" spans="1:7" x14ac:dyDescent="0.25">
      <c r="A37" s="4" t="s">
        <v>9</v>
      </c>
      <c r="B37" s="4"/>
      <c r="C37" s="2">
        <f>C35-C36</f>
        <v>423.27788745059661</v>
      </c>
    </row>
  </sheetData>
  <mergeCells count="7">
    <mergeCell ref="A7:D7"/>
    <mergeCell ref="A19:B19"/>
    <mergeCell ref="A20:B20"/>
    <mergeCell ref="A21:B21"/>
    <mergeCell ref="A35:B35"/>
    <mergeCell ref="A36:B36"/>
    <mergeCell ref="A37:B3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49FF0-4685-4123-AB17-B8795C6D3065}">
  <dimension ref="A1:M15"/>
  <sheetViews>
    <sheetView workbookViewId="0">
      <selection activeCell="M8" sqref="M8"/>
    </sheetView>
  </sheetViews>
  <sheetFormatPr defaultRowHeight="13.8" x14ac:dyDescent="0.25"/>
  <cols>
    <col min="2" max="2" width="9.296875" bestFit="1" customWidth="1"/>
    <col min="3" max="3" width="10.296875" bestFit="1" customWidth="1"/>
    <col min="7" max="7" width="9.296875" bestFit="1" customWidth="1"/>
    <col min="8" max="8" width="10.296875" bestFit="1" customWidth="1"/>
    <col min="12" max="13" width="9.296875" bestFit="1" customWidth="1"/>
  </cols>
  <sheetData>
    <row r="1" spans="1:13" x14ac:dyDescent="0.25">
      <c r="A1" t="s">
        <v>17</v>
      </c>
      <c r="B1">
        <v>10000</v>
      </c>
      <c r="F1" t="s">
        <v>17</v>
      </c>
      <c r="G1">
        <v>10000</v>
      </c>
      <c r="K1" t="s">
        <v>17</v>
      </c>
      <c r="L1">
        <v>10000</v>
      </c>
    </row>
    <row r="2" spans="1:13" x14ac:dyDescent="0.25">
      <c r="A2" t="s">
        <v>19</v>
      </c>
      <c r="B2">
        <v>0.1</v>
      </c>
      <c r="F2" t="s">
        <v>19</v>
      </c>
      <c r="G2">
        <v>0.12</v>
      </c>
      <c r="K2" t="s">
        <v>19</v>
      </c>
      <c r="L2">
        <v>0.117661</v>
      </c>
    </row>
    <row r="3" spans="1:13" x14ac:dyDescent="0.25">
      <c r="A3" t="s">
        <v>12</v>
      </c>
      <c r="B3" t="s">
        <v>10</v>
      </c>
      <c r="C3" s="2" t="s">
        <v>11</v>
      </c>
      <c r="F3" t="s">
        <v>12</v>
      </c>
      <c r="G3" t="s">
        <v>10</v>
      </c>
      <c r="H3" s="2" t="s">
        <v>11</v>
      </c>
      <c r="K3" t="s">
        <v>12</v>
      </c>
      <c r="L3" t="s">
        <v>10</v>
      </c>
      <c r="M3" s="2" t="s">
        <v>11</v>
      </c>
    </row>
    <row r="4" spans="1:13" x14ac:dyDescent="0.25">
      <c r="A4">
        <v>1</v>
      </c>
      <c r="B4" s="2">
        <v>5000</v>
      </c>
      <c r="C4" s="2">
        <f>B4*(1/(1+$B$2))^A4</f>
        <v>4545.454545454545</v>
      </c>
      <c r="F4">
        <v>1</v>
      </c>
      <c r="G4" s="2">
        <v>5000</v>
      </c>
      <c r="H4" s="2">
        <f>G4*(1/(1+$G$2))^F4</f>
        <v>4464.2857142857138</v>
      </c>
      <c r="K4">
        <v>1</v>
      </c>
      <c r="L4" s="2">
        <v>5000</v>
      </c>
      <c r="M4" s="2">
        <f>L4*(1/(1+$L$2))^K4</f>
        <v>4473.6284078982799</v>
      </c>
    </row>
    <row r="5" spans="1:13" x14ac:dyDescent="0.25">
      <c r="A5">
        <v>2</v>
      </c>
      <c r="B5" s="2">
        <v>5000</v>
      </c>
      <c r="C5" s="2">
        <f t="shared" ref="C5:C6" si="0">B5*(1/(1+$B$2))^A5</f>
        <v>4132.2314049586776</v>
      </c>
      <c r="F5">
        <v>2</v>
      </c>
      <c r="G5" s="2">
        <v>5000</v>
      </c>
      <c r="H5" s="2">
        <f t="shared" ref="H5:H6" si="1">G5*(1/(1+$G$2))^F5</f>
        <v>3985.9693877551017</v>
      </c>
      <c r="K5">
        <v>2</v>
      </c>
      <c r="L5" s="2">
        <v>5000</v>
      </c>
      <c r="M5" s="2">
        <f t="shared" ref="M5:M6" si="2">L5*(1/(1+$L$2))^K5</f>
        <v>4002.6702263909001</v>
      </c>
    </row>
    <row r="6" spans="1:13" x14ac:dyDescent="0.25">
      <c r="A6">
        <v>3</v>
      </c>
      <c r="B6" s="2">
        <v>2000</v>
      </c>
      <c r="C6" s="2">
        <f t="shared" si="0"/>
        <v>1502.6296018031553</v>
      </c>
      <c r="F6">
        <v>3</v>
      </c>
      <c r="G6" s="2">
        <v>2000</v>
      </c>
      <c r="H6" s="2">
        <f t="shared" si="1"/>
        <v>1423.5604956268219</v>
      </c>
      <c r="K6">
        <v>3</v>
      </c>
      <c r="L6" s="2">
        <v>2000</v>
      </c>
      <c r="M6" s="2">
        <f t="shared" si="2"/>
        <v>1432.5167385784778</v>
      </c>
    </row>
    <row r="7" spans="1:13" x14ac:dyDescent="0.25">
      <c r="C7" s="7">
        <f>SUM(C4:C6)</f>
        <v>10180.315552216378</v>
      </c>
      <c r="H7" s="7">
        <f>SUM(H4:H6)</f>
        <v>9873.8155976676371</v>
      </c>
      <c r="M7" s="7">
        <f>SUM(M4:M6)</f>
        <v>9908.8153728676571</v>
      </c>
    </row>
    <row r="8" spans="1:13" x14ac:dyDescent="0.25">
      <c r="M8" s="7">
        <f>L1-M7</f>
        <v>91.184627132342939</v>
      </c>
    </row>
    <row r="11" spans="1:13" x14ac:dyDescent="0.25">
      <c r="D11" s="7">
        <f>C7-H7</f>
        <v>306.49995454874079</v>
      </c>
    </row>
    <row r="12" spans="1:13" x14ac:dyDescent="0.25">
      <c r="D12" s="7">
        <f>C7-B1</f>
        <v>180.31555221637791</v>
      </c>
    </row>
    <row r="13" spans="1:13" x14ac:dyDescent="0.25">
      <c r="D13">
        <f>D12/D11</f>
        <v>0.58830531470014769</v>
      </c>
    </row>
    <row r="14" spans="1:13" x14ac:dyDescent="0.25">
      <c r="D14">
        <f>D13*2</f>
        <v>1.1766106294002954</v>
      </c>
    </row>
    <row r="15" spans="1:13" x14ac:dyDescent="0.25">
      <c r="D15">
        <f>10+D14</f>
        <v>11.176610629400296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Krissana Piputpruedtigul</dc:creator>
  <cp:lastModifiedBy>Krissana Piputpruedtigul</cp:lastModifiedBy>
  <dcterms:created xsi:type="dcterms:W3CDTF">2025-01-25T02:46:39Z</dcterms:created>
  <dcterms:modified xsi:type="dcterms:W3CDTF">2025-01-25T08:26:32Z</dcterms:modified>
</cp:coreProperties>
</file>