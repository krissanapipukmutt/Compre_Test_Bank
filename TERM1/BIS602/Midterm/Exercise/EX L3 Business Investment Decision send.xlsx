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mc:AlternateContent xmlns:mc="http://schemas.openxmlformats.org/markup-compatibility/2006">
    <mc:Choice Requires="x15">
      <x15ac:absPath xmlns:x15ac="http://schemas.microsoft.com/office/spreadsheetml/2010/11/ac" url="https://plcoth-my.sharepoint.com/personal/krissana_p_pl_co_th/Documents/Desktop/KMUTT/BIS602/"/>
    </mc:Choice>
  </mc:AlternateContent>
  <xr:revisionPtr revIDLastSave="461" documentId="8_{7EA3A160-1263-4544-833C-63C5C5AC54B3}" xr6:coauthVersionLast="47" xr6:coauthVersionMax="47" xr10:uidLastSave="{3B73F2F7-9577-4B19-8898-55F0D25CA7E3}"/>
  <bookViews>
    <workbookView xWindow="-108" yWindow="-108" windowWidth="23256" windowHeight="12576" firstSheet="1" activeTab="1" xr2:uid="{5F378E56-CF6A-4C1F-AFA7-E9FF6992DB12}"/>
  </bookViews>
  <sheets>
    <sheet name="1" sheetId="3" r:id="rId1"/>
    <sheet name="2" sheetId="2" r:id="rId2"/>
    <sheet name="3"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2" l="1"/>
  <c r="M11" i="2"/>
  <c r="M10" i="2"/>
  <c r="D46" i="2"/>
  <c r="C31" i="2"/>
  <c r="M24" i="2"/>
  <c r="M14" i="2"/>
  <c r="M15" i="2"/>
  <c r="M16" i="2"/>
  <c r="M17" i="2"/>
  <c r="M18" i="2"/>
  <c r="M19" i="2"/>
  <c r="M20" i="2"/>
  <c r="M21" i="2"/>
  <c r="M22" i="2"/>
  <c r="M23" i="2"/>
  <c r="M13" i="2"/>
  <c r="M12" i="2"/>
  <c r="D65" i="2"/>
  <c r="D66" i="2"/>
  <c r="D27" i="2"/>
  <c r="I10" i="3"/>
  <c r="D10" i="3"/>
  <c r="H4" i="3"/>
  <c r="C4" i="3"/>
  <c r="H8" i="3"/>
  <c r="I8" i="3"/>
  <c r="G14" i="1"/>
  <c r="G15" i="1"/>
  <c r="G16" i="1"/>
  <c r="G17" i="1"/>
  <c r="G18" i="1"/>
  <c r="G19" i="1"/>
  <c r="G20" i="1"/>
  <c r="G13" i="1"/>
  <c r="B14" i="1"/>
  <c r="B15" i="1"/>
  <c r="B16" i="1"/>
  <c r="B17" i="1"/>
  <c r="B18" i="1"/>
  <c r="B19" i="1"/>
  <c r="B20" i="1"/>
  <c r="B13" i="1"/>
  <c r="C51" i="2"/>
  <c r="D53" i="2"/>
  <c r="D54" i="2"/>
  <c r="D55" i="2"/>
  <c r="D56" i="2"/>
  <c r="D57" i="2"/>
  <c r="D58" i="2"/>
  <c r="D59" i="2"/>
  <c r="D60" i="2"/>
  <c r="D61" i="2"/>
  <c r="D62" i="2"/>
  <c r="D63" i="2"/>
  <c r="D64" i="2"/>
  <c r="C12" i="2"/>
  <c r="C16" i="2"/>
  <c r="D16" i="2"/>
  <c r="C57" i="2"/>
  <c r="B64" i="2"/>
  <c r="B63" i="2"/>
  <c r="B62" i="2"/>
  <c r="B61" i="2"/>
  <c r="B60" i="2"/>
  <c r="B59" i="2"/>
  <c r="B58" i="2"/>
  <c r="B57" i="2"/>
  <c r="B56" i="2"/>
  <c r="B55" i="2"/>
  <c r="B54" i="2"/>
  <c r="B53" i="2"/>
  <c r="B44" i="2"/>
  <c r="B43" i="2"/>
  <c r="B42" i="2"/>
  <c r="B41" i="2"/>
  <c r="B40" i="2"/>
  <c r="B39" i="2"/>
  <c r="B38" i="2"/>
  <c r="B37" i="2"/>
  <c r="B36" i="2"/>
  <c r="B35" i="2"/>
  <c r="B34" i="2"/>
  <c r="B33" i="2"/>
  <c r="B15" i="2"/>
  <c r="B16" i="2"/>
  <c r="B17" i="2"/>
  <c r="B18" i="2"/>
  <c r="B19" i="2"/>
  <c r="B20" i="2"/>
  <c r="B21" i="2"/>
  <c r="B22" i="2"/>
  <c r="B23" i="2"/>
  <c r="B24" i="2"/>
  <c r="B25" i="2"/>
  <c r="B14" i="2"/>
  <c r="G11" i="1"/>
  <c r="H18" i="1"/>
  <c r="I18" i="1"/>
  <c r="P14" i="1"/>
  <c r="B11" i="1"/>
  <c r="C16" i="1"/>
  <c r="D16" i="1"/>
  <c r="H6" i="3"/>
  <c r="I6" i="3"/>
  <c r="I9" i="3"/>
  <c r="I11" i="3"/>
  <c r="H7" i="3"/>
  <c r="I7" i="3"/>
  <c r="C8" i="3"/>
  <c r="D8" i="3"/>
  <c r="C6" i="3"/>
  <c r="D6" i="3"/>
  <c r="C7" i="3"/>
  <c r="D7" i="3"/>
  <c r="C13" i="1"/>
  <c r="D13" i="1"/>
  <c r="C15" i="1"/>
  <c r="D15" i="1"/>
  <c r="H16" i="1"/>
  <c r="I16" i="1"/>
  <c r="H14" i="1"/>
  <c r="I14" i="1"/>
  <c r="C14" i="1"/>
  <c r="D14" i="1"/>
  <c r="H13" i="1"/>
  <c r="I13" i="1"/>
  <c r="H20" i="1"/>
  <c r="I20" i="1"/>
  <c r="H19" i="1"/>
  <c r="I19" i="1"/>
  <c r="H17" i="1"/>
  <c r="I17" i="1"/>
  <c r="C17" i="1"/>
  <c r="D17" i="1"/>
  <c r="H15" i="1"/>
  <c r="I15" i="1"/>
  <c r="C20" i="1"/>
  <c r="D20" i="1"/>
  <c r="C19" i="1"/>
  <c r="D19" i="1"/>
  <c r="C18" i="1"/>
  <c r="D18" i="1"/>
  <c r="C64" i="2"/>
  <c r="C56" i="2"/>
  <c r="C63" i="2"/>
  <c r="C60" i="2"/>
  <c r="C59" i="2"/>
  <c r="C55" i="2"/>
  <c r="C62" i="2"/>
  <c r="C54" i="2"/>
  <c r="C61" i="2"/>
  <c r="C58" i="2"/>
  <c r="C53" i="2"/>
  <c r="C24" i="2"/>
  <c r="D24" i="2"/>
  <c r="C25" i="2"/>
  <c r="D25" i="2"/>
  <c r="C20" i="2"/>
  <c r="D20" i="2"/>
  <c r="C19" i="2"/>
  <c r="D19" i="2"/>
  <c r="C18" i="2"/>
  <c r="D18" i="2"/>
  <c r="C17" i="2"/>
  <c r="D17" i="2"/>
  <c r="C21" i="2"/>
  <c r="D21" i="2"/>
  <c r="C14" i="2"/>
  <c r="D14" i="2"/>
  <c r="C23" i="2"/>
  <c r="D23" i="2"/>
  <c r="C15" i="2"/>
  <c r="D15" i="2"/>
  <c r="C22" i="2"/>
  <c r="D22" i="2"/>
  <c r="D9" i="3"/>
  <c r="D67" i="2"/>
  <c r="I21" i="1"/>
  <c r="I23" i="1"/>
  <c r="D21" i="1"/>
  <c r="D11" i="3"/>
  <c r="P13" i="1"/>
  <c r="P12" i="1"/>
  <c r="D23" i="1"/>
  <c r="P16" i="1"/>
  <c r="P17" i="1"/>
  <c r="P18" i="1"/>
  <c r="C44" i="2" l="1"/>
  <c r="D44" i="2" s="1"/>
  <c r="C43" i="2"/>
  <c r="D43" i="2" s="1"/>
  <c r="C42" i="2"/>
  <c r="D42" i="2" s="1"/>
  <c r="C41" i="2"/>
  <c r="D41" i="2" s="1"/>
  <c r="C40" i="2"/>
  <c r="D40" i="2" s="1"/>
  <c r="C39" i="2"/>
  <c r="D39" i="2" s="1"/>
  <c r="C38" i="2"/>
  <c r="D38" i="2" s="1"/>
  <c r="C37" i="2"/>
  <c r="D37" i="2" s="1"/>
  <c r="C36" i="2"/>
  <c r="D36" i="2" s="1"/>
  <c r="C35" i="2"/>
  <c r="D35" i="2" s="1"/>
  <c r="C34" i="2"/>
  <c r="D34" i="2" s="1"/>
  <c r="C33" i="2"/>
  <c r="D33" i="2" s="1"/>
  <c r="D45" i="2" s="1"/>
  <c r="D47" i="2" s="1"/>
  <c r="D26" i="2"/>
  <c r="I12" i="2"/>
  <c r="I13" i="2" l="1"/>
  <c r="I16" i="2" s="1"/>
  <c r="I17" i="2" s="1"/>
  <c r="I18" i="2" s="1"/>
  <c r="D28" i="2"/>
</calcChain>
</file>

<file path=xl/sharedStrings.xml><?xml version="1.0" encoding="utf-8"?>
<sst xmlns="http://schemas.openxmlformats.org/spreadsheetml/2006/main" count="99" uniqueCount="45">
  <si>
    <t>Outflow</t>
  </si>
  <si>
    <t>PV = Fvn*POWER((1/(1+i))^n)</t>
  </si>
  <si>
    <t>Project A</t>
  </si>
  <si>
    <t>Project B</t>
  </si>
  <si>
    <t>cost of capital</t>
  </si>
  <si>
    <t>Year</t>
  </si>
  <si>
    <t>Fv</t>
  </si>
  <si>
    <t>Interrate factor</t>
  </si>
  <si>
    <t>Pv</t>
  </si>
  <si>
    <t>sum PV</t>
  </si>
  <si>
    <t>NPV</t>
  </si>
  <si>
    <r>
      <t>Payback</t>
    </r>
    <r>
      <rPr>
        <b/>
        <sz val="11"/>
        <color theme="1"/>
        <rFont val="Times New Roman"/>
        <family val="1"/>
      </rPr>
      <t xml:space="preserve"> =</t>
    </r>
    <r>
      <rPr>
        <b/>
        <sz val="12"/>
        <color theme="1"/>
        <rFont val="Times New Roman"/>
        <family val="1"/>
      </rPr>
      <t xml:space="preserve">  16,980/3000 = 5.66 ปี</t>
    </r>
  </si>
  <si>
    <t xml:space="preserve">n = </t>
  </si>
  <si>
    <t>cashflow</t>
  </si>
  <si>
    <t>Trial Interrest</t>
  </si>
  <si>
    <t>20441.08-16261.86</t>
  </si>
  <si>
    <t>[10% - &gt; 15%]</t>
  </si>
  <si>
    <t>20441.08-16980</t>
  </si>
  <si>
    <t>15%-10%</t>
  </si>
  <si>
    <t>3461.08/4179.22</t>
  </si>
  <si>
    <t>0.828163*5</t>
  </si>
  <si>
    <t>10+(4.14)</t>
  </si>
  <si>
    <t>Cashflow</t>
  </si>
  <si>
    <t>หาค่าIRR</t>
  </si>
  <si>
    <r>
      <t>Payback</t>
    </r>
    <r>
      <rPr>
        <b/>
        <sz val="11"/>
        <color theme="1"/>
        <rFont val="Times New Roman"/>
        <family val="1"/>
      </rPr>
      <t xml:space="preserve"> =</t>
    </r>
    <r>
      <rPr>
        <b/>
        <sz val="12"/>
        <color theme="1"/>
        <rFont val="Times New Roman"/>
        <family val="1"/>
      </rPr>
      <t xml:space="preserve">  11070/2000 = 5.5 ปี</t>
    </r>
  </si>
  <si>
    <t>13% -&gt; 8%</t>
  </si>
  <si>
    <t>Interest</t>
  </si>
  <si>
    <t>9597-11493.28</t>
  </si>
  <si>
    <t>[13% - &gt; 8%]</t>
  </si>
  <si>
    <t>9597-11070</t>
  </si>
  <si>
    <t>8%-13%</t>
  </si>
  <si>
    <t>-1472.46 / -1895.74</t>
  </si>
  <si>
    <t>0.776721*-5</t>
  </si>
  <si>
    <t>13+(-3.88)</t>
  </si>
  <si>
    <t>Distance of 9597-11493.28 = -1895.74 [13% - &gt; 8%]</t>
  </si>
  <si>
    <t>Distance of 9597-11070 = -1472.46</t>
  </si>
  <si>
    <t>(-1472.46 / -1895.74) * 5 = -3.88%</t>
  </si>
  <si>
    <t>So, the answer is 13% + (-3.88%) = 9.12% IRR</t>
  </si>
  <si>
    <t>คำตอบ</t>
  </si>
  <si>
    <t>payback = 5.5 ปี</t>
  </si>
  <si>
    <t>NPV = -1472.46</t>
  </si>
  <si>
    <t>IRR = 9.12%</t>
  </si>
  <si>
    <t xml:space="preserve">ไม่ควรลงทุน
</t>
  </si>
  <si>
    <t>1.IRR (9.12%) ต่ำกว่า Cost of Capital (13%)</t>
  </si>
  <si>
    <t>2.NPV เป็นค่าลบ −1472.46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</si>
</sst>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_-* #,##0.00_-;\-* #,##0.00_-;_-* &quot;-&quot;??_-;_-@_-"/>
    <numFmt numFmtId="165" formatCode="_-* #,##0.0000_-;\-* #,##0.0000_-;_-* &quot;-&quot;??_-;_-@_-"/>
    <numFmt numFmtId="166" formatCode="0.000%"/>
    <numFmt numFmtId="167" formatCode="0.00000%"/>
  </numFmts>
  <fonts count="7">
    <font>
      <sz val="11"/>
      <color theme="1"/>
      <name val="Tahoma"/>
      <family val="2"/>
      <charset val="222"/>
      <scheme val="minor"/>
    </font>
    <font>
      <sz val="11"/>
      <color theme="1"/>
      <name val="Tahoma"/>
      <family val="2"/>
      <charset val="222"/>
      <scheme val="minor"/>
    </font>
    <font>
      <b/>
      <sz val="12"/>
      <color theme="1"/>
      <name val="Times New Roman"/>
      <family val="1"/>
    </font>
    <font>
      <b/>
      <sz val="11"/>
      <color theme="1"/>
      <name val="Times New Roman"/>
      <family val="1"/>
    </font>
    <font>
      <b/>
      <sz val="11"/>
      <color theme="1"/>
      <name val="Tahoma"/>
      <family val="2"/>
      <scheme val="minor"/>
    </font>
    <font>
      <sz val="11"/>
      <color rgb="FF000000"/>
      <name val="Tahoma"/>
      <family val="2"/>
      <charset val="222"/>
      <scheme val="minor"/>
    </font>
    <font>
      <sz val="13"/>
      <color rgb="FF595959"/>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right/>
      <top/>
      <bottom style="medium">
        <color indexed="64"/>
      </bottom>
      <diagonal/>
    </border>
  </borders>
  <cellStyleXfs count="2">
    <xf numFmtId="0" fontId="0" fillId="0" borderId="0"/>
    <xf numFmtId="164" fontId="1" fillId="0" borderId="0" applyFont="0" applyFill="0" applyBorder="0" applyAlignment="0" applyProtection="0"/>
  </cellStyleXfs>
  <cellXfs count="32">
    <xf numFmtId="0" fontId="0" fillId="0" borderId="0" xfId="0"/>
    <xf numFmtId="0" fontId="4" fillId="2" borderId="0" xfId="0" applyFont="1" applyFill="1"/>
    <xf numFmtId="164" fontId="4" fillId="2" borderId="0" xfId="1" applyFont="1" applyFill="1" applyAlignment="1"/>
    <xf numFmtId="164" fontId="0" fillId="0" borderId="0" xfId="1" applyFont="1"/>
    <xf numFmtId="164" fontId="0" fillId="0" borderId="0" xfId="1" applyFont="1" applyFill="1"/>
    <xf numFmtId="164" fontId="0" fillId="0" borderId="0" xfId="0" applyNumberFormat="1"/>
    <xf numFmtId="17" fontId="0" fillId="0" borderId="0" xfId="0" applyNumberFormat="1"/>
    <xf numFmtId="0" fontId="0" fillId="0" borderId="0" xfId="0" quotePrefix="1"/>
    <xf numFmtId="0" fontId="0" fillId="2" borderId="0" xfId="0" applyFill="1"/>
    <xf numFmtId="164" fontId="0" fillId="2" borderId="0" xfId="0" applyNumberFormat="1" applyFill="1"/>
    <xf numFmtId="0" fontId="4" fillId="0" borderId="0" xfId="0" applyFont="1"/>
    <xf numFmtId="9" fontId="0" fillId="0" borderId="0" xfId="0" applyNumberFormat="1"/>
    <xf numFmtId="0" fontId="0" fillId="0" borderId="0" xfId="0" applyAlignment="1">
      <alignment horizontal="center"/>
    </xf>
    <xf numFmtId="165" fontId="0" fillId="0" borderId="0" xfId="0" applyNumberFormat="1"/>
    <xf numFmtId="166" fontId="0" fillId="0" borderId="0" xfId="0" applyNumberFormat="1"/>
    <xf numFmtId="0" fontId="5" fillId="0" borderId="0" xfId="0" applyFont="1"/>
    <xf numFmtId="165" fontId="0" fillId="0" borderId="0" xfId="1" applyNumberFormat="1" applyFont="1"/>
    <xf numFmtId="0" fontId="6" fillId="0" borderId="0" xfId="0" applyFont="1" applyAlignment="1">
      <alignment vertical="center"/>
    </xf>
    <xf numFmtId="0" fontId="6" fillId="0" borderId="0" xfId="0" applyFont="1" applyAlignment="1">
      <alignment horizontal="left" vertical="center" indent="1"/>
    </xf>
    <xf numFmtId="0" fontId="2" fillId="0" borderId="0" xfId="0" applyFont="1" applyAlignment="1">
      <alignment horizontal="left"/>
    </xf>
    <xf numFmtId="0" fontId="0" fillId="0" borderId="1" xfId="0" applyBorder="1"/>
    <xf numFmtId="164" fontId="0" fillId="0" borderId="1" xfId="1" applyFont="1" applyBorder="1"/>
    <xf numFmtId="9" fontId="0" fillId="0" borderId="1" xfId="0" applyNumberFormat="1" applyBorder="1"/>
    <xf numFmtId="165" fontId="0" fillId="0" borderId="1" xfId="1" applyNumberFormat="1" applyFont="1" applyBorder="1"/>
    <xf numFmtId="164" fontId="0" fillId="0" borderId="1" xfId="1" applyFont="1" applyFill="1" applyBorder="1"/>
    <xf numFmtId="164" fontId="0" fillId="0" borderId="0" xfId="1" applyFont="1" applyFill="1" applyBorder="1"/>
    <xf numFmtId="167" fontId="0" fillId="0" borderId="0" xfId="0" applyNumberFormat="1"/>
    <xf numFmtId="8" fontId="0" fillId="0" borderId="0" xfId="0" applyNumberFormat="1"/>
    <xf numFmtId="0" fontId="0" fillId="0" borderId="0" xfId="0" applyAlignment="1">
      <alignment horizontal="center"/>
    </xf>
    <xf numFmtId="0" fontId="4" fillId="0" borderId="0" xfId="0" applyFont="1" applyAlignment="1">
      <alignment horizontal="center"/>
    </xf>
    <xf numFmtId="0" fontId="2" fillId="2" borderId="0" xfId="0" applyFont="1" applyFill="1" applyAlignment="1">
      <alignment horizontal="left"/>
    </xf>
    <xf numFmtId="0" fontId="2" fillId="0" borderId="0" xfId="0" applyFont="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228600</xdr:colOff>
      <xdr:row>1</xdr:row>
      <xdr:rowOff>22860</xdr:rowOff>
    </xdr:from>
    <xdr:to>
      <xdr:col>11</xdr:col>
      <xdr:colOff>53340</xdr:colOff>
      <xdr:row>6</xdr:row>
      <xdr:rowOff>4931</xdr:rowOff>
    </xdr:to>
    <xdr:sp macro="" textlink="">
      <xdr:nvSpPr>
        <xdr:cNvPr id="2" name="TextBox 1">
          <a:extLst>
            <a:ext uri="{FF2B5EF4-FFF2-40B4-BE49-F238E27FC236}">
              <a16:creationId xmlns:a16="http://schemas.microsoft.com/office/drawing/2014/main" id="{217891D9-6284-451E-9C39-AC3CAAEAB01E}"/>
            </a:ext>
          </a:extLst>
        </xdr:cNvPr>
        <xdr:cNvSpPr txBox="1"/>
      </xdr:nvSpPr>
      <xdr:spPr>
        <a:xfrm>
          <a:off x="228600" y="198120"/>
          <a:ext cx="7200900" cy="858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2.You buy a new piece of equipment for $16,980, and you receive a cash inflow of $3,000 per year for 12 years. What is the internal rate of return?</a:t>
          </a:r>
        </a:p>
        <a:p>
          <a:endParaRPr lang="th-TH"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60960</xdr:rowOff>
    </xdr:from>
    <xdr:to>
      <xdr:col>16</xdr:col>
      <xdr:colOff>114300</xdr:colOff>
      <xdr:row>5</xdr:row>
      <xdr:rowOff>22860</xdr:rowOff>
    </xdr:to>
    <xdr:sp macro="" textlink="">
      <xdr:nvSpPr>
        <xdr:cNvPr id="2" name="TextBox 1">
          <a:extLst>
            <a:ext uri="{FF2B5EF4-FFF2-40B4-BE49-F238E27FC236}">
              <a16:creationId xmlns:a16="http://schemas.microsoft.com/office/drawing/2014/main" id="{7E37A2D3-F4ED-4565-8F43-FF15B9365050}"/>
            </a:ext>
          </a:extLst>
        </xdr:cNvPr>
        <xdr:cNvSpPr txBox="1"/>
      </xdr:nvSpPr>
      <xdr:spPr>
        <a:xfrm>
          <a:off x="76200" y="60960"/>
          <a:ext cx="72009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3.Warner Business Products is considering the purchase of a new machine at a cost of $11,070. The machine will provide $2,000 per year in cash flow for eight years. Warner’s cost of capital is 13 percent. Using the Payback, NPV, and IRR methods, evaluate this project and indicate whether it should be undertaken. Discuss.</a:t>
          </a:r>
        </a:p>
        <a:p>
          <a:endParaRPr lang="th-TH" sz="1100" kern="1200"/>
        </a:p>
      </xdr:txBody>
    </xdr:sp>
    <xdr:clientData/>
  </xdr:twoCellAnchor>
</xdr:wsDr>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1D0A-9945-4152-91BC-39487D5FC0A2}">
  <dimension ref="A2:I50"/>
  <sheetViews>
    <sheetView workbookViewId="0">
      <selection activeCell="K21" sqref="K21"/>
    </sheetView>
  </sheetViews>
  <sheetFormatPr defaultRowHeight="14.25"/>
  <cols>
    <col min="1" max="1" width="11.625" bestFit="1" customWidth="1"/>
    <col min="2" max="2" width="11.375" bestFit="1" customWidth="1"/>
    <col min="3" max="3" width="12.75" bestFit="1" customWidth="1"/>
    <col min="4" max="4" width="10.625" customWidth="1"/>
    <col min="6" max="6" width="11.875" bestFit="1" customWidth="1"/>
    <col min="7" max="7" width="10.25" bestFit="1" customWidth="1"/>
    <col min="8" max="8" width="12.75" bestFit="1" customWidth="1"/>
    <col min="9" max="9" width="13.625" customWidth="1"/>
  </cols>
  <sheetData>
    <row r="2" spans="1:9">
      <c r="A2" s="1" t="s">
        <v>0</v>
      </c>
      <c r="B2" s="2">
        <v>10000</v>
      </c>
      <c r="C2" s="25" t="s">
        <v>1</v>
      </c>
    </row>
    <row r="3" spans="1:9">
      <c r="A3" s="29" t="s">
        <v>2</v>
      </c>
      <c r="B3" s="29"/>
      <c r="C3" s="29"/>
      <c r="D3" s="29"/>
      <c r="F3" s="29" t="s">
        <v>3</v>
      </c>
      <c r="G3" s="29"/>
      <c r="H3" s="29"/>
      <c r="I3" s="29"/>
    </row>
    <row r="4" spans="1:9" ht="15" thickBot="1">
      <c r="A4" s="20" t="s">
        <v>4</v>
      </c>
      <c r="B4" s="22">
        <v>0.1</v>
      </c>
      <c r="C4" s="23">
        <f>_xlfn.NUMBERVALUE(B4)</f>
        <v>0.1</v>
      </c>
      <c r="F4" s="20" t="s">
        <v>4</v>
      </c>
      <c r="G4" s="22">
        <v>0.1</v>
      </c>
      <c r="H4" s="23">
        <f>_xlfn.NUMBERVALUE(G4)</f>
        <v>0.1</v>
      </c>
      <c r="I4" s="24"/>
    </row>
    <row r="5" spans="1:9">
      <c r="A5" t="s">
        <v>5</v>
      </c>
      <c r="B5" t="s">
        <v>6</v>
      </c>
      <c r="C5" s="15" t="s">
        <v>7</v>
      </c>
      <c r="D5" s="3" t="s">
        <v>8</v>
      </c>
      <c r="F5" t="s">
        <v>5</v>
      </c>
      <c r="G5" t="s">
        <v>6</v>
      </c>
      <c r="H5" s="15" t="s">
        <v>7</v>
      </c>
      <c r="I5" s="3" t="s">
        <v>8</v>
      </c>
    </row>
    <row r="6" spans="1:9">
      <c r="A6">
        <v>1</v>
      </c>
      <c r="B6" s="5">
        <v>12000</v>
      </c>
      <c r="C6" s="13">
        <f>(1/(1+$C$4))^A6</f>
        <v>0.90909090909090906</v>
      </c>
      <c r="D6" s="3">
        <f>B6*C6</f>
        <v>10909.090909090908</v>
      </c>
      <c r="F6">
        <v>1</v>
      </c>
      <c r="G6" s="5">
        <v>10000</v>
      </c>
      <c r="H6" s="13">
        <f>(1/(1+$C$4))^F6</f>
        <v>0.90909090909090906</v>
      </c>
      <c r="I6" s="3">
        <f>G6*H6</f>
        <v>9090.9090909090901</v>
      </c>
    </row>
    <row r="7" spans="1:9">
      <c r="A7">
        <v>2</v>
      </c>
      <c r="B7" s="5">
        <v>8000</v>
      </c>
      <c r="C7" s="13">
        <f>(1/(1+$C$4))^A7</f>
        <v>0.82644628099173545</v>
      </c>
      <c r="D7" s="3">
        <f t="shared" ref="D7:D8" si="0">B7*C7</f>
        <v>6611.5702479338834</v>
      </c>
      <c r="F7">
        <v>2</v>
      </c>
      <c r="G7" s="5">
        <v>6000</v>
      </c>
      <c r="H7" s="13">
        <f>(1/(1+$C$4))^F7</f>
        <v>0.82644628099173545</v>
      </c>
      <c r="I7" s="3">
        <f t="shared" ref="I7:I8" si="1">G7*H7</f>
        <v>4958.6776859504125</v>
      </c>
    </row>
    <row r="8" spans="1:9">
      <c r="A8">
        <v>3</v>
      </c>
      <c r="B8" s="5">
        <v>6000</v>
      </c>
      <c r="C8" s="13">
        <f>(1/(1+$C$4))^A8</f>
        <v>0.75131480090157765</v>
      </c>
      <c r="D8" s="3">
        <f t="shared" si="0"/>
        <v>4507.8888054094659</v>
      </c>
      <c r="F8">
        <v>3</v>
      </c>
      <c r="G8" s="5">
        <v>16000</v>
      </c>
      <c r="H8" s="13">
        <f>(1/(1+$C$4))^F8</f>
        <v>0.75131480090157765</v>
      </c>
      <c r="I8" s="3">
        <f t="shared" si="1"/>
        <v>12021.036814425242</v>
      </c>
    </row>
    <row r="9" spans="1:9">
      <c r="A9" s="28" t="s">
        <v>9</v>
      </c>
      <c r="B9" s="28"/>
      <c r="C9" s="28"/>
      <c r="D9" s="3">
        <f>SUM(D6:D8)</f>
        <v>22028.549962434256</v>
      </c>
      <c r="F9" s="28" t="s">
        <v>9</v>
      </c>
      <c r="G9" s="28"/>
      <c r="H9" s="28"/>
      <c r="I9" s="3">
        <f>SUM(I6:I8)</f>
        <v>26070.623591284744</v>
      </c>
    </row>
    <row r="10" spans="1:9">
      <c r="A10" s="28" t="s">
        <v>0</v>
      </c>
      <c r="B10" s="28"/>
      <c r="C10" s="28"/>
      <c r="D10" s="3">
        <f>B2</f>
        <v>10000</v>
      </c>
      <c r="F10" s="28" t="s">
        <v>0</v>
      </c>
      <c r="G10" s="28"/>
      <c r="H10" s="28"/>
      <c r="I10" s="3">
        <f>B2</f>
        <v>10000</v>
      </c>
    </row>
    <row r="11" spans="1:9">
      <c r="A11" s="28" t="s">
        <v>10</v>
      </c>
      <c r="B11" s="28"/>
      <c r="C11" s="28"/>
      <c r="D11" s="3">
        <f>D9-D10</f>
        <v>12028.549962434256</v>
      </c>
      <c r="F11" s="28" t="s">
        <v>10</v>
      </c>
      <c r="G11" s="28"/>
      <c r="H11" s="28"/>
      <c r="I11" s="3">
        <f>I9-I10</f>
        <v>16070.623591284744</v>
      </c>
    </row>
    <row r="14" spans="1:9">
      <c r="B14" s="11"/>
      <c r="C14" s="16"/>
      <c r="D14" s="4"/>
    </row>
    <row r="15" spans="1:9">
      <c r="C15" s="15"/>
      <c r="D15" s="3"/>
    </row>
    <row r="16" spans="1:9">
      <c r="B16" s="5"/>
      <c r="C16" s="13"/>
      <c r="D16" s="3"/>
    </row>
    <row r="17" spans="1:4">
      <c r="B17" s="5"/>
      <c r="C17" s="13"/>
      <c r="D17" s="3"/>
    </row>
    <row r="18" spans="1:4">
      <c r="B18" s="5"/>
      <c r="C18" s="13"/>
      <c r="D18" s="3"/>
    </row>
    <row r="19" spans="1:4">
      <c r="B19" s="5"/>
      <c r="C19" s="13"/>
      <c r="D19" s="3"/>
    </row>
    <row r="20" spans="1:4">
      <c r="B20" s="5"/>
      <c r="C20" s="13"/>
      <c r="D20" s="3"/>
    </row>
    <row r="21" spans="1:4">
      <c r="B21" s="5"/>
      <c r="C21" s="13"/>
      <c r="D21" s="3"/>
    </row>
    <row r="22" spans="1:4">
      <c r="B22" s="5"/>
      <c r="C22" s="13"/>
      <c r="D22" s="3"/>
    </row>
    <row r="23" spans="1:4">
      <c r="B23" s="5"/>
      <c r="C23" s="13"/>
      <c r="D23" s="3"/>
    </row>
    <row r="24" spans="1:4">
      <c r="B24" s="5"/>
      <c r="C24" s="13"/>
      <c r="D24" s="3"/>
    </row>
    <row r="25" spans="1:4">
      <c r="B25" s="5"/>
      <c r="C25" s="13"/>
      <c r="D25" s="3"/>
    </row>
    <row r="26" spans="1:4">
      <c r="B26" s="5"/>
      <c r="C26" s="13"/>
      <c r="D26" s="3"/>
    </row>
    <row r="27" spans="1:4">
      <c r="B27" s="5"/>
      <c r="C27" s="13"/>
      <c r="D27" s="3"/>
    </row>
    <row r="28" spans="1:4">
      <c r="A28" s="28"/>
      <c r="B28" s="28"/>
      <c r="C28" s="28"/>
      <c r="D28" s="3"/>
    </row>
    <row r="29" spans="1:4">
      <c r="A29" s="28"/>
      <c r="B29" s="28"/>
      <c r="C29" s="28"/>
      <c r="D29" s="3"/>
    </row>
    <row r="30" spans="1:4">
      <c r="A30" s="28"/>
      <c r="B30" s="28"/>
      <c r="C30" s="28"/>
      <c r="D30" s="3"/>
    </row>
    <row r="34" spans="1:4">
      <c r="B34" s="14"/>
      <c r="C34" s="16"/>
      <c r="D34" s="4"/>
    </row>
    <row r="35" spans="1:4">
      <c r="C35" s="3"/>
    </row>
    <row r="36" spans="1:4">
      <c r="B36" s="5"/>
      <c r="C36" s="5"/>
      <c r="D36" s="3"/>
    </row>
    <row r="37" spans="1:4">
      <c r="B37" s="5"/>
      <c r="C37" s="5"/>
      <c r="D37" s="3"/>
    </row>
    <row r="38" spans="1:4">
      <c r="B38" s="5"/>
      <c r="C38" s="5"/>
      <c r="D38" s="3"/>
    </row>
    <row r="39" spans="1:4">
      <c r="B39" s="5"/>
      <c r="C39" s="5"/>
      <c r="D39" s="3"/>
    </row>
    <row r="40" spans="1:4">
      <c r="B40" s="5"/>
      <c r="C40" s="5"/>
      <c r="D40" s="3"/>
    </row>
    <row r="41" spans="1:4">
      <c r="B41" s="5"/>
      <c r="C41" s="5"/>
      <c r="D41" s="3"/>
    </row>
    <row r="42" spans="1:4">
      <c r="B42" s="5"/>
      <c r="C42" s="5"/>
      <c r="D42" s="3"/>
    </row>
    <row r="43" spans="1:4">
      <c r="B43" s="5"/>
      <c r="C43" s="5"/>
      <c r="D43" s="3"/>
    </row>
    <row r="44" spans="1:4">
      <c r="B44" s="5"/>
      <c r="C44" s="5"/>
      <c r="D44" s="3"/>
    </row>
    <row r="45" spans="1:4">
      <c r="B45" s="5"/>
      <c r="C45" s="5"/>
      <c r="D45" s="3"/>
    </row>
    <row r="46" spans="1:4">
      <c r="B46" s="5"/>
      <c r="C46" s="5"/>
      <c r="D46" s="3"/>
    </row>
    <row r="47" spans="1:4">
      <c r="B47" s="5"/>
      <c r="C47" s="5"/>
      <c r="D47" s="3"/>
    </row>
    <row r="48" spans="1:4">
      <c r="A48" s="28"/>
      <c r="B48" s="28"/>
      <c r="D48" s="3"/>
    </row>
    <row r="49" spans="1:4">
      <c r="A49" s="28"/>
      <c r="B49" s="28"/>
      <c r="D49" s="3"/>
    </row>
    <row r="50" spans="1:4">
      <c r="A50" s="28"/>
      <c r="B50" s="28"/>
      <c r="D50" s="3"/>
    </row>
  </sheetData>
  <mergeCells count="14">
    <mergeCell ref="F3:I3"/>
    <mergeCell ref="F9:H9"/>
    <mergeCell ref="F10:H10"/>
    <mergeCell ref="F11:H11"/>
    <mergeCell ref="A9:C9"/>
    <mergeCell ref="A10:C10"/>
    <mergeCell ref="A11:C11"/>
    <mergeCell ref="A30:C30"/>
    <mergeCell ref="A48:B48"/>
    <mergeCell ref="A49:B49"/>
    <mergeCell ref="A50:B50"/>
    <mergeCell ref="A3:D3"/>
    <mergeCell ref="A28:C28"/>
    <mergeCell ref="A29: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4D2A-AD37-47D3-96AA-48055F68EF99}">
  <dimension ref="A8:N67"/>
  <sheetViews>
    <sheetView tabSelected="1" topLeftCell="A5" workbookViewId="0">
      <selection activeCell="I15" sqref="I15"/>
    </sheetView>
  </sheetViews>
  <sheetFormatPr defaultRowHeight="14.25"/>
  <cols>
    <col min="1" max="1" width="11.625" bestFit="1" customWidth="1"/>
    <col min="2" max="2" width="11.375" bestFit="1" customWidth="1"/>
    <col min="3" max="3" width="12.75" bestFit="1" customWidth="1"/>
    <col min="4" max="4" width="13.25" customWidth="1"/>
    <col min="8" max="8" width="16.75" bestFit="1" customWidth="1"/>
    <col min="9" max="9" width="9.25" bestFit="1" customWidth="1"/>
    <col min="13" max="13" width="10.375" bestFit="1" customWidth="1"/>
  </cols>
  <sheetData>
    <row r="8" spans="1:14">
      <c r="A8" s="30" t="s">
        <v>11</v>
      </c>
      <c r="B8" s="30"/>
      <c r="C8" s="30"/>
      <c r="D8" s="30"/>
    </row>
    <row r="9" spans="1:14">
      <c r="A9" s="1" t="s">
        <v>0</v>
      </c>
      <c r="B9" s="2">
        <v>16980</v>
      </c>
      <c r="C9" s="3"/>
    </row>
    <row r="10" spans="1:14">
      <c r="A10" s="1" t="s">
        <v>12</v>
      </c>
      <c r="B10" s="2">
        <v>12</v>
      </c>
      <c r="C10" s="4"/>
      <c r="M10" s="27">
        <f>NPV(B31,M12:M24)</f>
        <v>-624.47217715940269</v>
      </c>
      <c r="N10" s="27"/>
    </row>
    <row r="11" spans="1:14">
      <c r="A11" s="1" t="s">
        <v>13</v>
      </c>
      <c r="B11" s="2">
        <v>3000</v>
      </c>
      <c r="C11" s="4"/>
      <c r="M11" s="26">
        <f>IRR(M12:M24)</f>
        <v>0.14001176802144144</v>
      </c>
    </row>
    <row r="12" spans="1:14">
      <c r="A12" t="s">
        <v>14</v>
      </c>
      <c r="B12" s="11">
        <v>0.1</v>
      </c>
      <c r="C12" s="16">
        <f>_xlfn.NUMBERVALUE(B12)</f>
        <v>0.1</v>
      </c>
      <c r="D12" s="4" t="s">
        <v>1</v>
      </c>
      <c r="H12" t="s">
        <v>15</v>
      </c>
      <c r="I12" s="5">
        <f>D26-D45</f>
        <v>4179.2184724226045</v>
      </c>
      <c r="J12" t="s">
        <v>16</v>
      </c>
      <c r="M12" s="5">
        <f>-B9</f>
        <v>-16980</v>
      </c>
    </row>
    <row r="13" spans="1:14">
      <c r="A13" t="s">
        <v>5</v>
      </c>
      <c r="B13" t="s">
        <v>6</v>
      </c>
      <c r="C13" s="15" t="s">
        <v>7</v>
      </c>
      <c r="D13" s="3" t="s">
        <v>8</v>
      </c>
      <c r="H13" t="s">
        <v>17</v>
      </c>
      <c r="I13" s="5">
        <f>D26-B9</f>
        <v>3461.0754686892906</v>
      </c>
      <c r="J13" s="5"/>
      <c r="M13" s="5">
        <f>B14</f>
        <v>3000</v>
      </c>
    </row>
    <row r="14" spans="1:14">
      <c r="A14">
        <v>1</v>
      </c>
      <c r="B14" s="5">
        <f>$B$11</f>
        <v>3000</v>
      </c>
      <c r="C14" s="13">
        <f>(1/(1+$C$12))^A14</f>
        <v>0.90909090909090906</v>
      </c>
      <c r="D14" s="3">
        <f>B14*C14</f>
        <v>2727.272727272727</v>
      </c>
      <c r="H14" s="6" t="s">
        <v>18</v>
      </c>
      <c r="I14" s="5">
        <f>15-10</f>
        <v>5</v>
      </c>
      <c r="J14" s="5"/>
      <c r="M14" s="5">
        <f t="shared" ref="M14:M23" si="0">B15</f>
        <v>3000</v>
      </c>
    </row>
    <row r="15" spans="1:14">
      <c r="A15">
        <v>2</v>
      </c>
      <c r="B15" s="5">
        <f t="shared" ref="B15:B25" si="1">$B$11</f>
        <v>3000</v>
      </c>
      <c r="C15" s="13">
        <f t="shared" ref="C15:C25" si="2">(1/(1+$C$12))^A15</f>
        <v>0.82644628099173545</v>
      </c>
      <c r="D15" s="3">
        <f t="shared" ref="D15:D25" si="3">B15*C15</f>
        <v>2479.3388429752063</v>
      </c>
      <c r="M15" s="5">
        <f t="shared" si="0"/>
        <v>3000</v>
      </c>
    </row>
    <row r="16" spans="1:14">
      <c r="A16">
        <v>3</v>
      </c>
      <c r="B16" s="5">
        <f t="shared" si="1"/>
        <v>3000</v>
      </c>
      <c r="C16" s="13">
        <f t="shared" si="2"/>
        <v>0.75131480090157765</v>
      </c>
      <c r="D16" s="3">
        <f t="shared" si="3"/>
        <v>2253.944402704733</v>
      </c>
      <c r="H16" s="7" t="s">
        <v>19</v>
      </c>
      <c r="I16">
        <f>I13/I12</f>
        <v>0.82816332563800577</v>
      </c>
      <c r="M16" s="5">
        <f t="shared" si="0"/>
        <v>3000</v>
      </c>
    </row>
    <row r="17" spans="1:13">
      <c r="A17">
        <v>4</v>
      </c>
      <c r="B17" s="5">
        <f t="shared" si="1"/>
        <v>3000</v>
      </c>
      <c r="C17" s="13">
        <f t="shared" si="2"/>
        <v>0.68301345536507052</v>
      </c>
      <c r="D17" s="3">
        <f t="shared" si="3"/>
        <v>2049.0403660952115</v>
      </c>
      <c r="H17" s="7" t="s">
        <v>20</v>
      </c>
      <c r="I17" s="5">
        <f>I16*I14</f>
        <v>4.1408166281900289</v>
      </c>
      <c r="M17" s="5">
        <f t="shared" si="0"/>
        <v>3000</v>
      </c>
    </row>
    <row r="18" spans="1:13">
      <c r="A18">
        <v>5</v>
      </c>
      <c r="B18" s="5">
        <f t="shared" si="1"/>
        <v>3000</v>
      </c>
      <c r="C18" s="13">
        <f t="shared" si="2"/>
        <v>0.62092132305915504</v>
      </c>
      <c r="D18" s="3">
        <f t="shared" si="3"/>
        <v>1862.763969177465</v>
      </c>
      <c r="H18" s="7" t="s">
        <v>21</v>
      </c>
      <c r="I18" s="13">
        <f>(C12*100)+I17</f>
        <v>14.140816628190029</v>
      </c>
      <c r="M18" s="5">
        <f t="shared" si="0"/>
        <v>3000</v>
      </c>
    </row>
    <row r="19" spans="1:13">
      <c r="A19">
        <v>6</v>
      </c>
      <c r="B19" s="5">
        <f t="shared" si="1"/>
        <v>3000</v>
      </c>
      <c r="C19" s="13">
        <f t="shared" si="2"/>
        <v>0.56447393005377722</v>
      </c>
      <c r="D19" s="3">
        <f t="shared" si="3"/>
        <v>1693.4217901613317</v>
      </c>
      <c r="M19" s="5">
        <f t="shared" si="0"/>
        <v>3000</v>
      </c>
    </row>
    <row r="20" spans="1:13">
      <c r="A20">
        <v>7</v>
      </c>
      <c r="B20" s="5">
        <f t="shared" si="1"/>
        <v>3000</v>
      </c>
      <c r="C20" s="13">
        <f t="shared" si="2"/>
        <v>0.51315811823070656</v>
      </c>
      <c r="D20" s="3">
        <f t="shared" si="3"/>
        <v>1539.4743546921197</v>
      </c>
      <c r="I20" s="11"/>
      <c r="M20" s="5">
        <f t="shared" si="0"/>
        <v>3000</v>
      </c>
    </row>
    <row r="21" spans="1:13">
      <c r="A21">
        <v>8</v>
      </c>
      <c r="B21" s="5">
        <f t="shared" si="1"/>
        <v>3000</v>
      </c>
      <c r="C21" s="13">
        <f t="shared" si="2"/>
        <v>0.4665073802097332</v>
      </c>
      <c r="D21" s="3">
        <f t="shared" si="3"/>
        <v>1399.5221406291996</v>
      </c>
      <c r="M21" s="5">
        <f t="shared" si="0"/>
        <v>3000</v>
      </c>
    </row>
    <row r="22" spans="1:13">
      <c r="A22">
        <v>9</v>
      </c>
      <c r="B22" s="5">
        <f t="shared" si="1"/>
        <v>3000</v>
      </c>
      <c r="C22" s="13">
        <f t="shared" si="2"/>
        <v>0.42409761837248472</v>
      </c>
      <c r="D22" s="3">
        <f t="shared" si="3"/>
        <v>1272.2928551174541</v>
      </c>
      <c r="M22" s="5">
        <f t="shared" si="0"/>
        <v>3000</v>
      </c>
    </row>
    <row r="23" spans="1:13">
      <c r="A23">
        <v>10</v>
      </c>
      <c r="B23" s="5">
        <f t="shared" si="1"/>
        <v>3000</v>
      </c>
      <c r="C23" s="13">
        <f t="shared" si="2"/>
        <v>0.38554328942953153</v>
      </c>
      <c r="D23" s="3">
        <f t="shared" si="3"/>
        <v>1156.6298682885947</v>
      </c>
      <c r="M23" s="5">
        <f t="shared" si="0"/>
        <v>3000</v>
      </c>
    </row>
    <row r="24" spans="1:13">
      <c r="A24">
        <v>11</v>
      </c>
      <c r="B24" s="5">
        <f t="shared" si="1"/>
        <v>3000</v>
      </c>
      <c r="C24" s="13">
        <f t="shared" si="2"/>
        <v>0.35049389948139231</v>
      </c>
      <c r="D24" s="3">
        <f t="shared" si="3"/>
        <v>1051.481698444177</v>
      </c>
      <c r="M24" s="5">
        <f>B25</f>
        <v>3000</v>
      </c>
    </row>
    <row r="25" spans="1:13">
      <c r="A25">
        <v>12</v>
      </c>
      <c r="B25" s="5">
        <f t="shared" si="1"/>
        <v>3000</v>
      </c>
      <c r="C25" s="13">
        <f t="shared" si="2"/>
        <v>0.31863081771035662</v>
      </c>
      <c r="D25" s="3">
        <f t="shared" si="3"/>
        <v>955.89245313106983</v>
      </c>
    </row>
    <row r="26" spans="1:13">
      <c r="A26" s="28" t="s">
        <v>9</v>
      </c>
      <c r="B26" s="28"/>
      <c r="C26" s="28"/>
      <c r="D26" s="3">
        <f>SUM(D14:D25)</f>
        <v>20441.075468689291</v>
      </c>
    </row>
    <row r="27" spans="1:13">
      <c r="A27" s="28" t="s">
        <v>0</v>
      </c>
      <c r="B27" s="28"/>
      <c r="C27" s="28"/>
      <c r="D27" s="3">
        <f>B9</f>
        <v>16980</v>
      </c>
    </row>
    <row r="28" spans="1:13">
      <c r="A28" s="28" t="s">
        <v>10</v>
      </c>
      <c r="B28" s="28"/>
      <c r="C28" s="28"/>
      <c r="D28" s="3">
        <f>D26-D27</f>
        <v>3461.0754686892906</v>
      </c>
    </row>
    <row r="31" spans="1:13">
      <c r="A31" t="s">
        <v>14</v>
      </c>
      <c r="B31" s="11">
        <v>0.15</v>
      </c>
      <c r="C31" s="16">
        <f>_xlfn.NUMBERVALUE(B31)</f>
        <v>0.15</v>
      </c>
      <c r="D31" s="4" t="s">
        <v>1</v>
      </c>
    </row>
    <row r="32" spans="1:13">
      <c r="A32" t="s">
        <v>5</v>
      </c>
      <c r="B32" t="s">
        <v>6</v>
      </c>
      <c r="C32" s="15" t="s">
        <v>7</v>
      </c>
      <c r="D32" s="3" t="s">
        <v>8</v>
      </c>
    </row>
    <row r="33" spans="1:4">
      <c r="A33">
        <v>1</v>
      </c>
      <c r="B33" s="5">
        <f>$B$11</f>
        <v>3000</v>
      </c>
      <c r="C33" s="13">
        <f>(1/(1+$C$31))^A33</f>
        <v>0.86956521739130443</v>
      </c>
      <c r="D33" s="3">
        <f>B33*C33</f>
        <v>2608.6956521739135</v>
      </c>
    </row>
    <row r="34" spans="1:4">
      <c r="A34">
        <v>2</v>
      </c>
      <c r="B34" s="5">
        <f t="shared" ref="B34:B44" si="4">$B$11</f>
        <v>3000</v>
      </c>
      <c r="C34" s="13">
        <f>(1/(1+$C$31))^A34</f>
        <v>0.7561436672967865</v>
      </c>
      <c r="D34" s="3">
        <f>B34*C34</f>
        <v>2268.4310018903593</v>
      </c>
    </row>
    <row r="35" spans="1:4">
      <c r="A35">
        <v>3</v>
      </c>
      <c r="B35" s="5">
        <f t="shared" si="4"/>
        <v>3000</v>
      </c>
      <c r="C35" s="13">
        <f>(1/(1+$C$31))^A35</f>
        <v>0.65751623243198831</v>
      </c>
      <c r="D35" s="3">
        <f>B35*C35</f>
        <v>1972.548697295965</v>
      </c>
    </row>
    <row r="36" spans="1:4">
      <c r="A36">
        <v>4</v>
      </c>
      <c r="B36" s="5">
        <f t="shared" si="4"/>
        <v>3000</v>
      </c>
      <c r="C36" s="13">
        <f>(1/(1+$C$31))^A36</f>
        <v>0.57175324559303331</v>
      </c>
      <c r="D36" s="3">
        <f>B36*C36</f>
        <v>1715.2597367791</v>
      </c>
    </row>
    <row r="37" spans="1:4">
      <c r="A37">
        <v>5</v>
      </c>
      <c r="B37" s="5">
        <f t="shared" si="4"/>
        <v>3000</v>
      </c>
      <c r="C37" s="13">
        <f>(1/(1+$C$31))^A37</f>
        <v>0.49717673529828987</v>
      </c>
      <c r="D37" s="3">
        <f>B37*C37</f>
        <v>1491.5302058948696</v>
      </c>
    </row>
    <row r="38" spans="1:4">
      <c r="A38">
        <v>6</v>
      </c>
      <c r="B38" s="5">
        <f t="shared" si="4"/>
        <v>3000</v>
      </c>
      <c r="C38" s="13">
        <f>(1/(1+$C$31))^A38</f>
        <v>0.43232759591155645</v>
      </c>
      <c r="D38" s="3">
        <f>B38*C38</f>
        <v>1296.9827877346693</v>
      </c>
    </row>
    <row r="39" spans="1:4">
      <c r="A39">
        <v>7</v>
      </c>
      <c r="B39" s="5">
        <f t="shared" si="4"/>
        <v>3000</v>
      </c>
      <c r="C39" s="13">
        <f>(1/(1+$C$31))^A39</f>
        <v>0.37593703992309258</v>
      </c>
      <c r="D39" s="3">
        <f t="shared" ref="D34:D44" si="5">B39*C39</f>
        <v>1127.8111197692776</v>
      </c>
    </row>
    <row r="40" spans="1:4">
      <c r="A40">
        <v>8</v>
      </c>
      <c r="B40" s="5">
        <f t="shared" si="4"/>
        <v>3000</v>
      </c>
      <c r="C40" s="13">
        <f>(1/(1+$C$31))^A40</f>
        <v>0.32690177384616748</v>
      </c>
      <c r="D40" s="3">
        <f t="shared" si="5"/>
        <v>980.7053215385024</v>
      </c>
    </row>
    <row r="41" spans="1:4">
      <c r="A41">
        <v>9</v>
      </c>
      <c r="B41" s="5">
        <f t="shared" si="4"/>
        <v>3000</v>
      </c>
      <c r="C41" s="13">
        <f>(1/(1+$C$31))^A41</f>
        <v>0.28426241204014568</v>
      </c>
      <c r="D41" s="3">
        <f t="shared" si="5"/>
        <v>852.787236120437</v>
      </c>
    </row>
    <row r="42" spans="1:4">
      <c r="A42">
        <v>10</v>
      </c>
      <c r="B42" s="5">
        <f t="shared" si="4"/>
        <v>3000</v>
      </c>
      <c r="C42" s="13">
        <f>(1/(1+$C$31))^A42</f>
        <v>0.2471847061218658</v>
      </c>
      <c r="D42" s="3">
        <f t="shared" si="5"/>
        <v>741.55411836559745</v>
      </c>
    </row>
    <row r="43" spans="1:4">
      <c r="A43">
        <v>11</v>
      </c>
      <c r="B43" s="5">
        <f t="shared" si="4"/>
        <v>3000</v>
      </c>
      <c r="C43" s="13">
        <f>(1/(1+$C$31))^A43</f>
        <v>0.21494322271466593</v>
      </c>
      <c r="D43" s="3">
        <f t="shared" si="5"/>
        <v>644.82966814399776</v>
      </c>
    </row>
    <row r="44" spans="1:4">
      <c r="A44">
        <v>12</v>
      </c>
      <c r="B44" s="5">
        <f t="shared" si="4"/>
        <v>3000</v>
      </c>
      <c r="C44" s="13">
        <f>(1/(1+$C$31))^A44</f>
        <v>0.18690715018666604</v>
      </c>
      <c r="D44" s="3">
        <f t="shared" si="5"/>
        <v>560.72145055999806</v>
      </c>
    </row>
    <row r="45" spans="1:4">
      <c r="A45" s="28" t="s">
        <v>9</v>
      </c>
      <c r="B45" s="28"/>
      <c r="C45" s="28"/>
      <c r="D45" s="3">
        <f>SUM(D33:D44)</f>
        <v>16261.856996266686</v>
      </c>
    </row>
    <row r="46" spans="1:4">
      <c r="A46" s="28" t="s">
        <v>0</v>
      </c>
      <c r="B46" s="28"/>
      <c r="C46" s="28"/>
      <c r="D46" s="3">
        <f>B9</f>
        <v>16980</v>
      </c>
    </row>
    <row r="47" spans="1:4">
      <c r="A47" s="28" t="s">
        <v>10</v>
      </c>
      <c r="B47" s="28"/>
      <c r="C47" s="28"/>
      <c r="D47" s="3">
        <f>D45-D46</f>
        <v>-718.14300373331389</v>
      </c>
    </row>
    <row r="51" spans="1:4">
      <c r="A51" t="s">
        <v>14</v>
      </c>
      <c r="B51" s="14">
        <v>0.14140800000000001</v>
      </c>
      <c r="C51" s="16">
        <f>_xlfn.NUMBERVALUE(B51)</f>
        <v>0.14140800000000001</v>
      </c>
      <c r="D51" s="4" t="s">
        <v>1</v>
      </c>
    </row>
    <row r="52" spans="1:4">
      <c r="A52" t="s">
        <v>5</v>
      </c>
      <c r="B52" t="s">
        <v>6</v>
      </c>
      <c r="C52" s="3" t="s">
        <v>8</v>
      </c>
    </row>
    <row r="53" spans="1:4">
      <c r="A53">
        <v>1</v>
      </c>
      <c r="B53" s="5">
        <f>$B$11</f>
        <v>3000</v>
      </c>
      <c r="C53" s="5">
        <f>(1/(1+$C$51))^A53</f>
        <v>0.87611090863214558</v>
      </c>
      <c r="D53" s="3">
        <f>B53*(1/(1+$C$51))^A53</f>
        <v>2628.3327258964368</v>
      </c>
    </row>
    <row r="54" spans="1:4">
      <c r="A54">
        <v>2</v>
      </c>
      <c r="B54" s="5">
        <f t="shared" ref="B54:B64" si="6">$B$11</f>
        <v>3000</v>
      </c>
      <c r="C54" s="5">
        <f t="shared" ref="C54:C64" si="7">(1/(1+$C$51))^A54</f>
        <v>0.76757032422424376</v>
      </c>
      <c r="D54" s="3">
        <f>B54*(1/(1+$C$51))^A54</f>
        <v>2302.7109726727313</v>
      </c>
    </row>
    <row r="55" spans="1:4">
      <c r="A55">
        <v>3</v>
      </c>
      <c r="B55" s="5">
        <f t="shared" si="6"/>
        <v>3000</v>
      </c>
      <c r="C55" s="5">
        <f t="shared" si="7"/>
        <v>0.67247673419517273</v>
      </c>
      <c r="D55" s="3">
        <f>B55*(1/(1+$C$51))^A55</f>
        <v>2017.4302025855181</v>
      </c>
    </row>
    <row r="56" spans="1:4">
      <c r="A56">
        <v>4</v>
      </c>
      <c r="B56" s="5">
        <f t="shared" si="6"/>
        <v>3000</v>
      </c>
      <c r="C56" s="5">
        <f t="shared" si="7"/>
        <v>0.5891642026297107</v>
      </c>
      <c r="D56" s="3">
        <f>B56*(1/(1+$C$51))^A56</f>
        <v>1767.4926078891322</v>
      </c>
    </row>
    <row r="57" spans="1:4">
      <c r="A57">
        <v>5</v>
      </c>
      <c r="B57" s="5">
        <f t="shared" si="6"/>
        <v>3000</v>
      </c>
      <c r="C57" s="5">
        <f t="shared" si="7"/>
        <v>0.51617318489944941</v>
      </c>
      <c r="D57" s="3">
        <f>B57*(1/(1+$C$51))^A57</f>
        <v>1548.5195546983482</v>
      </c>
    </row>
    <row r="58" spans="1:4">
      <c r="A58">
        <v>6</v>
      </c>
      <c r="B58" s="5">
        <f t="shared" si="6"/>
        <v>3000</v>
      </c>
      <c r="C58" s="5">
        <f t="shared" si="7"/>
        <v>0.45222495803380508</v>
      </c>
      <c r="D58" s="3">
        <f>B58*(1/(1+$C$51))^A58</f>
        <v>1356.6748741014153</v>
      </c>
    </row>
    <row r="59" spans="1:4">
      <c r="A59">
        <v>7</v>
      </c>
      <c r="B59" s="5">
        <f t="shared" si="6"/>
        <v>3000</v>
      </c>
      <c r="C59" s="5">
        <f t="shared" si="7"/>
        <v>0.39619921888913084</v>
      </c>
      <c r="D59" s="3">
        <f>B59*(1/(1+$C$51))^A59</f>
        <v>1188.5976566673926</v>
      </c>
    </row>
    <row r="60" spans="1:4">
      <c r="A60">
        <v>8</v>
      </c>
      <c r="B60" s="5">
        <f t="shared" si="6"/>
        <v>3000</v>
      </c>
      <c r="C60" s="5">
        <f t="shared" si="7"/>
        <v>0.3471144576603028</v>
      </c>
      <c r="D60" s="3">
        <f>B60*(1/(1+$C$51))^A60</f>
        <v>1041.3433729809085</v>
      </c>
    </row>
    <row r="61" spans="1:4">
      <c r="A61">
        <v>9</v>
      </c>
      <c r="B61" s="5">
        <f t="shared" si="6"/>
        <v>3000</v>
      </c>
      <c r="C61" s="5">
        <f t="shared" si="7"/>
        <v>0.30411076290012229</v>
      </c>
      <c r="D61" s="3">
        <f>B61*(1/(1+$C$51))^A61</f>
        <v>912.33228870036692</v>
      </c>
    </row>
    <row r="62" spans="1:4">
      <c r="A62">
        <v>10</v>
      </c>
      <c r="B62" s="5">
        <f t="shared" si="6"/>
        <v>3000</v>
      </c>
      <c r="C62" s="5">
        <f t="shared" si="7"/>
        <v>0.26643475680924117</v>
      </c>
      <c r="D62" s="3">
        <f>B62*(1/(1+$C$51))^A62</f>
        <v>799.30427042772351</v>
      </c>
    </row>
    <row r="63" spans="1:4">
      <c r="A63">
        <v>11</v>
      </c>
      <c r="B63" s="5">
        <f t="shared" si="6"/>
        <v>3000</v>
      </c>
      <c r="C63" s="5">
        <f t="shared" si="7"/>
        <v>0.23342639687932898</v>
      </c>
      <c r="D63" s="3">
        <f>B63*(1/(1+$C$51))^A63</f>
        <v>700.27919063798697</v>
      </c>
    </row>
    <row r="64" spans="1:4">
      <c r="A64">
        <v>12</v>
      </c>
      <c r="B64" s="5">
        <f t="shared" si="6"/>
        <v>3000</v>
      </c>
      <c r="C64" s="5">
        <f t="shared" si="7"/>
        <v>0.20450741266867678</v>
      </c>
      <c r="D64" s="3">
        <f>B64*(1/(1+$C$51))^A64</f>
        <v>613.52223800603031</v>
      </c>
    </row>
    <row r="65" spans="1:4">
      <c r="A65" s="28" t="s">
        <v>9</v>
      </c>
      <c r="B65" s="28"/>
      <c r="D65" s="3">
        <f>SUM(D53:D64)</f>
        <v>16876.53995526399</v>
      </c>
    </row>
    <row r="66" spans="1:4">
      <c r="A66" s="28" t="s">
        <v>0</v>
      </c>
      <c r="B66" s="28"/>
      <c r="D66" s="3">
        <f>B9</f>
        <v>16980</v>
      </c>
    </row>
    <row r="67" spans="1:4">
      <c r="A67" s="28" t="s">
        <v>10</v>
      </c>
      <c r="B67" s="28"/>
      <c r="D67" s="3">
        <f>D65-D66</f>
        <v>-103.46004473600988</v>
      </c>
    </row>
  </sheetData>
  <mergeCells count="10">
    <mergeCell ref="A8:D8"/>
    <mergeCell ref="A47:C47"/>
    <mergeCell ref="A65:B65"/>
    <mergeCell ref="A66:B66"/>
    <mergeCell ref="A67:B67"/>
    <mergeCell ref="A26:C26"/>
    <mergeCell ref="A27:C27"/>
    <mergeCell ref="A28:C28"/>
    <mergeCell ref="A45:C45"/>
    <mergeCell ref="A46:C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2E880-8B9A-426F-8FEB-55916E46D97E}">
  <dimension ref="A7:R44"/>
  <sheetViews>
    <sheetView zoomScale="70" zoomScaleNormal="70" workbookViewId="0">
      <selection activeCell="C36" sqref="C36:C43"/>
    </sheetView>
  </sheetViews>
  <sheetFormatPr defaultRowHeight="14.25"/>
  <cols>
    <col min="1" max="1" width="12.25" bestFit="1" customWidth="1"/>
    <col min="2" max="2" width="12.125" bestFit="1" customWidth="1"/>
    <col min="3" max="3" width="12.125" customWidth="1"/>
    <col min="4" max="4" width="11.875" style="3" bestFit="1" customWidth="1"/>
    <col min="5" max="5" width="30.625" customWidth="1"/>
    <col min="6" max="6" width="12.25" bestFit="1" customWidth="1"/>
    <col min="7" max="7" width="10.75" bestFit="1" customWidth="1"/>
    <col min="8" max="8" width="13.5" bestFit="1" customWidth="1"/>
    <col min="9" max="9" width="13.375" customWidth="1"/>
    <col min="10" max="14" width="30.625" customWidth="1"/>
    <col min="15" max="15" width="17.25" bestFit="1" customWidth="1"/>
    <col min="16" max="16" width="10" bestFit="1" customWidth="1"/>
    <col min="17" max="17" width="11" bestFit="1" customWidth="1"/>
    <col min="18" max="18" width="10" bestFit="1" customWidth="1"/>
  </cols>
  <sheetData>
    <row r="7" spans="1:18">
      <c r="I7" s="3"/>
      <c r="K7" s="19"/>
      <c r="L7" s="19"/>
      <c r="M7" s="19"/>
      <c r="N7" s="19"/>
    </row>
    <row r="8" spans="1:18">
      <c r="A8" s="1" t="s">
        <v>0</v>
      </c>
      <c r="B8" s="2">
        <v>11070</v>
      </c>
      <c r="C8" s="2"/>
      <c r="I8" s="3"/>
    </row>
    <row r="9" spans="1:18">
      <c r="A9" s="1" t="s">
        <v>22</v>
      </c>
      <c r="B9" s="2">
        <v>2000</v>
      </c>
      <c r="C9" s="2"/>
      <c r="F9" s="10" t="s">
        <v>23</v>
      </c>
      <c r="I9" s="3"/>
    </row>
    <row r="10" spans="1:18">
      <c r="A10" s="31" t="s">
        <v>24</v>
      </c>
      <c r="B10" s="31"/>
      <c r="C10" s="31"/>
      <c r="D10" s="31"/>
      <c r="E10" s="31"/>
      <c r="F10" t="s">
        <v>14</v>
      </c>
      <c r="G10" t="s">
        <v>25</v>
      </c>
      <c r="I10" s="3"/>
    </row>
    <row r="11" spans="1:18">
      <c r="A11" t="s">
        <v>26</v>
      </c>
      <c r="B11">
        <f>13/100</f>
        <v>0.13</v>
      </c>
      <c r="D11" s="4" t="s">
        <v>1</v>
      </c>
      <c r="F11" t="s">
        <v>26</v>
      </c>
      <c r="G11">
        <f>8/100</f>
        <v>0.08</v>
      </c>
      <c r="I11" s="4" t="s">
        <v>1</v>
      </c>
    </row>
    <row r="12" spans="1:18" ht="15" thickBot="1">
      <c r="A12" s="20" t="s">
        <v>5</v>
      </c>
      <c r="B12" s="20" t="s">
        <v>6</v>
      </c>
      <c r="C12" s="20" t="s">
        <v>7</v>
      </c>
      <c r="D12" s="21" t="s">
        <v>8</v>
      </c>
      <c r="F12" s="20" t="s">
        <v>5</v>
      </c>
      <c r="G12" s="20" t="s">
        <v>6</v>
      </c>
      <c r="H12" s="20" t="s">
        <v>7</v>
      </c>
      <c r="I12" s="21" t="s">
        <v>8</v>
      </c>
      <c r="O12" t="s">
        <v>27</v>
      </c>
      <c r="P12" s="5">
        <f>D21-I21</f>
        <v>-1895.7372985621223</v>
      </c>
      <c r="Q12" t="s">
        <v>28</v>
      </c>
    </row>
    <row r="13" spans="1:18">
      <c r="A13">
        <v>1</v>
      </c>
      <c r="B13" s="5">
        <f>$B$9</f>
        <v>2000</v>
      </c>
      <c r="C13">
        <f>(1/(1+$B$11))^A13</f>
        <v>0.88495575221238942</v>
      </c>
      <c r="D13" s="3">
        <f>B13*C13</f>
        <v>1769.9115044247787</v>
      </c>
      <c r="F13">
        <v>1</v>
      </c>
      <c r="G13" s="5">
        <f>$B$9</f>
        <v>2000</v>
      </c>
      <c r="H13">
        <f>(1/(1+$G$11))^F13</f>
        <v>0.92592592592592582</v>
      </c>
      <c r="I13" s="3">
        <f>G13*H13</f>
        <v>1851.8518518518517</v>
      </c>
      <c r="O13" t="s">
        <v>29</v>
      </c>
      <c r="P13" s="5">
        <f>D21-B8</f>
        <v>-1472.4594111115257</v>
      </c>
      <c r="Q13" s="5"/>
      <c r="R13" s="5"/>
    </row>
    <row r="14" spans="1:18">
      <c r="A14">
        <v>2</v>
      </c>
      <c r="B14" s="5">
        <f t="shared" ref="B14:B20" si="0">$B$9</f>
        <v>2000</v>
      </c>
      <c r="C14">
        <f t="shared" ref="C14:C20" si="1">(1/(1+$B$11))^A14</f>
        <v>0.783146683373796</v>
      </c>
      <c r="D14" s="3">
        <f t="shared" ref="D14:D20" si="2">B14*C14</f>
        <v>1566.293366747592</v>
      </c>
      <c r="F14">
        <v>2</v>
      </c>
      <c r="G14" s="5">
        <f t="shared" ref="G14:G20" si="3">$B$9</f>
        <v>2000</v>
      </c>
      <c r="H14">
        <f>(1/(1+$G$11))^F14</f>
        <v>0.8573388203017831</v>
      </c>
      <c r="I14" s="3">
        <f t="shared" ref="I14:I20" si="4">G14*H14</f>
        <v>1714.6776406035663</v>
      </c>
      <c r="O14" s="6" t="s">
        <v>30</v>
      </c>
      <c r="P14" s="5">
        <f>8-13</f>
        <v>-5</v>
      </c>
      <c r="Q14" s="5"/>
      <c r="R14" s="5"/>
    </row>
    <row r="15" spans="1:18">
      <c r="A15">
        <v>3</v>
      </c>
      <c r="B15" s="5">
        <f t="shared" si="0"/>
        <v>2000</v>
      </c>
      <c r="C15">
        <f t="shared" si="1"/>
        <v>0.69305016227769556</v>
      </c>
      <c r="D15" s="3">
        <f t="shared" si="2"/>
        <v>1386.1003245553911</v>
      </c>
      <c r="F15">
        <v>3</v>
      </c>
      <c r="G15" s="5">
        <f t="shared" si="3"/>
        <v>2000</v>
      </c>
      <c r="H15">
        <f>(1/(1+$G$11))^F15</f>
        <v>0.79383224102016947</v>
      </c>
      <c r="I15" s="3">
        <f t="shared" si="4"/>
        <v>1587.664482040339</v>
      </c>
    </row>
    <row r="16" spans="1:18">
      <c r="A16">
        <v>4</v>
      </c>
      <c r="B16" s="5">
        <f t="shared" si="0"/>
        <v>2000</v>
      </c>
      <c r="C16">
        <f t="shared" si="1"/>
        <v>0.61331872767937667</v>
      </c>
      <c r="D16" s="3">
        <f t="shared" si="2"/>
        <v>1226.6374553587534</v>
      </c>
      <c r="F16">
        <v>4</v>
      </c>
      <c r="G16" s="5">
        <f t="shared" si="3"/>
        <v>2000</v>
      </c>
      <c r="H16">
        <f>(1/(1+$G$11))^F16</f>
        <v>0.73502985279645316</v>
      </c>
      <c r="I16" s="3">
        <f t="shared" si="4"/>
        <v>1470.0597055929063</v>
      </c>
      <c r="O16" s="7" t="s">
        <v>31</v>
      </c>
      <c r="P16">
        <f>P13/P12</f>
        <v>0.77672123254016046</v>
      </c>
    </row>
    <row r="17" spans="1:16">
      <c r="A17">
        <v>5</v>
      </c>
      <c r="B17" s="5">
        <f t="shared" si="0"/>
        <v>2000</v>
      </c>
      <c r="C17">
        <f t="shared" si="1"/>
        <v>0.54275993599944838</v>
      </c>
      <c r="D17" s="3">
        <f t="shared" si="2"/>
        <v>1085.5198719988969</v>
      </c>
      <c r="F17">
        <v>5</v>
      </c>
      <c r="G17" s="5">
        <f t="shared" si="3"/>
        <v>2000</v>
      </c>
      <c r="H17">
        <f>(1/(1+$G$11))^F17</f>
        <v>0.68058319703375281</v>
      </c>
      <c r="I17" s="3">
        <f t="shared" si="4"/>
        <v>1361.1663940675055</v>
      </c>
      <c r="O17" t="s">
        <v>32</v>
      </c>
      <c r="P17" s="5">
        <f>P16*P14</f>
        <v>-3.8836061627008025</v>
      </c>
    </row>
    <row r="18" spans="1:16">
      <c r="A18">
        <v>6</v>
      </c>
      <c r="B18" s="5">
        <f t="shared" si="0"/>
        <v>2000</v>
      </c>
      <c r="C18">
        <f t="shared" si="1"/>
        <v>0.48031852743314024</v>
      </c>
      <c r="D18" s="3">
        <f t="shared" si="2"/>
        <v>960.63705486628044</v>
      </c>
      <c r="F18">
        <v>6</v>
      </c>
      <c r="G18" s="5">
        <f t="shared" si="3"/>
        <v>2000</v>
      </c>
      <c r="H18">
        <f>(1/(1+$G$11))^F18</f>
        <v>0.63016962688310441</v>
      </c>
      <c r="I18" s="3">
        <f t="shared" si="4"/>
        <v>1260.3392537662089</v>
      </c>
      <c r="O18" s="7" t="s">
        <v>33</v>
      </c>
      <c r="P18" s="5">
        <f>(B11*100)+P17</f>
        <v>9.1163938372991975</v>
      </c>
    </row>
    <row r="19" spans="1:16">
      <c r="A19">
        <v>7</v>
      </c>
      <c r="B19" s="5">
        <f t="shared" si="0"/>
        <v>2000</v>
      </c>
      <c r="C19">
        <f t="shared" si="1"/>
        <v>0.42506064374614178</v>
      </c>
      <c r="D19" s="3">
        <f t="shared" si="2"/>
        <v>850.1212874922835</v>
      </c>
      <c r="F19">
        <v>7</v>
      </c>
      <c r="G19" s="5">
        <f t="shared" si="3"/>
        <v>2000</v>
      </c>
      <c r="H19">
        <f>(1/(1+$G$11))^F19</f>
        <v>0.58349039526213364</v>
      </c>
      <c r="I19" s="3">
        <f t="shared" si="4"/>
        <v>1166.9807905242674</v>
      </c>
    </row>
    <row r="20" spans="1:16">
      <c r="A20">
        <v>8</v>
      </c>
      <c r="B20" s="5">
        <f t="shared" si="0"/>
        <v>2000</v>
      </c>
      <c r="C20">
        <f t="shared" si="1"/>
        <v>0.37615986172224941</v>
      </c>
      <c r="D20" s="3">
        <f t="shared" si="2"/>
        <v>752.31972344449878</v>
      </c>
      <c r="F20">
        <v>8</v>
      </c>
      <c r="G20" s="5">
        <f t="shared" si="3"/>
        <v>2000</v>
      </c>
      <c r="H20">
        <f>(1/(1+$G$11))^F20</f>
        <v>0.54026888450197563</v>
      </c>
      <c r="I20" s="3">
        <f t="shared" si="4"/>
        <v>1080.5377690039513</v>
      </c>
    </row>
    <row r="21" spans="1:16">
      <c r="A21" s="28" t="s">
        <v>9</v>
      </c>
      <c r="B21" s="28"/>
      <c r="C21" s="12"/>
      <c r="D21" s="3">
        <f>SUM(D13:D20)</f>
        <v>9597.5405888884743</v>
      </c>
      <c r="F21" s="28" t="s">
        <v>9</v>
      </c>
      <c r="G21" s="28"/>
      <c r="H21" s="12"/>
      <c r="I21" s="3">
        <f>SUM(I13:I20)</f>
        <v>11493.277887450597</v>
      </c>
    </row>
    <row r="22" spans="1:16">
      <c r="A22" s="28" t="s">
        <v>0</v>
      </c>
      <c r="B22" s="28"/>
      <c r="C22" s="12"/>
      <c r="D22" s="3">
        <v>11070</v>
      </c>
      <c r="F22" s="28" t="s">
        <v>0</v>
      </c>
      <c r="G22" s="28"/>
      <c r="H22" s="12"/>
      <c r="I22" s="3">
        <v>11070</v>
      </c>
    </row>
    <row r="23" spans="1:16">
      <c r="A23" s="28" t="s">
        <v>10</v>
      </c>
      <c r="B23" s="28"/>
      <c r="C23" s="12"/>
      <c r="D23" s="3">
        <f>D21-D22</f>
        <v>-1472.4594111115257</v>
      </c>
      <c r="F23" s="28" t="s">
        <v>10</v>
      </c>
      <c r="G23" s="28"/>
      <c r="H23" s="12"/>
      <c r="I23" s="3">
        <f>I21-I22</f>
        <v>423.27788745059661</v>
      </c>
    </row>
    <row r="27" spans="1:16" ht="17.25">
      <c r="A27" s="17" t="s">
        <v>34</v>
      </c>
    </row>
    <row r="28" spans="1:16" ht="17.25">
      <c r="A28" s="17" t="s">
        <v>35</v>
      </c>
    </row>
    <row r="29" spans="1:16" ht="17.25">
      <c r="A29" s="18" t="s">
        <v>36</v>
      </c>
    </row>
    <row r="30" spans="1:16" ht="17.25">
      <c r="A30" s="18" t="s">
        <v>37</v>
      </c>
    </row>
    <row r="34" spans="2:17">
      <c r="Q34" s="5"/>
    </row>
    <row r="35" spans="2:17">
      <c r="B35" s="8"/>
      <c r="C35" s="8"/>
      <c r="D35" s="8"/>
      <c r="E35" s="8"/>
      <c r="F35" s="8"/>
      <c r="G35" s="8"/>
    </row>
    <row r="36" spans="2:17">
      <c r="B36" s="8"/>
      <c r="C36" s="1" t="s">
        <v>38</v>
      </c>
      <c r="D36" s="8"/>
      <c r="E36" s="9"/>
      <c r="F36" s="8"/>
      <c r="G36" s="8"/>
    </row>
    <row r="37" spans="2:17">
      <c r="B37" s="8"/>
      <c r="C37" s="1" t="s">
        <v>39</v>
      </c>
      <c r="D37" s="8"/>
      <c r="E37" s="9"/>
      <c r="F37" s="8"/>
      <c r="G37" s="8"/>
    </row>
    <row r="38" spans="2:17">
      <c r="B38" s="8"/>
      <c r="C38" s="1" t="s">
        <v>40</v>
      </c>
      <c r="D38" s="8"/>
      <c r="E38" s="8"/>
      <c r="F38" s="8"/>
      <c r="G38" s="8"/>
    </row>
    <row r="39" spans="2:17">
      <c r="B39" s="8"/>
      <c r="C39" s="1" t="s">
        <v>41</v>
      </c>
      <c r="D39" s="8"/>
      <c r="E39" s="8"/>
      <c r="F39" s="8"/>
      <c r="G39" s="8"/>
    </row>
    <row r="40" spans="2:17">
      <c r="B40" s="8"/>
      <c r="C40" s="8"/>
      <c r="D40" s="8"/>
      <c r="E40" s="8"/>
      <c r="F40" s="8"/>
      <c r="G40" s="8"/>
    </row>
    <row r="41" spans="2:17">
      <c r="B41" s="8"/>
      <c r="C41" s="1" t="s">
        <v>42</v>
      </c>
      <c r="D41" s="8"/>
      <c r="E41" s="8"/>
      <c r="F41" s="8"/>
      <c r="G41" s="8"/>
    </row>
    <row r="42" spans="2:17">
      <c r="B42" s="8"/>
      <c r="C42" s="8" t="s">
        <v>43</v>
      </c>
      <c r="D42" s="8"/>
      <c r="E42" s="8"/>
      <c r="F42" s="8"/>
      <c r="G42" s="8"/>
    </row>
    <row r="43" spans="2:17">
      <c r="B43" s="8"/>
      <c r="C43" s="8" t="s">
        <v>44</v>
      </c>
      <c r="D43" s="8"/>
      <c r="E43" s="8"/>
      <c r="F43" s="8"/>
      <c r="G43" s="8"/>
    </row>
    <row r="44" spans="2:17">
      <c r="B44" s="8"/>
      <c r="C44" s="8"/>
      <c r="D44" s="8"/>
      <c r="E44" s="8"/>
      <c r="F44" s="8"/>
      <c r="G44" s="8"/>
    </row>
  </sheetData>
  <mergeCells count="7">
    <mergeCell ref="F23:G23"/>
    <mergeCell ref="A10:E10"/>
    <mergeCell ref="A21:B21"/>
    <mergeCell ref="A22:B22"/>
    <mergeCell ref="A23:B23"/>
    <mergeCell ref="F21:G21"/>
    <mergeCell ref="F22:G22"/>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Krissana Piputpruedtigul</dc:creator>
  <cp:keywords/>
  <dc:description/>
  <cp:lastModifiedBy>Krissana Piputpruedtigul</cp:lastModifiedBy>
  <cp:revision/>
  <dcterms:created xsi:type="dcterms:W3CDTF">2025-01-25T08:26:51Z</dcterms:created>
  <dcterms:modified xsi:type="dcterms:W3CDTF">2025-01-27T08:01:06Z</dcterms:modified>
  <cp:category/>
  <cp:contentStatus/>
</cp:coreProperties>
</file>