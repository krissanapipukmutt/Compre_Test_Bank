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Exercise/Lecture 6 Statistics analysis/"/>
    </mc:Choice>
  </mc:AlternateContent>
  <xr:revisionPtr revIDLastSave="139" documentId="8_{79833141-CBA0-F342-A99E-58BD271CB9EA}" xr6:coauthVersionLast="47" xr6:coauthVersionMax="47" xr10:uidLastSave="{5E59A68D-CFEB-3045-AA53-FCF8FEB3C96C}"/>
  <bookViews>
    <workbookView xWindow="0" yWindow="880" windowWidth="36000" windowHeight="21300" activeTab="2" xr2:uid="{B27959E6-0992-A645-9730-C63D45B3B47A}"/>
  </bookViews>
  <sheets>
    <sheet name="Growth_Value" sheetId="1" r:id="rId1"/>
    <sheet name="KBANK_BAY" sheetId="2" r:id="rId2"/>
    <sheet name="KBANK_BAY (2)" sheetId="3" r:id="rId3"/>
  </sheets>
  <definedNames>
    <definedName name="_xlchart.v1.0" hidden="1">Growth_Value!$B$1</definedName>
    <definedName name="_xlchart.v1.1" hidden="1">Growth_Value!$B$2:$B$36</definedName>
    <definedName name="_xlchart.v1.10" hidden="1">'KBANK_BAY (2)'!$B$1</definedName>
    <definedName name="_xlchart.v1.11" hidden="1">'KBANK_BAY (2)'!$B$2:$B$36</definedName>
    <definedName name="_xlchart.v1.2" hidden="1">Growth_Value!$C$1</definedName>
    <definedName name="_xlchart.v1.3" hidden="1">Growth_Value!$C$2:$C$36</definedName>
    <definedName name="_xlchart.v1.4" hidden="1">KBANK_BAY!$A$1</definedName>
    <definedName name="_xlchart.v1.5" hidden="1">KBANK_BAY!$A$2:$A$36</definedName>
    <definedName name="_xlchart.v1.6" hidden="1">KBANK_BAY!$B$1</definedName>
    <definedName name="_xlchart.v1.7" hidden="1">KBANK_BAY!$B$2:$B$36</definedName>
    <definedName name="_xlchart.v1.8" hidden="1">'KBANK_BAY (2)'!$A$1</definedName>
    <definedName name="_xlchart.v1.9" hidden="1">'KBANK_BAY (2)'!$A$2:$A$36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3" l="1"/>
  <c r="H69" i="3"/>
  <c r="I44" i="3"/>
  <c r="H44" i="3"/>
  <c r="I43" i="3"/>
  <c r="I45" i="3" s="1"/>
  <c r="H43" i="3"/>
  <c r="H45" i="3" s="1"/>
  <c r="I42" i="3"/>
  <c r="H42" i="3"/>
  <c r="I41" i="3"/>
  <c r="H41" i="3"/>
  <c r="I35" i="3"/>
  <c r="Q35" i="3" s="1"/>
  <c r="H35" i="3"/>
  <c r="Q34" i="3" s="1"/>
  <c r="I34" i="3"/>
  <c r="M35" i="3" s="1"/>
  <c r="H34" i="3"/>
  <c r="M34" i="3" s="1"/>
  <c r="I32" i="3"/>
  <c r="H32" i="3"/>
  <c r="I31" i="3"/>
  <c r="N35" i="3" s="1"/>
  <c r="H31" i="3"/>
  <c r="I30" i="3"/>
  <c r="O35" i="3" s="1"/>
  <c r="H30" i="3"/>
  <c r="O34" i="3" s="1"/>
  <c r="J68" i="2"/>
  <c r="H68" i="2"/>
  <c r="I35" i="2"/>
  <c r="Q35" i="2" s="1"/>
  <c r="H35" i="2"/>
  <c r="I32" i="2"/>
  <c r="H32" i="2"/>
  <c r="I34" i="2"/>
  <c r="H34" i="2"/>
  <c r="I31" i="2"/>
  <c r="H31" i="2"/>
  <c r="I30" i="2"/>
  <c r="O35" i="2" s="1"/>
  <c r="H30" i="2"/>
  <c r="O34" i="2" s="1"/>
  <c r="I44" i="2"/>
  <c r="H44" i="2"/>
  <c r="I43" i="2"/>
  <c r="H43" i="2"/>
  <c r="I42" i="2"/>
  <c r="H42" i="2"/>
  <c r="I41" i="2"/>
  <c r="H41" i="2"/>
  <c r="Q34" i="2"/>
  <c r="M35" i="2"/>
  <c r="M34" i="2"/>
  <c r="J42" i="1"/>
  <c r="I42" i="1"/>
  <c r="J41" i="1"/>
  <c r="I41" i="1"/>
  <c r="J35" i="1"/>
  <c r="I35" i="1"/>
  <c r="J34" i="1"/>
  <c r="I34" i="1"/>
  <c r="N34" i="1" s="1"/>
  <c r="J32" i="1"/>
  <c r="I32" i="1"/>
  <c r="J31" i="1"/>
  <c r="O35" i="1" s="1"/>
  <c r="I31" i="1"/>
  <c r="O34" i="1" s="1"/>
  <c r="J30" i="1"/>
  <c r="P35" i="1" s="1"/>
  <c r="I30" i="1"/>
  <c r="P34" i="1" s="1"/>
  <c r="H33" i="3" l="1"/>
  <c r="H36" i="3" s="1"/>
  <c r="H38" i="3" s="1"/>
  <c r="N34" i="3"/>
  <c r="P34" i="3"/>
  <c r="P35" i="3"/>
  <c r="H39" i="3"/>
  <c r="I33" i="3"/>
  <c r="I36" i="3" s="1"/>
  <c r="I38" i="3" s="1"/>
  <c r="H45" i="2"/>
  <c r="I45" i="2"/>
  <c r="P35" i="2"/>
  <c r="H33" i="2"/>
  <c r="H36" i="2" s="1"/>
  <c r="H38" i="2" s="1"/>
  <c r="N35" i="2"/>
  <c r="I33" i="2"/>
  <c r="I36" i="2" s="1"/>
  <c r="I39" i="2" s="1"/>
  <c r="N34" i="2"/>
  <c r="P34" i="2"/>
  <c r="I33" i="1"/>
  <c r="I36" i="1" s="1"/>
  <c r="I38" i="1" s="1"/>
  <c r="Q35" i="1"/>
  <c r="J33" i="1"/>
  <c r="J36" i="1" s="1"/>
  <c r="J38" i="1" s="1"/>
  <c r="R34" i="1"/>
  <c r="N35" i="1"/>
  <c r="Q34" i="1"/>
  <c r="R35" i="1"/>
  <c r="I39" i="3" l="1"/>
  <c r="H39" i="2"/>
  <c r="I38" i="2"/>
  <c r="J39" i="1"/>
  <c r="I39" i="1"/>
</calcChain>
</file>

<file path=xl/sharedStrings.xml><?xml version="1.0" encoding="utf-8"?>
<sst xmlns="http://schemas.openxmlformats.org/spreadsheetml/2006/main" count="150" uniqueCount="42">
  <si>
    <t>Year</t>
  </si>
  <si>
    <t>Growth_Invest</t>
  </si>
  <si>
    <t>Value_Invest</t>
  </si>
  <si>
    <t>To plot the boxplot, select Insert&gt;Chart&gt;Box and Whisker</t>
  </si>
  <si>
    <t>1. Before that, select the data range  (drag the cursor to cover the whole range)</t>
  </si>
  <si>
    <t>2. Click on the chart (to show Serie data, right click &gt; Format Data Series &gt;  Quartile Calculation &gt; Inclusive median</t>
  </si>
  <si>
    <t>Boxplot</t>
  </si>
  <si>
    <t>Growth</t>
  </si>
  <si>
    <t>Value</t>
  </si>
  <si>
    <t>Median</t>
  </si>
  <si>
    <t>Q1</t>
  </si>
  <si>
    <t>Q3</t>
  </si>
  <si>
    <t>IQR</t>
  </si>
  <si>
    <t>Min</t>
  </si>
  <si>
    <t>Q2</t>
  </si>
  <si>
    <t>Max</t>
  </si>
  <si>
    <t>min</t>
  </si>
  <si>
    <t>max</t>
  </si>
  <si>
    <t>1.5IQR</t>
  </si>
  <si>
    <t>threshold(-)</t>
  </si>
  <si>
    <t>threshold(+)</t>
  </si>
  <si>
    <t xml:space="preserve"> </t>
  </si>
  <si>
    <t>Skew</t>
  </si>
  <si>
    <t>Kurtosis</t>
  </si>
  <si>
    <t>BAY.BK</t>
  </si>
  <si>
    <t>KBANK.BK</t>
  </si>
  <si>
    <t>Average</t>
  </si>
  <si>
    <t>Stdev</t>
  </si>
  <si>
    <t>CV</t>
  </si>
  <si>
    <t>Mean</t>
  </si>
  <si>
    <t>Standard Error</t>
  </si>
  <si>
    <t>Mode</t>
  </si>
  <si>
    <t>Standard Deviation</t>
  </si>
  <si>
    <t>Sample Variance</t>
  </si>
  <si>
    <t>Skewness</t>
  </si>
  <si>
    <t>Range</t>
  </si>
  <si>
    <t>Minimum</t>
  </si>
  <si>
    <t>Maximum</t>
  </si>
  <si>
    <t>Sum</t>
  </si>
  <si>
    <t>Count</t>
  </si>
  <si>
    <t>Cv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</si>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</sst>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0"/>
    <numFmt numFmtId="188" formatCode="0.000000"/>
  </numFmts>
  <fonts count="5" x14ac:knownFonts="1"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name val="Tahoma"/>
      <family val="2"/>
    </font>
    <font>
      <i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7" fontId="0" fillId="0" borderId="0" xfId="0" applyNumberFormat="1"/>
    <xf numFmtId="187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188" fontId="0" fillId="0" borderId="0" xfId="0" applyNumberFormat="1"/>
    <xf numFmtId="0" fontId="0" fillId="0" borderId="2" xfId="0" applyBorder="1"/>
    <xf numFmtId="0" fontId="4" fillId="0" borderId="3" xfId="0" applyFont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Growth_Value!$B$1</c:f>
              <c:strCache>
                <c:ptCount val="1"/>
                <c:pt idx="0">
                  <c:v>Growth_Invest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Growth_Value!$B$2:$B$36</c:f>
              <c:numCache>
                <c:formatCode>0.00</c:formatCode>
                <c:ptCount val="35"/>
                <c:pt idx="0">
                  <c:v>-5.5</c:v>
                </c:pt>
                <c:pt idx="1">
                  <c:v>39.909999999999997</c:v>
                </c:pt>
                <c:pt idx="2">
                  <c:v>13.03</c:v>
                </c:pt>
                <c:pt idx="3">
                  <c:v>-1.7</c:v>
                </c:pt>
                <c:pt idx="4">
                  <c:v>16.05</c:v>
                </c:pt>
                <c:pt idx="5">
                  <c:v>41.64</c:v>
                </c:pt>
                <c:pt idx="6">
                  <c:v>3.59</c:v>
                </c:pt>
                <c:pt idx="7">
                  <c:v>48.33</c:v>
                </c:pt>
                <c:pt idx="8">
                  <c:v>7.94</c:v>
                </c:pt>
                <c:pt idx="9">
                  <c:v>16.190000000000001</c:v>
                </c:pt>
                <c:pt idx="10">
                  <c:v>-2.2200000000000002</c:v>
                </c:pt>
                <c:pt idx="11">
                  <c:v>39.61</c:v>
                </c:pt>
                <c:pt idx="12">
                  <c:v>16.809999999999999</c:v>
                </c:pt>
                <c:pt idx="13">
                  <c:v>18.91</c:v>
                </c:pt>
                <c:pt idx="14">
                  <c:v>27.23</c:v>
                </c:pt>
                <c:pt idx="15">
                  <c:v>79.48</c:v>
                </c:pt>
                <c:pt idx="16">
                  <c:v>-6.32</c:v>
                </c:pt>
                <c:pt idx="17">
                  <c:v>-25.31</c:v>
                </c:pt>
                <c:pt idx="18">
                  <c:v>-33.450000000000003</c:v>
                </c:pt>
                <c:pt idx="19">
                  <c:v>41.36</c:v>
                </c:pt>
                <c:pt idx="20">
                  <c:v>12.12</c:v>
                </c:pt>
                <c:pt idx="21">
                  <c:v>13.5</c:v>
                </c:pt>
                <c:pt idx="22">
                  <c:v>9.56</c:v>
                </c:pt>
                <c:pt idx="23">
                  <c:v>19.89</c:v>
                </c:pt>
                <c:pt idx="24">
                  <c:v>-40.9</c:v>
                </c:pt>
                <c:pt idx="25">
                  <c:v>41.15</c:v>
                </c:pt>
                <c:pt idx="26">
                  <c:v>20.55</c:v>
                </c:pt>
                <c:pt idx="27">
                  <c:v>0.67</c:v>
                </c:pt>
                <c:pt idx="28">
                  <c:v>18.52</c:v>
                </c:pt>
                <c:pt idx="29">
                  <c:v>37.61</c:v>
                </c:pt>
                <c:pt idx="30">
                  <c:v>14.44</c:v>
                </c:pt>
                <c:pt idx="31">
                  <c:v>7.83</c:v>
                </c:pt>
                <c:pt idx="32">
                  <c:v>6.01</c:v>
                </c:pt>
                <c:pt idx="33">
                  <c:v>36.76</c:v>
                </c:pt>
                <c:pt idx="34">
                  <c:v>-4.53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6-7E46-B722-A060FA76797C}"/>
            </c:ext>
          </c:extLst>
        </c:ser>
        <c:ser>
          <c:idx val="1"/>
          <c:order val="1"/>
          <c:tx>
            <c:strRef>
              <c:f>Growth_Value!$C$1</c:f>
              <c:strCache>
                <c:ptCount val="1"/>
                <c:pt idx="0">
                  <c:v>Value_Invest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Growth_Value!$C$2:$C$36</c:f>
              <c:numCache>
                <c:formatCode>0.00</c:formatCode>
                <c:ptCount val="35"/>
                <c:pt idx="0">
                  <c:v>-8.59</c:v>
                </c:pt>
                <c:pt idx="1">
                  <c:v>22.1</c:v>
                </c:pt>
                <c:pt idx="2">
                  <c:v>14.74</c:v>
                </c:pt>
                <c:pt idx="3">
                  <c:v>-8.58</c:v>
                </c:pt>
                <c:pt idx="4">
                  <c:v>29.05</c:v>
                </c:pt>
                <c:pt idx="5">
                  <c:v>22.95</c:v>
                </c:pt>
                <c:pt idx="6">
                  <c:v>-12.82</c:v>
                </c:pt>
                <c:pt idx="7">
                  <c:v>26.2</c:v>
                </c:pt>
                <c:pt idx="8">
                  <c:v>21.15</c:v>
                </c:pt>
                <c:pt idx="9">
                  <c:v>22.94</c:v>
                </c:pt>
                <c:pt idx="10">
                  <c:v>7.63</c:v>
                </c:pt>
                <c:pt idx="11">
                  <c:v>27.13</c:v>
                </c:pt>
                <c:pt idx="12">
                  <c:v>16.850000000000001</c:v>
                </c:pt>
                <c:pt idx="13">
                  <c:v>21.08</c:v>
                </c:pt>
                <c:pt idx="14">
                  <c:v>0.18</c:v>
                </c:pt>
                <c:pt idx="15">
                  <c:v>8.5500000000000007</c:v>
                </c:pt>
                <c:pt idx="16">
                  <c:v>8.1</c:v>
                </c:pt>
                <c:pt idx="17">
                  <c:v>12.25</c:v>
                </c:pt>
                <c:pt idx="18">
                  <c:v>-9.25</c:v>
                </c:pt>
                <c:pt idx="19">
                  <c:v>34.43</c:v>
                </c:pt>
                <c:pt idx="20">
                  <c:v>21.21</c:v>
                </c:pt>
                <c:pt idx="21">
                  <c:v>14.27</c:v>
                </c:pt>
                <c:pt idx="22">
                  <c:v>15.09</c:v>
                </c:pt>
                <c:pt idx="23">
                  <c:v>2.21</c:v>
                </c:pt>
                <c:pt idx="24">
                  <c:v>-46.52</c:v>
                </c:pt>
                <c:pt idx="25">
                  <c:v>44.08</c:v>
                </c:pt>
                <c:pt idx="26">
                  <c:v>22.27</c:v>
                </c:pt>
                <c:pt idx="27">
                  <c:v>-6.71</c:v>
                </c:pt>
                <c:pt idx="28">
                  <c:v>21.9</c:v>
                </c:pt>
                <c:pt idx="29">
                  <c:v>37.07</c:v>
                </c:pt>
                <c:pt idx="30">
                  <c:v>11.72</c:v>
                </c:pt>
                <c:pt idx="31">
                  <c:v>-6.51</c:v>
                </c:pt>
                <c:pt idx="32">
                  <c:v>16.059999999999999</c:v>
                </c:pt>
                <c:pt idx="33">
                  <c:v>15.67</c:v>
                </c:pt>
                <c:pt idx="34">
                  <c:v>-17.34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C6-7E46-B722-A060FA767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359487"/>
        <c:axId val="1148422815"/>
      </c:scatterChart>
      <c:valAx>
        <c:axId val="114835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48422815"/>
        <c:crosses val="autoZero"/>
        <c:crossBetween val="midCat"/>
      </c:valAx>
      <c:valAx>
        <c:axId val="114842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4835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KBANK_BAY!$A$1</c:f>
              <c:strCache>
                <c:ptCount val="1"/>
                <c:pt idx="0">
                  <c:v>BAY.BK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KBANK_BAY!$A$2:$A$36</c:f>
              <c:numCache>
                <c:formatCode>General</c:formatCode>
                <c:ptCount val="35"/>
                <c:pt idx="0">
                  <c:v>24.89999961853027</c:v>
                </c:pt>
                <c:pt idx="1">
                  <c:v>24.70000076293945</c:v>
                </c:pt>
                <c:pt idx="2">
                  <c:v>24.89999961853027</c:v>
                </c:pt>
                <c:pt idx="3">
                  <c:v>25.25</c:v>
                </c:pt>
                <c:pt idx="4">
                  <c:v>25.25</c:v>
                </c:pt>
                <c:pt idx="5">
                  <c:v>25.25</c:v>
                </c:pt>
                <c:pt idx="6">
                  <c:v>25</c:v>
                </c:pt>
                <c:pt idx="7">
                  <c:v>25</c:v>
                </c:pt>
                <c:pt idx="8">
                  <c:v>25.25</c:v>
                </c:pt>
                <c:pt idx="9">
                  <c:v>25.25</c:v>
                </c:pt>
                <c:pt idx="10">
                  <c:v>24.89999961853027</c:v>
                </c:pt>
                <c:pt idx="11">
                  <c:v>25</c:v>
                </c:pt>
                <c:pt idx="12">
                  <c:v>24.89999961853027</c:v>
                </c:pt>
                <c:pt idx="13">
                  <c:v>24.89999961853027</c:v>
                </c:pt>
                <c:pt idx="14">
                  <c:v>25</c:v>
                </c:pt>
                <c:pt idx="15">
                  <c:v>25.25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25.25</c:v>
                </c:pt>
                <c:pt idx="20">
                  <c:v>24.89999961853027</c:v>
                </c:pt>
                <c:pt idx="21">
                  <c:v>24.89999961853027</c:v>
                </c:pt>
                <c:pt idx="22">
                  <c:v>24.79999923706055</c:v>
                </c:pt>
                <c:pt idx="23">
                  <c:v>24.5</c:v>
                </c:pt>
                <c:pt idx="24">
                  <c:v>24.5</c:v>
                </c:pt>
                <c:pt idx="25">
                  <c:v>24.39999961853027</c:v>
                </c:pt>
                <c:pt idx="26">
                  <c:v>24.39999961853027</c:v>
                </c:pt>
                <c:pt idx="27">
                  <c:v>24.79999923706055</c:v>
                </c:pt>
                <c:pt idx="28">
                  <c:v>24.70000076293945</c:v>
                </c:pt>
                <c:pt idx="29">
                  <c:v>24.60000038146973</c:v>
                </c:pt>
                <c:pt idx="30">
                  <c:v>24.5</c:v>
                </c:pt>
                <c:pt idx="31">
                  <c:v>24.60000038146973</c:v>
                </c:pt>
                <c:pt idx="32">
                  <c:v>24.60000038146973</c:v>
                </c:pt>
                <c:pt idx="33">
                  <c:v>24.39999961853027</c:v>
                </c:pt>
                <c:pt idx="34">
                  <c:v>24.5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F2-4E4A-A61E-6403DD1B3736}"/>
            </c:ext>
          </c:extLst>
        </c:ser>
        <c:ser>
          <c:idx val="1"/>
          <c:order val="1"/>
          <c:tx>
            <c:strRef>
              <c:f>KBANK_BAY!$B$1</c:f>
              <c:strCache>
                <c:ptCount val="1"/>
                <c:pt idx="0">
                  <c:v>KBANK.BK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KBANK_BAY!$B$2:$B$36</c:f>
              <c:numCache>
                <c:formatCode>General</c:formatCode>
                <c:ptCount val="35"/>
                <c:pt idx="0">
                  <c:v>146</c:v>
                </c:pt>
                <c:pt idx="1">
                  <c:v>147.5</c:v>
                </c:pt>
                <c:pt idx="2">
                  <c:v>149</c:v>
                </c:pt>
                <c:pt idx="3">
                  <c:v>149.5</c:v>
                </c:pt>
                <c:pt idx="4">
                  <c:v>148.5</c:v>
                </c:pt>
                <c:pt idx="5">
                  <c:v>149</c:v>
                </c:pt>
                <c:pt idx="6">
                  <c:v>149.5</c:v>
                </c:pt>
                <c:pt idx="7">
                  <c:v>150</c:v>
                </c:pt>
                <c:pt idx="8">
                  <c:v>149.5</c:v>
                </c:pt>
                <c:pt idx="9">
                  <c:v>149.5</c:v>
                </c:pt>
                <c:pt idx="10">
                  <c:v>150</c:v>
                </c:pt>
                <c:pt idx="11">
                  <c:v>150.5</c:v>
                </c:pt>
                <c:pt idx="12">
                  <c:v>151.5</c:v>
                </c:pt>
                <c:pt idx="13">
                  <c:v>153.5</c:v>
                </c:pt>
                <c:pt idx="14">
                  <c:v>155</c:v>
                </c:pt>
                <c:pt idx="15">
                  <c:v>156</c:v>
                </c:pt>
                <c:pt idx="16">
                  <c:v>156.5</c:v>
                </c:pt>
                <c:pt idx="17">
                  <c:v>154.5</c:v>
                </c:pt>
                <c:pt idx="18">
                  <c:v>156.5</c:v>
                </c:pt>
                <c:pt idx="19">
                  <c:v>158</c:v>
                </c:pt>
                <c:pt idx="20">
                  <c:v>157</c:v>
                </c:pt>
                <c:pt idx="21">
                  <c:v>153.5</c:v>
                </c:pt>
                <c:pt idx="22">
                  <c:v>154.5</c:v>
                </c:pt>
                <c:pt idx="23">
                  <c:v>154</c:v>
                </c:pt>
                <c:pt idx="24">
                  <c:v>152.5</c:v>
                </c:pt>
                <c:pt idx="25">
                  <c:v>154.5</c:v>
                </c:pt>
                <c:pt idx="26">
                  <c:v>154.5</c:v>
                </c:pt>
                <c:pt idx="27">
                  <c:v>156</c:v>
                </c:pt>
                <c:pt idx="28">
                  <c:v>157</c:v>
                </c:pt>
                <c:pt idx="29">
                  <c:v>156</c:v>
                </c:pt>
                <c:pt idx="30">
                  <c:v>155.5</c:v>
                </c:pt>
                <c:pt idx="31">
                  <c:v>155</c:v>
                </c:pt>
                <c:pt idx="32">
                  <c:v>154.5</c:v>
                </c:pt>
                <c:pt idx="33">
                  <c:v>158</c:v>
                </c:pt>
                <c:pt idx="34">
                  <c:v>159.5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F2-4E4A-A61E-6403DD1B3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359487"/>
        <c:axId val="1148422815"/>
      </c:scatterChart>
      <c:valAx>
        <c:axId val="114835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48422815"/>
        <c:crosses val="autoZero"/>
        <c:crossBetween val="midCat"/>
      </c:valAx>
      <c:valAx>
        <c:axId val="114842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4835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'KBANK_BAY (2)'!$A$1</c:f>
              <c:strCache>
                <c:ptCount val="1"/>
                <c:pt idx="0">
                  <c:v>BAY.BK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'KBANK_BAY (2)'!$A$2:$A$36</c:f>
              <c:numCache>
                <c:formatCode>General</c:formatCode>
                <c:ptCount val="35"/>
                <c:pt idx="0">
                  <c:v>-8.032082676900254E-3</c:v>
                </c:pt>
                <c:pt idx="1">
                  <c:v>8.0971194094416887E-3</c:v>
                </c:pt>
                <c:pt idx="2">
                  <c:v>1.4056240435010411E-2</c:v>
                </c:pt>
                <c:pt idx="3">
                  <c:v>0</c:v>
                </c:pt>
                <c:pt idx="4">
                  <c:v>0</c:v>
                </c:pt>
                <c:pt idx="5">
                  <c:v>-9.9009900990099098E-3</c:v>
                </c:pt>
                <c:pt idx="6">
                  <c:v>0</c:v>
                </c:pt>
                <c:pt idx="7">
                  <c:v>1.0000000000000011E-2</c:v>
                </c:pt>
                <c:pt idx="8">
                  <c:v>0</c:v>
                </c:pt>
                <c:pt idx="9">
                  <c:v>-1.3861401246325841E-2</c:v>
                </c:pt>
                <c:pt idx="10">
                  <c:v>4.0160796386241593E-3</c:v>
                </c:pt>
                <c:pt idx="11">
                  <c:v>-4.0000152587890137E-3</c:v>
                </c:pt>
                <c:pt idx="12">
                  <c:v>0</c:v>
                </c:pt>
                <c:pt idx="13">
                  <c:v>4.0160796386241593E-3</c:v>
                </c:pt>
                <c:pt idx="14">
                  <c:v>1.0000000000000011E-2</c:v>
                </c:pt>
                <c:pt idx="15">
                  <c:v>-9.9009900990099098E-3</c:v>
                </c:pt>
                <c:pt idx="16">
                  <c:v>0</c:v>
                </c:pt>
                <c:pt idx="17">
                  <c:v>0</c:v>
                </c:pt>
                <c:pt idx="18">
                  <c:v>1.0000000000000011E-2</c:v>
                </c:pt>
                <c:pt idx="19">
                  <c:v>-1.3861401246325841E-2</c:v>
                </c:pt>
                <c:pt idx="20">
                  <c:v>0</c:v>
                </c:pt>
                <c:pt idx="21">
                  <c:v>-4.0160796386240483E-3</c:v>
                </c:pt>
                <c:pt idx="22">
                  <c:v>-1.209674380200121E-2</c:v>
                </c:pt>
                <c:pt idx="23">
                  <c:v>0</c:v>
                </c:pt>
                <c:pt idx="24">
                  <c:v>-4.0816482232541862E-3</c:v>
                </c:pt>
                <c:pt idx="25">
                  <c:v>0</c:v>
                </c:pt>
                <c:pt idx="26">
                  <c:v>1.6393427245240622E-2</c:v>
                </c:pt>
                <c:pt idx="27">
                  <c:v>-4.0321966611861493E-3</c:v>
                </c:pt>
                <c:pt idx="28">
                  <c:v>-4.0485983150158056E-3</c:v>
                </c:pt>
                <c:pt idx="29">
                  <c:v>-4.0650560942695479E-3</c:v>
                </c:pt>
                <c:pt idx="30">
                  <c:v>4.0816482232541862E-3</c:v>
                </c:pt>
                <c:pt idx="31">
                  <c:v>0</c:v>
                </c:pt>
                <c:pt idx="32">
                  <c:v>-8.1301121885390959E-3</c:v>
                </c:pt>
                <c:pt idx="33">
                  <c:v>4.0983763538169349E-3</c:v>
                </c:pt>
                <c:pt idx="34">
                  <c:v>-4.0816482232541862E-3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BA-2F49-80A6-2EDBB3419097}"/>
            </c:ext>
          </c:extLst>
        </c:ser>
        <c:ser>
          <c:idx val="1"/>
          <c:order val="1"/>
          <c:tx>
            <c:strRef>
              <c:f>'KBANK_BAY (2)'!$B$1</c:f>
              <c:strCache>
                <c:ptCount val="1"/>
                <c:pt idx="0">
                  <c:v>KBANK.BK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'KBANK_BAY (2)'!$B$2:$B$36</c:f>
              <c:numCache>
                <c:formatCode>General</c:formatCode>
                <c:ptCount val="35"/>
                <c:pt idx="0">
                  <c:v>1.027397260273966E-2</c:v>
                </c:pt>
                <c:pt idx="1">
                  <c:v>1.0169491525423791E-2</c:v>
                </c:pt>
                <c:pt idx="2">
                  <c:v>3.3557046979866278E-3</c:v>
                </c:pt>
                <c:pt idx="3">
                  <c:v>-6.6889632107023367E-3</c:v>
                </c:pt>
                <c:pt idx="4">
                  <c:v>3.3670033670034631E-3</c:v>
                </c:pt>
                <c:pt idx="5">
                  <c:v>3.3557046979866278E-3</c:v>
                </c:pt>
                <c:pt idx="6">
                  <c:v>3.3444816053511679E-3</c:v>
                </c:pt>
                <c:pt idx="7">
                  <c:v>-3.3333333333332989E-3</c:v>
                </c:pt>
                <c:pt idx="8">
                  <c:v>0</c:v>
                </c:pt>
                <c:pt idx="9">
                  <c:v>3.3444816053511679E-3</c:v>
                </c:pt>
                <c:pt idx="10">
                  <c:v>3.3333333333334099E-3</c:v>
                </c:pt>
                <c:pt idx="11">
                  <c:v>6.6445182724252927E-3</c:v>
                </c:pt>
                <c:pt idx="12">
                  <c:v>1.3201320132013141E-2</c:v>
                </c:pt>
                <c:pt idx="13">
                  <c:v>9.7719869706840434E-3</c:v>
                </c:pt>
                <c:pt idx="14">
                  <c:v>6.4516129032257119E-3</c:v>
                </c:pt>
                <c:pt idx="15">
                  <c:v>3.2051282051281942E-3</c:v>
                </c:pt>
                <c:pt idx="16">
                  <c:v>-1.2779552715655011E-2</c:v>
                </c:pt>
                <c:pt idx="17">
                  <c:v>1.294498381877029E-2</c:v>
                </c:pt>
                <c:pt idx="18">
                  <c:v>9.5846645367412275E-3</c:v>
                </c:pt>
                <c:pt idx="19">
                  <c:v>-6.3291139240506666E-3</c:v>
                </c:pt>
                <c:pt idx="20">
                  <c:v>-2.229299363057324E-2</c:v>
                </c:pt>
                <c:pt idx="21">
                  <c:v>6.514657980456029E-3</c:v>
                </c:pt>
                <c:pt idx="22">
                  <c:v>-3.2362459546925182E-3</c:v>
                </c:pt>
                <c:pt idx="23">
                  <c:v>-9.7402597402597157E-3</c:v>
                </c:pt>
                <c:pt idx="24">
                  <c:v>1.311475409836071E-2</c:v>
                </c:pt>
                <c:pt idx="25">
                  <c:v>0</c:v>
                </c:pt>
                <c:pt idx="26">
                  <c:v>9.7087378640776656E-3</c:v>
                </c:pt>
                <c:pt idx="27">
                  <c:v>6.4102564102563866E-3</c:v>
                </c:pt>
                <c:pt idx="28">
                  <c:v>-6.3694267515923553E-3</c:v>
                </c:pt>
                <c:pt idx="29">
                  <c:v>-3.2051282051281942E-3</c:v>
                </c:pt>
                <c:pt idx="30">
                  <c:v>-3.215434083601254E-3</c:v>
                </c:pt>
                <c:pt idx="31">
                  <c:v>-3.225806451612856E-3</c:v>
                </c:pt>
                <c:pt idx="32">
                  <c:v>2.265372168284796E-2</c:v>
                </c:pt>
                <c:pt idx="33">
                  <c:v>9.493670886076E-3</c:v>
                </c:pt>
                <c:pt idx="34">
                  <c:v>-3.13479623824453E-3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BA-2F49-80A6-2EDBB3419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359487"/>
        <c:axId val="1148422815"/>
      </c:scatterChart>
      <c:valAx>
        <c:axId val="114835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48422815"/>
        <c:crosses val="autoZero"/>
        <c:crossBetween val="midCat"/>
      </c:valAx>
      <c:valAx>
        <c:axId val="114842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4835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plotArea>
      <cx:plotAreaRegion>
        <cx:series layoutId="boxWhisker" uniqueId="{5452B002-33C6-9546-9715-744325CA6924}">
          <cx:tx>
            <cx:txData>
              <cx:f>_xlchart.v1.0</cx:f>
              <cx:v>Growth_Invest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68D42096-B03C-C848-BF4D-328059C3EDA6}">
          <cx:tx>
            <cx:txData>
              <cx:f>_xlchart.v1.2</cx:f>
              <cx:v>Value_Invest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.5"/>
        <cx:tickLabels/>
      </cx:axis>
      <cx:axis id="1">
        <cx:valScaling/>
        <cx:majorGridlines/>
        <cx:majorTickMarks type="out"/>
        <cx:tickLabels/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plotArea>
      <cx:plotAreaRegion>
        <cx:series layoutId="boxWhisker" uniqueId="{5452B002-33C6-9546-9715-744325CA6924}">
          <cx:tx>
            <cx:txData>
              <cx:f>_xlchart.v1.4</cx:f>
              <cx:v>BAY.BK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68D42096-B03C-C848-BF4D-328059C3EDA6}">
          <cx:tx>
            <cx:txData>
              <cx:f>_xlchart.v1.6</cx:f>
              <cx:v>KBANK.BK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.5"/>
        <cx:tickLabels/>
      </cx:axis>
      <cx:axis id="1">
        <cx:valScaling/>
        <cx:majorGridlines/>
        <cx:majorTickMarks type="out"/>
        <cx:tickLabels/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plotArea>
      <cx:plotAreaRegion>
        <cx:series layoutId="boxWhisker" uniqueId="{5452B002-33C6-9546-9715-744325CA6924}">
          <cx:tx>
            <cx:txData>
              <cx:f>_xlchart.v1.8</cx:f>
              <cx:v>BAY.BK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68D42096-B03C-C848-BF4D-328059C3EDA6}">
          <cx:tx>
            <cx:txData>
              <cx:f>_xlchart.v1.10</cx:f>
              <cx:v>KBANK.BK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.5"/>
        <cx:tickLabels/>
      </cx:axis>
      <cx:axis id="1">
        <cx:valScaling/>
        <cx:majorGridlines/>
        <cx:majorTickMarks type="out"/>
        <cx:tickLabels/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8</xdr:row>
      <xdr:rowOff>63500</xdr:rowOff>
    </xdr:from>
    <xdr:to>
      <xdr:col>14</xdr:col>
      <xdr:colOff>666750</xdr:colOff>
      <xdr:row>22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D53391D-C188-044B-A72B-2440651F95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9350" y="1485900"/>
              <a:ext cx="4572000" cy="256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14</xdr:col>
      <xdr:colOff>654050</xdr:colOff>
      <xdr:row>14</xdr:row>
      <xdr:rowOff>12700</xdr:rowOff>
    </xdr:from>
    <xdr:to>
      <xdr:col>21</xdr:col>
      <xdr:colOff>514350</xdr:colOff>
      <xdr:row>28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FAB7B3-7485-F14F-A1FF-7A9979086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8</xdr:row>
      <xdr:rowOff>63500</xdr:rowOff>
    </xdr:from>
    <xdr:to>
      <xdr:col>13</xdr:col>
      <xdr:colOff>666750</xdr:colOff>
      <xdr:row>22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7DDF066-5BDA-F441-9F3C-8FC5B42E4B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8550" y="1485900"/>
              <a:ext cx="5181600" cy="256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13</xdr:col>
      <xdr:colOff>654050</xdr:colOff>
      <xdr:row>14</xdr:row>
      <xdr:rowOff>12700</xdr:rowOff>
    </xdr:from>
    <xdr:to>
      <xdr:col>20</xdr:col>
      <xdr:colOff>514350</xdr:colOff>
      <xdr:row>28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4C9766-1737-C849-BADB-0EBD16360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8</xdr:row>
      <xdr:rowOff>63500</xdr:rowOff>
    </xdr:from>
    <xdr:to>
      <xdr:col>13</xdr:col>
      <xdr:colOff>666750</xdr:colOff>
      <xdr:row>22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0C0119A-3C6F-AF43-93C2-1A96D9E2D0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8550" y="1485900"/>
              <a:ext cx="5181600" cy="256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13</xdr:col>
      <xdr:colOff>654050</xdr:colOff>
      <xdr:row>14</xdr:row>
      <xdr:rowOff>12700</xdr:rowOff>
    </xdr:from>
    <xdr:to>
      <xdr:col>20</xdr:col>
      <xdr:colOff>514350</xdr:colOff>
      <xdr:row>28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9674EA-0682-B841-B5CD-6C207D0AE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AB79-B020-F442-987C-93E5DAF06420}">
  <dimension ref="A1:R49"/>
  <sheetViews>
    <sheetView zoomScale="133" workbookViewId="0">
      <selection activeCell="B2" sqref="B2"/>
    </sheetView>
  </sheetViews>
  <sheetFormatPr baseColWidth="10" defaultColWidth="8.83203125" defaultRowHeight="14" x14ac:dyDescent="0.15"/>
  <cols>
    <col min="1" max="1" width="10.6640625" style="1" customWidth="1"/>
    <col min="2" max="2" width="13.1640625" style="1" customWidth="1"/>
    <col min="3" max="3" width="12" style="1" customWidth="1"/>
  </cols>
  <sheetData>
    <row r="1" spans="1:9" x14ac:dyDescent="0.15">
      <c r="A1" s="1" t="s">
        <v>0</v>
      </c>
      <c r="B1" s="1" t="s">
        <v>1</v>
      </c>
      <c r="C1" s="1" t="s">
        <v>2</v>
      </c>
    </row>
    <row r="2" spans="1:9" x14ac:dyDescent="0.15">
      <c r="A2" s="1">
        <v>1984</v>
      </c>
      <c r="B2" s="2">
        <v>-5.5</v>
      </c>
      <c r="C2" s="2">
        <v>-8.59</v>
      </c>
    </row>
    <row r="3" spans="1:9" x14ac:dyDescent="0.15">
      <c r="A3" s="1">
        <v>1985</v>
      </c>
      <c r="B3" s="2">
        <v>39.909999999999997</v>
      </c>
      <c r="C3" s="2">
        <v>22.1</v>
      </c>
      <c r="H3" t="s">
        <v>3</v>
      </c>
    </row>
    <row r="4" spans="1:9" x14ac:dyDescent="0.15">
      <c r="A4" s="1">
        <v>1986</v>
      </c>
      <c r="B4" s="2">
        <v>13.03</v>
      </c>
      <c r="C4" s="2">
        <v>14.74</v>
      </c>
      <c r="I4" t="s">
        <v>4</v>
      </c>
    </row>
    <row r="5" spans="1:9" x14ac:dyDescent="0.15">
      <c r="A5" s="1">
        <v>1987</v>
      </c>
      <c r="B5" s="2">
        <v>-1.7</v>
      </c>
      <c r="C5" s="2">
        <v>-8.58</v>
      </c>
      <c r="I5" t="s">
        <v>5</v>
      </c>
    </row>
    <row r="6" spans="1:9" x14ac:dyDescent="0.15">
      <c r="A6" s="1">
        <v>1988</v>
      </c>
      <c r="B6" s="2">
        <v>16.05</v>
      </c>
      <c r="C6" s="2">
        <v>29.05</v>
      </c>
    </row>
    <row r="7" spans="1:9" x14ac:dyDescent="0.15">
      <c r="A7" s="1">
        <v>1989</v>
      </c>
      <c r="B7" s="2">
        <v>41.64</v>
      </c>
      <c r="C7" s="2">
        <v>22.95</v>
      </c>
    </row>
    <row r="8" spans="1:9" x14ac:dyDescent="0.15">
      <c r="A8" s="1">
        <v>1990</v>
      </c>
      <c r="B8" s="2">
        <v>3.59</v>
      </c>
      <c r="C8" s="2">
        <v>-12.82</v>
      </c>
    </row>
    <row r="9" spans="1:9" x14ac:dyDescent="0.15">
      <c r="A9" s="1">
        <v>1991</v>
      </c>
      <c r="B9" s="2">
        <v>48.33</v>
      </c>
      <c r="C9" s="2">
        <v>26.2</v>
      </c>
    </row>
    <row r="10" spans="1:9" x14ac:dyDescent="0.15">
      <c r="A10" s="1">
        <v>1992</v>
      </c>
      <c r="B10" s="2">
        <v>7.94</v>
      </c>
      <c r="C10" s="2">
        <v>21.15</v>
      </c>
    </row>
    <row r="11" spans="1:9" x14ac:dyDescent="0.15">
      <c r="A11" s="1">
        <v>1993</v>
      </c>
      <c r="B11" s="2">
        <v>16.190000000000001</v>
      </c>
      <c r="C11" s="2">
        <v>22.94</v>
      </c>
    </row>
    <row r="12" spans="1:9" x14ac:dyDescent="0.15">
      <c r="A12" s="1">
        <v>1994</v>
      </c>
      <c r="B12" s="2">
        <v>-2.2200000000000002</v>
      </c>
      <c r="C12" s="2">
        <v>7.63</v>
      </c>
    </row>
    <row r="13" spans="1:9" x14ac:dyDescent="0.15">
      <c r="A13" s="1">
        <v>1995</v>
      </c>
      <c r="B13" s="2">
        <v>39.61</v>
      </c>
      <c r="C13" s="2">
        <v>27.13</v>
      </c>
    </row>
    <row r="14" spans="1:9" x14ac:dyDescent="0.15">
      <c r="A14" s="1">
        <v>1996</v>
      </c>
      <c r="B14" s="2">
        <v>16.809999999999999</v>
      </c>
      <c r="C14" s="2">
        <v>16.850000000000001</v>
      </c>
    </row>
    <row r="15" spans="1:9" x14ac:dyDescent="0.15">
      <c r="A15" s="1">
        <v>1997</v>
      </c>
      <c r="B15" s="2">
        <v>18.91</v>
      </c>
      <c r="C15" s="2">
        <v>21.08</v>
      </c>
    </row>
    <row r="16" spans="1:9" x14ac:dyDescent="0.15">
      <c r="A16" s="1">
        <v>1998</v>
      </c>
      <c r="B16" s="2">
        <v>27.23</v>
      </c>
      <c r="C16" s="2">
        <v>0.18</v>
      </c>
    </row>
    <row r="17" spans="1:10" x14ac:dyDescent="0.15">
      <c r="A17" s="1">
        <v>1999</v>
      </c>
      <c r="B17" s="2">
        <v>79.48</v>
      </c>
      <c r="C17" s="2">
        <v>8.5500000000000007</v>
      </c>
    </row>
    <row r="18" spans="1:10" x14ac:dyDescent="0.15">
      <c r="A18" s="1">
        <v>2000</v>
      </c>
      <c r="B18" s="2">
        <v>-6.32</v>
      </c>
      <c r="C18" s="2">
        <v>8.1</v>
      </c>
    </row>
    <row r="19" spans="1:10" x14ac:dyDescent="0.15">
      <c r="A19" s="1">
        <v>2001</v>
      </c>
      <c r="B19" s="2">
        <v>-25.31</v>
      </c>
      <c r="C19" s="2">
        <v>12.25</v>
      </c>
    </row>
    <row r="20" spans="1:10" x14ac:dyDescent="0.15">
      <c r="A20" s="1">
        <v>2002</v>
      </c>
      <c r="B20" s="2">
        <v>-33.450000000000003</v>
      </c>
      <c r="C20" s="2">
        <v>-9.25</v>
      </c>
    </row>
    <row r="21" spans="1:10" x14ac:dyDescent="0.15">
      <c r="A21" s="1">
        <v>2003</v>
      </c>
      <c r="B21" s="2">
        <v>41.36</v>
      </c>
      <c r="C21" s="2">
        <v>34.43</v>
      </c>
    </row>
    <row r="22" spans="1:10" x14ac:dyDescent="0.15">
      <c r="A22" s="1">
        <v>2004</v>
      </c>
      <c r="B22" s="2">
        <v>12.12</v>
      </c>
      <c r="C22" s="2">
        <v>21.21</v>
      </c>
    </row>
    <row r="23" spans="1:10" x14ac:dyDescent="0.15">
      <c r="A23" s="1">
        <v>2005</v>
      </c>
      <c r="B23" s="2">
        <v>13.5</v>
      </c>
      <c r="C23" s="2">
        <v>14.27</v>
      </c>
    </row>
    <row r="24" spans="1:10" x14ac:dyDescent="0.15">
      <c r="A24" s="1">
        <v>2006</v>
      </c>
      <c r="B24" s="2">
        <v>9.56</v>
      </c>
      <c r="C24" s="2">
        <v>15.09</v>
      </c>
    </row>
    <row r="25" spans="1:10" x14ac:dyDescent="0.15">
      <c r="A25" s="1">
        <v>2007</v>
      </c>
      <c r="B25" s="2">
        <v>19.89</v>
      </c>
      <c r="C25" s="2">
        <v>2.21</v>
      </c>
    </row>
    <row r="26" spans="1:10" x14ac:dyDescent="0.15">
      <c r="A26" s="1">
        <v>2008</v>
      </c>
      <c r="B26" s="2">
        <v>-40.9</v>
      </c>
      <c r="C26" s="2">
        <v>-46.52</v>
      </c>
    </row>
    <row r="27" spans="1:10" x14ac:dyDescent="0.15">
      <c r="A27" s="1">
        <v>2009</v>
      </c>
      <c r="B27" s="2">
        <v>41.15</v>
      </c>
      <c r="C27" s="2">
        <v>44.08</v>
      </c>
    </row>
    <row r="28" spans="1:10" x14ac:dyDescent="0.15">
      <c r="A28" s="1">
        <v>2010</v>
      </c>
      <c r="B28" s="2">
        <v>20.55</v>
      </c>
      <c r="C28" s="2">
        <v>22.27</v>
      </c>
      <c r="G28" t="s">
        <v>6</v>
      </c>
    </row>
    <row r="29" spans="1:10" x14ac:dyDescent="0.15">
      <c r="A29" s="1">
        <v>2011</v>
      </c>
      <c r="B29" s="2">
        <v>0.67</v>
      </c>
      <c r="C29" s="2">
        <v>-6.71</v>
      </c>
      <c r="I29" s="1" t="s">
        <v>7</v>
      </c>
      <c r="J29" s="1" t="s">
        <v>8</v>
      </c>
    </row>
    <row r="30" spans="1:10" x14ac:dyDescent="0.15">
      <c r="A30" s="1">
        <v>2012</v>
      </c>
      <c r="B30" s="2">
        <v>18.52</v>
      </c>
      <c r="C30" s="2">
        <v>21.9</v>
      </c>
      <c r="H30" s="1" t="s">
        <v>9</v>
      </c>
      <c r="I30" s="3">
        <f>MEDIAN(B2:B36)</f>
        <v>14.44</v>
      </c>
      <c r="J30" s="3">
        <f>MEDIAN(C2:C36)</f>
        <v>15.09</v>
      </c>
    </row>
    <row r="31" spans="1:10" x14ac:dyDescent="0.15">
      <c r="A31" s="1">
        <v>2013</v>
      </c>
      <c r="B31" s="2">
        <v>37.61</v>
      </c>
      <c r="C31" s="2">
        <v>37.07</v>
      </c>
      <c r="H31" s="1" t="s">
        <v>10</v>
      </c>
      <c r="I31" s="3">
        <f>PERCENTILE(B2:B36,0.25)</f>
        <v>2.13</v>
      </c>
      <c r="J31" s="3">
        <f>PERCENTILE(C2:C36,0.25)</f>
        <v>1.1949999999999998</v>
      </c>
    </row>
    <row r="32" spans="1:10" x14ac:dyDescent="0.15">
      <c r="A32" s="1">
        <v>2014</v>
      </c>
      <c r="B32" s="2">
        <v>14.44</v>
      </c>
      <c r="C32" s="2">
        <v>11.72</v>
      </c>
      <c r="H32" s="1" t="s">
        <v>11</v>
      </c>
      <c r="I32" s="3">
        <f>PERCENTILE(B2:B36,0.75)</f>
        <v>31.994999999999997</v>
      </c>
      <c r="J32" s="3">
        <f>PERCENTILE(C2:C36,0.75)</f>
        <v>22.185000000000002</v>
      </c>
    </row>
    <row r="33" spans="1:18" x14ac:dyDescent="0.15">
      <c r="A33" s="1">
        <v>2015</v>
      </c>
      <c r="B33" s="2">
        <v>7.83</v>
      </c>
      <c r="C33" s="2">
        <v>-6.51</v>
      </c>
      <c r="H33" s="1" t="s">
        <v>12</v>
      </c>
      <c r="I33" s="3">
        <f>I32-I31</f>
        <v>29.864999999999998</v>
      </c>
      <c r="J33" s="3">
        <f>J32-J31</f>
        <v>20.990000000000002</v>
      </c>
      <c r="M33" s="4"/>
      <c r="N33" s="5" t="s">
        <v>13</v>
      </c>
      <c r="O33" s="5" t="s">
        <v>10</v>
      </c>
      <c r="P33" s="5" t="s">
        <v>14</v>
      </c>
      <c r="Q33" s="5" t="s">
        <v>11</v>
      </c>
      <c r="R33" s="5" t="s">
        <v>15</v>
      </c>
    </row>
    <row r="34" spans="1:18" x14ac:dyDescent="0.15">
      <c r="A34" s="1">
        <v>2016</v>
      </c>
      <c r="B34" s="2">
        <v>6.01</v>
      </c>
      <c r="C34" s="2">
        <v>16.059999999999999</v>
      </c>
      <c r="H34" s="1" t="s">
        <v>16</v>
      </c>
      <c r="I34" s="3">
        <f>MIN(B2:B36)</f>
        <v>-40.9</v>
      </c>
      <c r="J34" s="3">
        <f>MIN(C2:C36)</f>
        <v>-46.52</v>
      </c>
      <c r="M34" s="6" t="s">
        <v>7</v>
      </c>
      <c r="N34" s="7">
        <f>I34</f>
        <v>-40.9</v>
      </c>
      <c r="O34" s="8">
        <f>I31</f>
        <v>2.13</v>
      </c>
      <c r="P34" s="7">
        <f>I30</f>
        <v>14.44</v>
      </c>
      <c r="Q34" s="8">
        <f>I32</f>
        <v>31.994999999999997</v>
      </c>
      <c r="R34" s="9">
        <f>I35</f>
        <v>79.48</v>
      </c>
    </row>
    <row r="35" spans="1:18" x14ac:dyDescent="0.15">
      <c r="A35" s="1">
        <v>2017</v>
      </c>
      <c r="B35" s="2">
        <v>36.76</v>
      </c>
      <c r="C35" s="2">
        <v>15.67</v>
      </c>
      <c r="H35" s="1" t="s">
        <v>17</v>
      </c>
      <c r="I35" s="3">
        <f>MAX(B2:B36)</f>
        <v>79.48</v>
      </c>
      <c r="J35" s="3">
        <f>MAX(C2:C36)</f>
        <v>44.08</v>
      </c>
      <c r="M35" s="6" t="s">
        <v>8</v>
      </c>
      <c r="N35" s="9">
        <f>J34</f>
        <v>-46.52</v>
      </c>
      <c r="O35" s="8">
        <f>J31</f>
        <v>1.1949999999999998</v>
      </c>
      <c r="P35" s="7">
        <f>J30</f>
        <v>15.09</v>
      </c>
      <c r="Q35" s="8">
        <f>J32</f>
        <v>22.185000000000002</v>
      </c>
      <c r="R35" s="7">
        <f>J35</f>
        <v>44.08</v>
      </c>
    </row>
    <row r="36" spans="1:18" x14ac:dyDescent="0.15">
      <c r="A36" s="1">
        <v>2018</v>
      </c>
      <c r="B36" s="2">
        <v>-4.53</v>
      </c>
      <c r="C36" s="2">
        <v>-17.34</v>
      </c>
      <c r="H36" s="1" t="s">
        <v>18</v>
      </c>
      <c r="I36" s="3">
        <f>1.5*I33</f>
        <v>44.797499999999999</v>
      </c>
      <c r="J36" s="3">
        <f>1.5*J33</f>
        <v>31.485000000000003</v>
      </c>
    </row>
    <row r="37" spans="1:18" x14ac:dyDescent="0.15">
      <c r="I37" s="3"/>
      <c r="J37" s="3"/>
    </row>
    <row r="38" spans="1:18" x14ac:dyDescent="0.15">
      <c r="H38" s="1" t="s">
        <v>19</v>
      </c>
      <c r="I38" s="3">
        <f>I31-I36</f>
        <v>-42.667499999999997</v>
      </c>
      <c r="J38" s="3">
        <f>J31-J36</f>
        <v>-30.290000000000003</v>
      </c>
      <c r="K38" t="s">
        <v>21</v>
      </c>
    </row>
    <row r="39" spans="1:18" x14ac:dyDescent="0.15">
      <c r="H39" s="1" t="s">
        <v>20</v>
      </c>
      <c r="I39" s="3">
        <f>I32+I36</f>
        <v>76.79249999999999</v>
      </c>
      <c r="J39" s="3">
        <f>J32+J36</f>
        <v>53.67</v>
      </c>
    </row>
    <row r="40" spans="1:18" x14ac:dyDescent="0.15">
      <c r="H40" s="1"/>
      <c r="I40" s="3"/>
      <c r="J40" s="3"/>
      <c r="K40" s="1"/>
      <c r="L40" s="1"/>
    </row>
    <row r="41" spans="1:18" x14ac:dyDescent="0.15">
      <c r="H41" s="1" t="s">
        <v>22</v>
      </c>
      <c r="I41" s="3">
        <f>SKEW(B2:B36)</f>
        <v>2.9886030190836382E-2</v>
      </c>
      <c r="J41" s="3">
        <f t="shared" ref="J41" si="0">SKEW(C2:C36)</f>
        <v>-1.0073682830648352</v>
      </c>
      <c r="K41" t="s">
        <v>21</v>
      </c>
    </row>
    <row r="42" spans="1:18" x14ac:dyDescent="0.15">
      <c r="H42" s="1" t="s">
        <v>23</v>
      </c>
      <c r="I42" s="3">
        <f>KURT(B2:B36)</f>
        <v>1.0644541382626471</v>
      </c>
      <c r="J42" s="3">
        <f>KURT(C2:C36)</f>
        <v>1.8938043078648947</v>
      </c>
      <c r="K42" s="1"/>
    </row>
    <row r="43" spans="1:18" x14ac:dyDescent="0.15">
      <c r="H43" s="1"/>
      <c r="I43" s="3"/>
      <c r="J43" s="3"/>
      <c r="K43" s="1"/>
    </row>
    <row r="45" spans="1:18" x14ac:dyDescent="0.15">
      <c r="I45" s="3"/>
      <c r="J45" s="3"/>
    </row>
    <row r="46" spans="1:18" x14ac:dyDescent="0.15">
      <c r="H46" s="1"/>
      <c r="I46" s="10"/>
      <c r="J46" s="10"/>
    </row>
    <row r="48" spans="1:18" x14ac:dyDescent="0.15">
      <c r="I48" s="10"/>
      <c r="J48" s="11"/>
    </row>
    <row r="49" spans="9:10" x14ac:dyDescent="0.15">
      <c r="I49" s="10"/>
      <c r="J49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A7A4-9A58-E446-B8A5-E8E552AE55EA}">
  <dimension ref="A1:Q68"/>
  <sheetViews>
    <sheetView zoomScale="133" workbookViewId="0">
      <selection activeCell="M57" sqref="M57"/>
    </sheetView>
  </sheetViews>
  <sheetFormatPr baseColWidth="10" defaultColWidth="8.83203125" defaultRowHeight="14" x14ac:dyDescent="0.15"/>
  <cols>
    <col min="1" max="1" width="13.1640625" style="1" customWidth="1"/>
    <col min="2" max="2" width="12" style="1" customWidth="1"/>
    <col min="7" max="7" width="18.83203125" customWidth="1"/>
    <col min="9" max="9" width="16.83203125" bestFit="1" customWidth="1"/>
  </cols>
  <sheetData>
    <row r="1" spans="1:8" x14ac:dyDescent="0.15">
      <c r="A1" s="12" t="s">
        <v>24</v>
      </c>
      <c r="B1" s="12" t="s">
        <v>25</v>
      </c>
    </row>
    <row r="2" spans="1:8" x14ac:dyDescent="0.15">
      <c r="A2">
        <v>24.89999961853027</v>
      </c>
      <c r="B2">
        <v>146</v>
      </c>
    </row>
    <row r="3" spans="1:8" x14ac:dyDescent="0.15">
      <c r="A3">
        <v>24.70000076293945</v>
      </c>
      <c r="B3">
        <v>147.5</v>
      </c>
      <c r="G3" t="s">
        <v>3</v>
      </c>
    </row>
    <row r="4" spans="1:8" x14ac:dyDescent="0.15">
      <c r="A4">
        <v>24.89999961853027</v>
      </c>
      <c r="B4">
        <v>149</v>
      </c>
      <c r="H4" t="s">
        <v>4</v>
      </c>
    </row>
    <row r="5" spans="1:8" x14ac:dyDescent="0.15">
      <c r="A5">
        <v>25.25</v>
      </c>
      <c r="B5">
        <v>149.5</v>
      </c>
      <c r="H5" t="s">
        <v>5</v>
      </c>
    </row>
    <row r="6" spans="1:8" x14ac:dyDescent="0.15">
      <c r="A6">
        <v>25.25</v>
      </c>
      <c r="B6">
        <v>148.5</v>
      </c>
    </row>
    <row r="7" spans="1:8" x14ac:dyDescent="0.15">
      <c r="A7">
        <v>25.25</v>
      </c>
      <c r="B7">
        <v>149</v>
      </c>
    </row>
    <row r="8" spans="1:8" x14ac:dyDescent="0.15">
      <c r="A8">
        <v>25</v>
      </c>
      <c r="B8">
        <v>149.5</v>
      </c>
    </row>
    <row r="9" spans="1:8" x14ac:dyDescent="0.15">
      <c r="A9">
        <v>25</v>
      </c>
      <c r="B9">
        <v>150</v>
      </c>
    </row>
    <row r="10" spans="1:8" x14ac:dyDescent="0.15">
      <c r="A10">
        <v>25.25</v>
      </c>
      <c r="B10">
        <v>149.5</v>
      </c>
    </row>
    <row r="11" spans="1:8" x14ac:dyDescent="0.15">
      <c r="A11">
        <v>25.25</v>
      </c>
      <c r="B11">
        <v>149.5</v>
      </c>
    </row>
    <row r="12" spans="1:8" x14ac:dyDescent="0.15">
      <c r="A12">
        <v>24.89999961853027</v>
      </c>
      <c r="B12">
        <v>150</v>
      </c>
    </row>
    <row r="13" spans="1:8" x14ac:dyDescent="0.15">
      <c r="A13">
        <v>25</v>
      </c>
      <c r="B13">
        <v>150.5</v>
      </c>
    </row>
    <row r="14" spans="1:8" x14ac:dyDescent="0.15">
      <c r="A14">
        <v>24.89999961853027</v>
      </c>
      <c r="B14">
        <v>151.5</v>
      </c>
    </row>
    <row r="15" spans="1:8" x14ac:dyDescent="0.15">
      <c r="A15">
        <v>24.89999961853027</v>
      </c>
      <c r="B15">
        <v>153.5</v>
      </c>
    </row>
    <row r="16" spans="1:8" x14ac:dyDescent="0.15">
      <c r="A16">
        <v>25</v>
      </c>
      <c r="B16">
        <v>155</v>
      </c>
    </row>
    <row r="17" spans="1:9" x14ac:dyDescent="0.15">
      <c r="A17">
        <v>25.25</v>
      </c>
      <c r="B17">
        <v>156</v>
      </c>
    </row>
    <row r="18" spans="1:9" x14ac:dyDescent="0.15">
      <c r="A18">
        <v>25</v>
      </c>
      <c r="B18">
        <v>156.5</v>
      </c>
    </row>
    <row r="19" spans="1:9" x14ac:dyDescent="0.15">
      <c r="A19">
        <v>25</v>
      </c>
      <c r="B19">
        <v>154.5</v>
      </c>
    </row>
    <row r="20" spans="1:9" x14ac:dyDescent="0.15">
      <c r="A20">
        <v>25</v>
      </c>
      <c r="B20">
        <v>156.5</v>
      </c>
    </row>
    <row r="21" spans="1:9" x14ac:dyDescent="0.15">
      <c r="A21">
        <v>25.25</v>
      </c>
      <c r="B21">
        <v>158</v>
      </c>
    </row>
    <row r="22" spans="1:9" x14ac:dyDescent="0.15">
      <c r="A22">
        <v>24.89999961853027</v>
      </c>
      <c r="B22">
        <v>157</v>
      </c>
    </row>
    <row r="23" spans="1:9" x14ac:dyDescent="0.15">
      <c r="A23">
        <v>24.89999961853027</v>
      </c>
      <c r="B23">
        <v>153.5</v>
      </c>
    </row>
    <row r="24" spans="1:9" x14ac:dyDescent="0.15">
      <c r="A24">
        <v>24.79999923706055</v>
      </c>
      <c r="B24">
        <v>154.5</v>
      </c>
    </row>
    <row r="25" spans="1:9" x14ac:dyDescent="0.15">
      <c r="A25">
        <v>24.5</v>
      </c>
      <c r="B25">
        <v>154</v>
      </c>
    </row>
    <row r="26" spans="1:9" x14ac:dyDescent="0.15">
      <c r="A26">
        <v>24.5</v>
      </c>
      <c r="B26">
        <v>152.5</v>
      </c>
    </row>
    <row r="27" spans="1:9" x14ac:dyDescent="0.15">
      <c r="A27">
        <v>24.39999961853027</v>
      </c>
      <c r="B27">
        <v>154.5</v>
      </c>
    </row>
    <row r="28" spans="1:9" x14ac:dyDescent="0.15">
      <c r="A28">
        <v>24.39999961853027</v>
      </c>
      <c r="B28">
        <v>154.5</v>
      </c>
      <c r="F28" t="s">
        <v>6</v>
      </c>
    </row>
    <row r="29" spans="1:9" x14ac:dyDescent="0.15">
      <c r="A29">
        <v>24.79999923706055</v>
      </c>
      <c r="B29">
        <v>156</v>
      </c>
      <c r="H29" s="12" t="s">
        <v>24</v>
      </c>
      <c r="I29" s="12" t="s">
        <v>25</v>
      </c>
    </row>
    <row r="30" spans="1:9" x14ac:dyDescent="0.15">
      <c r="A30">
        <v>24.70000076293945</v>
      </c>
      <c r="B30">
        <v>157</v>
      </c>
      <c r="G30" s="1" t="s">
        <v>9</v>
      </c>
      <c r="H30" s="3">
        <f>MEDIAN(A2:A63)</f>
        <v>24.5</v>
      </c>
      <c r="I30" s="3">
        <f>MEDIAN(B2:B63)</f>
        <v>156.5</v>
      </c>
    </row>
    <row r="31" spans="1:9" x14ac:dyDescent="0.15">
      <c r="A31">
        <v>24.60000038146973</v>
      </c>
      <c r="B31">
        <v>156</v>
      </c>
      <c r="G31" s="1" t="s">
        <v>10</v>
      </c>
      <c r="H31" s="3">
        <f>PERCENTILE(A2:A63,0.25)</f>
        <v>23.89999961853027</v>
      </c>
      <c r="I31" s="3">
        <f>PERCENTILE(B2:B63,0.25)</f>
        <v>153.5</v>
      </c>
    </row>
    <row r="32" spans="1:9" x14ac:dyDescent="0.15">
      <c r="A32">
        <v>24.5</v>
      </c>
      <c r="B32">
        <v>155.5</v>
      </c>
      <c r="G32" s="1" t="s">
        <v>11</v>
      </c>
      <c r="H32" s="3">
        <f>PERCENTILE(A2:A63,0.75)</f>
        <v>24.89999961853027</v>
      </c>
      <c r="I32" s="3">
        <f>PERCENTILE(B2:B63,0.75)</f>
        <v>159.5</v>
      </c>
    </row>
    <row r="33" spans="1:17" x14ac:dyDescent="0.15">
      <c r="A33">
        <v>24.60000038146973</v>
      </c>
      <c r="B33">
        <v>155</v>
      </c>
      <c r="G33" s="1" t="s">
        <v>12</v>
      </c>
      <c r="H33" s="3">
        <f>H32-H31</f>
        <v>1</v>
      </c>
      <c r="I33" s="3">
        <f>I32-I31</f>
        <v>6</v>
      </c>
      <c r="L33" s="4"/>
      <c r="M33" s="5" t="s">
        <v>13</v>
      </c>
      <c r="N33" s="5" t="s">
        <v>10</v>
      </c>
      <c r="O33" s="5" t="s">
        <v>14</v>
      </c>
      <c r="P33" s="5" t="s">
        <v>11</v>
      </c>
      <c r="Q33" s="5" t="s">
        <v>15</v>
      </c>
    </row>
    <row r="34" spans="1:17" x14ac:dyDescent="0.15">
      <c r="A34">
        <v>24.60000038146973</v>
      </c>
      <c r="B34">
        <v>154.5</v>
      </c>
      <c r="G34" s="1" t="s">
        <v>16</v>
      </c>
      <c r="H34" s="3">
        <f>MIN(A2:A63)</f>
        <v>22.70000076293945</v>
      </c>
      <c r="I34" s="3">
        <f>MIN(B2:B63)</f>
        <v>146</v>
      </c>
      <c r="L34" s="6" t="s">
        <v>7</v>
      </c>
      <c r="M34" s="7">
        <f>H34</f>
        <v>22.70000076293945</v>
      </c>
      <c r="N34" s="8">
        <f>H31</f>
        <v>23.89999961853027</v>
      </c>
      <c r="O34" s="7">
        <f>H30</f>
        <v>24.5</v>
      </c>
      <c r="P34" s="8">
        <f>H32</f>
        <v>24.89999961853027</v>
      </c>
      <c r="Q34" s="9">
        <f>H35</f>
        <v>25.25</v>
      </c>
    </row>
    <row r="35" spans="1:17" x14ac:dyDescent="0.15">
      <c r="A35">
        <v>24.39999961853027</v>
      </c>
      <c r="B35">
        <v>158</v>
      </c>
      <c r="G35" s="1" t="s">
        <v>17</v>
      </c>
      <c r="H35" s="3">
        <f>MAX(A2:A63)</f>
        <v>25.25</v>
      </c>
      <c r="I35" s="3">
        <f>MAX(B2:B63)</f>
        <v>163.5</v>
      </c>
      <c r="L35" s="6" t="s">
        <v>8</v>
      </c>
      <c r="M35" s="9">
        <f>I34</f>
        <v>146</v>
      </c>
      <c r="N35" s="8">
        <f>I31</f>
        <v>153.5</v>
      </c>
      <c r="O35" s="7">
        <f>I30</f>
        <v>156.5</v>
      </c>
      <c r="P35" s="8">
        <f>I32</f>
        <v>159.5</v>
      </c>
      <c r="Q35" s="7">
        <f>I35</f>
        <v>163.5</v>
      </c>
    </row>
    <row r="36" spans="1:17" x14ac:dyDescent="0.15">
      <c r="A36">
        <v>24.5</v>
      </c>
      <c r="B36">
        <v>159.5</v>
      </c>
      <c r="G36" s="1" t="s">
        <v>18</v>
      </c>
      <c r="H36" s="3">
        <f>1.5*H33</f>
        <v>1.5</v>
      </c>
      <c r="I36" s="3">
        <f>1.5*I33</f>
        <v>9</v>
      </c>
    </row>
    <row r="37" spans="1:17" x14ac:dyDescent="0.15">
      <c r="A37">
        <v>24.39999961853027</v>
      </c>
      <c r="B37">
        <v>159</v>
      </c>
      <c r="H37" s="3"/>
      <c r="I37" s="3"/>
    </row>
    <row r="38" spans="1:17" x14ac:dyDescent="0.15">
      <c r="A38">
        <v>24.5</v>
      </c>
      <c r="B38">
        <v>160</v>
      </c>
      <c r="G38" s="1" t="s">
        <v>19</v>
      </c>
      <c r="H38" s="3">
        <f>H31-H36</f>
        <v>22.39999961853027</v>
      </c>
      <c r="I38" s="3">
        <f>I31-I36</f>
        <v>144.5</v>
      </c>
      <c r="J38" t="s">
        <v>21</v>
      </c>
    </row>
    <row r="39" spans="1:17" x14ac:dyDescent="0.15">
      <c r="A39">
        <v>24.29999923706055</v>
      </c>
      <c r="B39">
        <v>159.5</v>
      </c>
      <c r="G39" s="1" t="s">
        <v>20</v>
      </c>
      <c r="H39" s="3">
        <f>H32+H36</f>
        <v>26.39999961853027</v>
      </c>
      <c r="I39" s="3">
        <f>I32+I36</f>
        <v>168.5</v>
      </c>
    </row>
    <row r="40" spans="1:17" x14ac:dyDescent="0.15">
      <c r="A40">
        <v>24.5</v>
      </c>
      <c r="B40">
        <v>162</v>
      </c>
      <c r="G40" s="1"/>
      <c r="H40" s="3"/>
      <c r="I40" s="3"/>
      <c r="J40" s="1"/>
      <c r="K40" s="1"/>
    </row>
    <row r="41" spans="1:17" x14ac:dyDescent="0.15">
      <c r="A41">
        <v>24.29999923706055</v>
      </c>
      <c r="B41">
        <v>162</v>
      </c>
      <c r="G41" s="1" t="s">
        <v>22</v>
      </c>
      <c r="H41" s="3">
        <f>SKEW(A:A)</f>
        <v>-0.73026403041187515</v>
      </c>
      <c r="I41" s="3">
        <f>SKEW(B:B)</f>
        <v>-0.44110716224844004</v>
      </c>
      <c r="J41" t="s">
        <v>21</v>
      </c>
    </row>
    <row r="42" spans="1:17" x14ac:dyDescent="0.15">
      <c r="A42">
        <v>24.39999961853027</v>
      </c>
      <c r="B42">
        <v>163.5</v>
      </c>
      <c r="G42" s="1" t="s">
        <v>23</v>
      </c>
      <c r="H42" s="3">
        <f>KURT(A:A)</f>
        <v>-0.25760417638817623</v>
      </c>
      <c r="I42" s="3">
        <f>KURT(B:B)</f>
        <v>-0.79277714046202341</v>
      </c>
      <c r="J42" s="1"/>
    </row>
    <row r="43" spans="1:17" x14ac:dyDescent="0.15">
      <c r="A43">
        <v>24.5</v>
      </c>
      <c r="B43">
        <v>161.5</v>
      </c>
      <c r="G43" s="1" t="s">
        <v>27</v>
      </c>
      <c r="H43" s="3">
        <f>_xlfn.STDEV.P(A:A)</f>
        <v>0.6506505182861364</v>
      </c>
      <c r="I43" s="3">
        <f>_xlfn.STDEV.P(B:B)</f>
        <v>4.3867409722891599</v>
      </c>
      <c r="J43" s="1"/>
    </row>
    <row r="44" spans="1:17" x14ac:dyDescent="0.15">
      <c r="A44">
        <v>24.20000076293945</v>
      </c>
      <c r="B44">
        <v>161</v>
      </c>
      <c r="G44" s="1" t="s">
        <v>26</v>
      </c>
      <c r="H44">
        <f>AVERAGE(A2:A63)</f>
        <v>24.400806334710889</v>
      </c>
      <c r="I44">
        <f>AVERAGE(B2:B63)</f>
        <v>156.08064516129033</v>
      </c>
    </row>
    <row r="45" spans="1:17" x14ac:dyDescent="0.15">
      <c r="A45">
        <v>24.10000038146973</v>
      </c>
      <c r="B45">
        <v>160</v>
      </c>
      <c r="G45" s="1" t="s">
        <v>28</v>
      </c>
      <c r="H45" s="13">
        <f>H43/H44</f>
        <v>2.6665123658662308E-2</v>
      </c>
      <c r="I45" s="13">
        <f>I43/I44</f>
        <v>2.8105605072019004E-2</v>
      </c>
    </row>
    <row r="46" spans="1:17" x14ac:dyDescent="0.15">
      <c r="A46">
        <v>23.89999961853027</v>
      </c>
      <c r="B46">
        <v>158.5</v>
      </c>
      <c r="G46" s="1"/>
      <c r="H46" s="10"/>
      <c r="I46" s="10"/>
    </row>
    <row r="47" spans="1:17" x14ac:dyDescent="0.15">
      <c r="A47">
        <v>23.89999961853027</v>
      </c>
      <c r="B47">
        <v>159.5</v>
      </c>
    </row>
    <row r="48" spans="1:17" x14ac:dyDescent="0.15">
      <c r="A48">
        <v>23.79999923706055</v>
      </c>
      <c r="B48">
        <v>159</v>
      </c>
      <c r="H48" s="10"/>
      <c r="I48" s="11"/>
    </row>
    <row r="49" spans="1:10" x14ac:dyDescent="0.15">
      <c r="A49">
        <v>23.79999923706055</v>
      </c>
      <c r="B49">
        <v>158.5</v>
      </c>
      <c r="H49" s="10"/>
      <c r="I49" s="10"/>
    </row>
    <row r="50" spans="1:10" x14ac:dyDescent="0.15">
      <c r="A50">
        <v>23.89999961853027</v>
      </c>
      <c r="B50">
        <v>159</v>
      </c>
    </row>
    <row r="51" spans="1:10" x14ac:dyDescent="0.15">
      <c r="A51">
        <v>23.89999961853027</v>
      </c>
      <c r="B51">
        <v>161</v>
      </c>
    </row>
    <row r="52" spans="1:10" ht="15" thickBot="1" x14ac:dyDescent="0.2">
      <c r="A52">
        <v>23.89999961853027</v>
      </c>
      <c r="B52">
        <v>160</v>
      </c>
    </row>
    <row r="53" spans="1:10" x14ac:dyDescent="0.15">
      <c r="A53">
        <v>23.89999961853027</v>
      </c>
      <c r="B53">
        <v>161.5</v>
      </c>
      <c r="G53" s="15" t="s">
        <v>24</v>
      </c>
      <c r="H53" s="15"/>
      <c r="I53" s="15" t="s">
        <v>25</v>
      </c>
      <c r="J53" s="15"/>
    </row>
    <row r="54" spans="1:10" x14ac:dyDescent="0.15">
      <c r="A54">
        <v>23.79999923706055</v>
      </c>
      <c r="B54">
        <v>160.5</v>
      </c>
    </row>
    <row r="55" spans="1:10" x14ac:dyDescent="0.15">
      <c r="A55">
        <v>23.5</v>
      </c>
      <c r="B55">
        <v>159</v>
      </c>
      <c r="G55" t="s">
        <v>29</v>
      </c>
      <c r="H55">
        <v>24.400806334710889</v>
      </c>
      <c r="I55" t="s">
        <v>29</v>
      </c>
      <c r="J55">
        <v>156.08064516129033</v>
      </c>
    </row>
    <row r="56" spans="1:10" x14ac:dyDescent="0.15">
      <c r="A56">
        <v>23.5</v>
      </c>
      <c r="B56">
        <v>163</v>
      </c>
      <c r="G56" t="s">
        <v>30</v>
      </c>
      <c r="H56">
        <v>8.3307262288078582E-2</v>
      </c>
      <c r="I56" t="s">
        <v>30</v>
      </c>
      <c r="J56">
        <v>0.56166462716570253</v>
      </c>
    </row>
    <row r="57" spans="1:10" x14ac:dyDescent="0.15">
      <c r="A57">
        <v>23.39999961853027</v>
      </c>
      <c r="B57">
        <v>160.5</v>
      </c>
      <c r="G57" t="s">
        <v>9</v>
      </c>
      <c r="H57">
        <v>24.5</v>
      </c>
      <c r="I57" t="s">
        <v>9</v>
      </c>
      <c r="J57">
        <v>156.5</v>
      </c>
    </row>
    <row r="58" spans="1:10" x14ac:dyDescent="0.15">
      <c r="A58">
        <v>23.20000076293945</v>
      </c>
      <c r="B58">
        <v>161</v>
      </c>
      <c r="G58" t="s">
        <v>31</v>
      </c>
      <c r="H58">
        <v>24.89999961853027</v>
      </c>
      <c r="I58" t="s">
        <v>31</v>
      </c>
      <c r="J58">
        <v>154.5</v>
      </c>
    </row>
    <row r="59" spans="1:10" x14ac:dyDescent="0.15">
      <c r="A59">
        <v>23.10000038146973</v>
      </c>
      <c r="B59">
        <v>160</v>
      </c>
      <c r="G59" t="s">
        <v>32</v>
      </c>
      <c r="H59">
        <v>0.655962039218698</v>
      </c>
      <c r="I59" t="s">
        <v>32</v>
      </c>
      <c r="J59">
        <v>4.4225516968566501</v>
      </c>
    </row>
    <row r="60" spans="1:10" x14ac:dyDescent="0.15">
      <c r="A60">
        <v>23.29999923706055</v>
      </c>
      <c r="B60">
        <v>159</v>
      </c>
      <c r="G60" t="s">
        <v>33</v>
      </c>
      <c r="H60">
        <v>0.43028619689595266</v>
      </c>
      <c r="I60" t="s">
        <v>33</v>
      </c>
      <c r="J60">
        <v>19.558963511369633</v>
      </c>
    </row>
    <row r="61" spans="1:10" x14ac:dyDescent="0.15">
      <c r="A61">
        <v>23.10000038146973</v>
      </c>
      <c r="B61">
        <v>158</v>
      </c>
      <c r="G61" t="s">
        <v>23</v>
      </c>
      <c r="H61">
        <v>-0.25760417638817623</v>
      </c>
      <c r="I61" t="s">
        <v>23</v>
      </c>
      <c r="J61">
        <v>-0.79277714046202341</v>
      </c>
    </row>
    <row r="62" spans="1:10" x14ac:dyDescent="0.15">
      <c r="A62">
        <v>23</v>
      </c>
      <c r="B62">
        <v>155</v>
      </c>
      <c r="G62" t="s">
        <v>34</v>
      </c>
      <c r="H62">
        <v>-0.73026403041187515</v>
      </c>
      <c r="I62" t="s">
        <v>34</v>
      </c>
      <c r="J62">
        <v>-0.44110716224844004</v>
      </c>
    </row>
    <row r="63" spans="1:10" x14ac:dyDescent="0.15">
      <c r="A63">
        <v>22.70000076293945</v>
      </c>
      <c r="B63">
        <v>153.5</v>
      </c>
      <c r="G63" t="s">
        <v>35</v>
      </c>
      <c r="H63">
        <v>2.5499992370605504</v>
      </c>
      <c r="I63" t="s">
        <v>35</v>
      </c>
      <c r="J63">
        <v>17.5</v>
      </c>
    </row>
    <row r="64" spans="1:10" x14ac:dyDescent="0.15">
      <c r="G64" t="s">
        <v>36</v>
      </c>
      <c r="H64">
        <v>22.70000076293945</v>
      </c>
      <c r="I64" t="s">
        <v>36</v>
      </c>
      <c r="J64">
        <v>146</v>
      </c>
    </row>
    <row r="65" spans="7:10" x14ac:dyDescent="0.15">
      <c r="G65" t="s">
        <v>37</v>
      </c>
      <c r="H65">
        <v>25.25</v>
      </c>
      <c r="I65" t="s">
        <v>37</v>
      </c>
      <c r="J65">
        <v>163.5</v>
      </c>
    </row>
    <row r="66" spans="7:10" x14ac:dyDescent="0.15">
      <c r="G66" t="s">
        <v>38</v>
      </c>
      <c r="H66">
        <v>1512.8499927520752</v>
      </c>
      <c r="I66" t="s">
        <v>38</v>
      </c>
      <c r="J66">
        <v>9677</v>
      </c>
    </row>
    <row r="67" spans="7:10" ht="15" thickBot="1" x14ac:dyDescent="0.2">
      <c r="G67" s="14" t="s">
        <v>39</v>
      </c>
      <c r="H67" s="14">
        <v>62</v>
      </c>
      <c r="I67" s="14" t="s">
        <v>39</v>
      </c>
      <c r="J67" s="14">
        <v>62</v>
      </c>
    </row>
    <row r="68" spans="7:10" x14ac:dyDescent="0.15">
      <c r="G68" t="s">
        <v>40</v>
      </c>
      <c r="H68">
        <f>H59/H55</f>
        <v>2.6882801749283671E-2</v>
      </c>
      <c r="I68" t="s">
        <v>40</v>
      </c>
      <c r="J68">
        <f>J59/J55</f>
        <v>2.833504238969849E-2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8B92-83BA-C54B-8839-BEBDAB0C1109}">
  <dimension ref="A1:Q69"/>
  <sheetViews>
    <sheetView tabSelected="1" topLeftCell="A37" zoomScale="133" workbookViewId="0">
      <selection activeCell="L51" sqref="L51"/>
    </sheetView>
  </sheetViews>
  <sheetFormatPr baseColWidth="10" defaultColWidth="8.83203125" defaultRowHeight="14" x14ac:dyDescent="0.15"/>
  <cols>
    <col min="1" max="1" width="13.1640625" style="1" customWidth="1"/>
    <col min="2" max="2" width="12" style="1" customWidth="1"/>
    <col min="7" max="7" width="18.83203125" customWidth="1"/>
    <col min="8" max="8" width="10.1640625" customWidth="1"/>
    <col min="9" max="9" width="16.83203125" bestFit="1" customWidth="1"/>
  </cols>
  <sheetData>
    <row r="1" spans="1:8" x14ac:dyDescent="0.15">
      <c r="A1" s="12" t="s">
        <v>24</v>
      </c>
      <c r="B1" s="12" t="s">
        <v>25</v>
      </c>
    </row>
    <row r="2" spans="1:8" x14ac:dyDescent="0.15">
      <c r="A2">
        <v>-8.032082676900254E-3</v>
      </c>
      <c r="B2">
        <v>1.027397260273966E-2</v>
      </c>
    </row>
    <row r="3" spans="1:8" x14ac:dyDescent="0.15">
      <c r="A3">
        <v>8.0971194094416887E-3</v>
      </c>
      <c r="B3">
        <v>1.0169491525423791E-2</v>
      </c>
      <c r="G3" t="s">
        <v>3</v>
      </c>
    </row>
    <row r="4" spans="1:8" x14ac:dyDescent="0.15">
      <c r="A4">
        <v>1.4056240435010411E-2</v>
      </c>
      <c r="B4">
        <v>3.3557046979866278E-3</v>
      </c>
      <c r="H4" t="s">
        <v>4</v>
      </c>
    </row>
    <row r="5" spans="1:8" x14ac:dyDescent="0.15">
      <c r="A5">
        <v>0</v>
      </c>
      <c r="B5">
        <v>-6.6889632107023367E-3</v>
      </c>
      <c r="H5" t="s">
        <v>5</v>
      </c>
    </row>
    <row r="6" spans="1:8" x14ac:dyDescent="0.15">
      <c r="A6">
        <v>0</v>
      </c>
      <c r="B6">
        <v>3.3670033670034631E-3</v>
      </c>
    </row>
    <row r="7" spans="1:8" x14ac:dyDescent="0.15">
      <c r="A7">
        <v>-9.9009900990099098E-3</v>
      </c>
      <c r="B7">
        <v>3.3557046979866278E-3</v>
      </c>
    </row>
    <row r="8" spans="1:8" x14ac:dyDescent="0.15">
      <c r="A8">
        <v>0</v>
      </c>
      <c r="B8">
        <v>3.3444816053511679E-3</v>
      </c>
    </row>
    <row r="9" spans="1:8" x14ac:dyDescent="0.15">
      <c r="A9">
        <v>1.0000000000000011E-2</v>
      </c>
      <c r="B9">
        <v>-3.3333333333332989E-3</v>
      </c>
    </row>
    <row r="10" spans="1:8" x14ac:dyDescent="0.15">
      <c r="A10">
        <v>0</v>
      </c>
      <c r="B10">
        <v>0</v>
      </c>
    </row>
    <row r="11" spans="1:8" x14ac:dyDescent="0.15">
      <c r="A11">
        <v>-1.3861401246325841E-2</v>
      </c>
      <c r="B11">
        <v>3.3444816053511679E-3</v>
      </c>
    </row>
    <row r="12" spans="1:8" x14ac:dyDescent="0.15">
      <c r="A12">
        <v>4.0160796386241593E-3</v>
      </c>
      <c r="B12">
        <v>3.3333333333334099E-3</v>
      </c>
    </row>
    <row r="13" spans="1:8" x14ac:dyDescent="0.15">
      <c r="A13">
        <v>-4.0000152587890137E-3</v>
      </c>
      <c r="B13">
        <v>6.6445182724252927E-3</v>
      </c>
    </row>
    <row r="14" spans="1:8" x14ac:dyDescent="0.15">
      <c r="A14">
        <v>0</v>
      </c>
      <c r="B14">
        <v>1.3201320132013141E-2</v>
      </c>
    </row>
    <row r="15" spans="1:8" x14ac:dyDescent="0.15">
      <c r="A15">
        <v>4.0160796386241593E-3</v>
      </c>
      <c r="B15">
        <v>9.7719869706840434E-3</v>
      </c>
    </row>
    <row r="16" spans="1:8" x14ac:dyDescent="0.15">
      <c r="A16">
        <v>1.0000000000000011E-2</v>
      </c>
      <c r="B16">
        <v>6.4516129032257119E-3</v>
      </c>
    </row>
    <row r="17" spans="1:9" x14ac:dyDescent="0.15">
      <c r="A17">
        <v>-9.9009900990099098E-3</v>
      </c>
      <c r="B17">
        <v>3.2051282051281942E-3</v>
      </c>
    </row>
    <row r="18" spans="1:9" x14ac:dyDescent="0.15">
      <c r="A18">
        <v>0</v>
      </c>
      <c r="B18">
        <v>-1.2779552715655011E-2</v>
      </c>
    </row>
    <row r="19" spans="1:9" x14ac:dyDescent="0.15">
      <c r="A19">
        <v>0</v>
      </c>
      <c r="B19">
        <v>1.294498381877029E-2</v>
      </c>
    </row>
    <row r="20" spans="1:9" x14ac:dyDescent="0.15">
      <c r="A20">
        <v>1.0000000000000011E-2</v>
      </c>
      <c r="B20">
        <v>9.5846645367412275E-3</v>
      </c>
    </row>
    <row r="21" spans="1:9" x14ac:dyDescent="0.15">
      <c r="A21">
        <v>-1.3861401246325841E-2</v>
      </c>
      <c r="B21">
        <v>-6.3291139240506666E-3</v>
      </c>
    </row>
    <row r="22" spans="1:9" x14ac:dyDescent="0.15">
      <c r="A22">
        <v>0</v>
      </c>
      <c r="B22">
        <v>-2.229299363057324E-2</v>
      </c>
    </row>
    <row r="23" spans="1:9" x14ac:dyDescent="0.15">
      <c r="A23">
        <v>-4.0160796386240483E-3</v>
      </c>
      <c r="B23">
        <v>6.514657980456029E-3</v>
      </c>
    </row>
    <row r="24" spans="1:9" x14ac:dyDescent="0.15">
      <c r="A24">
        <v>-1.209674380200121E-2</v>
      </c>
      <c r="B24">
        <v>-3.2362459546925182E-3</v>
      </c>
    </row>
    <row r="25" spans="1:9" x14ac:dyDescent="0.15">
      <c r="A25">
        <v>0</v>
      </c>
      <c r="B25">
        <v>-9.7402597402597157E-3</v>
      </c>
    </row>
    <row r="26" spans="1:9" x14ac:dyDescent="0.15">
      <c r="A26">
        <v>-4.0816482232541862E-3</v>
      </c>
      <c r="B26">
        <v>1.311475409836071E-2</v>
      </c>
    </row>
    <row r="27" spans="1:9" x14ac:dyDescent="0.15">
      <c r="A27">
        <v>0</v>
      </c>
      <c r="B27">
        <v>0</v>
      </c>
    </row>
    <row r="28" spans="1:9" x14ac:dyDescent="0.15">
      <c r="A28">
        <v>1.6393427245240622E-2</v>
      </c>
      <c r="B28">
        <v>9.7087378640776656E-3</v>
      </c>
      <c r="F28" t="s">
        <v>6</v>
      </c>
    </row>
    <row r="29" spans="1:9" x14ac:dyDescent="0.15">
      <c r="A29">
        <v>-4.0321966611861493E-3</v>
      </c>
      <c r="B29">
        <v>6.4102564102563866E-3</v>
      </c>
      <c r="H29" s="12" t="s">
        <v>24</v>
      </c>
      <c r="I29" s="12" t="s">
        <v>25</v>
      </c>
    </row>
    <row r="30" spans="1:9" x14ac:dyDescent="0.15">
      <c r="A30">
        <v>-4.0485983150158056E-3</v>
      </c>
      <c r="B30">
        <v>-6.3694267515923553E-3</v>
      </c>
      <c r="G30" s="1" t="s">
        <v>9</v>
      </c>
      <c r="H30" s="3">
        <f>MEDIAN(A2:A63)</f>
        <v>0</v>
      </c>
      <c r="I30" s="3">
        <f>MEDIAN(B2:B63)</f>
        <v>0</v>
      </c>
    </row>
    <row r="31" spans="1:9" x14ac:dyDescent="0.15">
      <c r="A31">
        <v>-4.0650560942695479E-3</v>
      </c>
      <c r="B31">
        <v>-3.2051282051281942E-3</v>
      </c>
      <c r="G31" s="1" t="s">
        <v>10</v>
      </c>
      <c r="H31" s="3">
        <f>PERCENTILE(A2:A63,0.25)</f>
        <v>-4.3290207713565509E-3</v>
      </c>
      <c r="I31" s="3">
        <f>PERCENTILE(B2:B63,0.25)</f>
        <v>-6.2111801242236142E-3</v>
      </c>
    </row>
    <row r="32" spans="1:9" x14ac:dyDescent="0.15">
      <c r="A32">
        <v>4.0816482232541862E-3</v>
      </c>
      <c r="B32">
        <v>-3.215434083601254E-3</v>
      </c>
      <c r="G32" s="1" t="s">
        <v>11</v>
      </c>
      <c r="H32" s="3">
        <f>PERCENTILE(A2:A63,0.75)</f>
        <v>4.0160796386241593E-3</v>
      </c>
      <c r="I32" s="3">
        <f>PERCENTILE(B2:B63,0.75)</f>
        <v>6.6445182724252927E-3</v>
      </c>
    </row>
    <row r="33" spans="1:17" x14ac:dyDescent="0.15">
      <c r="A33">
        <v>0</v>
      </c>
      <c r="B33">
        <v>-3.225806451612856E-3</v>
      </c>
      <c r="G33" s="1" t="s">
        <v>12</v>
      </c>
      <c r="H33" s="3">
        <f>H32-H31</f>
        <v>8.3451004099807102E-3</v>
      </c>
      <c r="I33" s="3">
        <f>I32-I31</f>
        <v>1.2855698396648907E-2</v>
      </c>
      <c r="L33" s="4"/>
      <c r="M33" s="5" t="s">
        <v>13</v>
      </c>
      <c r="N33" s="5" t="s">
        <v>10</v>
      </c>
      <c r="O33" s="5" t="s">
        <v>14</v>
      </c>
      <c r="P33" s="5" t="s">
        <v>11</v>
      </c>
      <c r="Q33" s="5" t="s">
        <v>15</v>
      </c>
    </row>
    <row r="34" spans="1:17" x14ac:dyDescent="0.15">
      <c r="A34">
        <v>-8.1301121885390959E-3</v>
      </c>
      <c r="B34">
        <v>2.265372168284796E-2</v>
      </c>
      <c r="G34" s="1" t="s">
        <v>16</v>
      </c>
      <c r="H34" s="3">
        <f>MIN(A2:A63)</f>
        <v>-1.3861401246325841E-2</v>
      </c>
      <c r="I34" s="3">
        <f>MIN(B2:B63)</f>
        <v>-2.229299363057324E-2</v>
      </c>
      <c r="L34" s="6" t="s">
        <v>7</v>
      </c>
      <c r="M34" s="7">
        <f>H34</f>
        <v>-1.3861401246325841E-2</v>
      </c>
      <c r="N34" s="8">
        <f>H31</f>
        <v>-4.3290207713565509E-3</v>
      </c>
      <c r="O34" s="7">
        <f>H30</f>
        <v>0</v>
      </c>
      <c r="P34" s="8">
        <f>H32</f>
        <v>4.0160796386241593E-3</v>
      </c>
      <c r="Q34" s="9">
        <f>H35</f>
        <v>1.6393427245240622E-2</v>
      </c>
    </row>
    <row r="35" spans="1:17" x14ac:dyDescent="0.15">
      <c r="A35">
        <v>4.0983763538169349E-3</v>
      </c>
      <c r="B35">
        <v>9.493670886076E-3</v>
      </c>
      <c r="G35" s="1" t="s">
        <v>17</v>
      </c>
      <c r="H35" s="3">
        <f>MAX(A2:A63)</f>
        <v>1.6393427245240622E-2</v>
      </c>
      <c r="I35" s="3">
        <f>MAX(B2:B63)</f>
        <v>2.515723270440251E-2</v>
      </c>
      <c r="L35" s="6" t="s">
        <v>8</v>
      </c>
      <c r="M35" s="9">
        <f>I34</f>
        <v>-2.229299363057324E-2</v>
      </c>
      <c r="N35" s="8">
        <f>I31</f>
        <v>-6.2111801242236142E-3</v>
      </c>
      <c r="O35" s="7">
        <f>I30</f>
        <v>0</v>
      </c>
      <c r="P35" s="8">
        <f>I32</f>
        <v>6.6445182724252927E-3</v>
      </c>
      <c r="Q35" s="7">
        <f>I35</f>
        <v>2.515723270440251E-2</v>
      </c>
    </row>
    <row r="36" spans="1:17" x14ac:dyDescent="0.15">
      <c r="A36">
        <v>-4.0816482232541862E-3</v>
      </c>
      <c r="B36">
        <v>-3.13479623824453E-3</v>
      </c>
      <c r="G36" s="1" t="s">
        <v>18</v>
      </c>
      <c r="H36" s="3">
        <f>1.5*H33</f>
        <v>1.2517650614971065E-2</v>
      </c>
      <c r="I36" s="3">
        <f>1.5*I33</f>
        <v>1.928354759497336E-2</v>
      </c>
    </row>
    <row r="37" spans="1:17" x14ac:dyDescent="0.15">
      <c r="A37">
        <v>4.0983763538169349E-3</v>
      </c>
      <c r="B37">
        <v>6.2893081761006284E-3</v>
      </c>
      <c r="H37" s="3"/>
      <c r="I37" s="3"/>
    </row>
    <row r="38" spans="1:17" x14ac:dyDescent="0.15">
      <c r="A38">
        <v>-8.1632964465082614E-3</v>
      </c>
      <c r="B38">
        <v>-3.125000000000044E-3</v>
      </c>
      <c r="G38" s="1" t="s">
        <v>19</v>
      </c>
      <c r="H38" s="3">
        <f>H31-H36</f>
        <v>-1.6846671386327616E-2</v>
      </c>
      <c r="I38" s="3">
        <f>I31-I36</f>
        <v>-2.5494727719196975E-2</v>
      </c>
      <c r="J38" t="s">
        <v>21</v>
      </c>
    </row>
    <row r="39" spans="1:17" x14ac:dyDescent="0.15">
      <c r="A39">
        <v>8.2304843299922936E-3</v>
      </c>
      <c r="B39">
        <v>1.5673981191222541E-2</v>
      </c>
      <c r="G39" s="1" t="s">
        <v>20</v>
      </c>
      <c r="H39" s="3">
        <f>H32+H36</f>
        <v>1.6533730253595225E-2</v>
      </c>
      <c r="I39" s="3">
        <f>I32+I36</f>
        <v>2.5928065867398653E-2</v>
      </c>
    </row>
    <row r="40" spans="1:17" x14ac:dyDescent="0.15">
      <c r="A40">
        <v>-8.1632964465082614E-3</v>
      </c>
      <c r="B40">
        <v>0</v>
      </c>
      <c r="G40" s="1"/>
      <c r="H40" s="3"/>
      <c r="I40" s="3"/>
      <c r="J40" s="1"/>
      <c r="K40" s="1"/>
    </row>
    <row r="41" spans="1:17" x14ac:dyDescent="0.15">
      <c r="A41">
        <v>4.1152421649961468E-3</v>
      </c>
      <c r="B41">
        <v>9.2592592592593004E-3</v>
      </c>
      <c r="G41" s="1" t="s">
        <v>22</v>
      </c>
      <c r="H41" s="3">
        <f>SKEW(A:A)</f>
        <v>0.28871583817914137</v>
      </c>
      <c r="I41" s="3">
        <f>SKEW(B:B)</f>
        <v>8.0863486502075407E-2</v>
      </c>
      <c r="J41" t="s">
        <v>21</v>
      </c>
    </row>
    <row r="42" spans="1:17" x14ac:dyDescent="0.15">
      <c r="A42">
        <v>4.0983763538169349E-3</v>
      </c>
      <c r="B42">
        <v>-1.223241590214064E-2</v>
      </c>
      <c r="G42" s="1" t="s">
        <v>23</v>
      </c>
      <c r="H42" s="3">
        <f>KURT(A:A)</f>
        <v>-0.11509015961752089</v>
      </c>
      <c r="I42" s="3">
        <f>KURT(B:B)</f>
        <v>0.11900005700630878</v>
      </c>
      <c r="J42" s="1"/>
    </row>
    <row r="43" spans="1:17" x14ac:dyDescent="0.15">
      <c r="A43">
        <v>-1.224486681879788E-2</v>
      </c>
      <c r="B43">
        <v>-3.0959752321981782E-3</v>
      </c>
      <c r="G43" s="1" t="s">
        <v>27</v>
      </c>
      <c r="H43" s="3">
        <f>_xlfn.STDEV.P(A:A)</f>
        <v>6.8711865879914954E-3</v>
      </c>
      <c r="I43" s="3">
        <f>_xlfn.STDEV.P(B:B)</f>
        <v>9.3628336825359714E-3</v>
      </c>
      <c r="J43" s="1"/>
    </row>
    <row r="44" spans="1:17" x14ac:dyDescent="0.15">
      <c r="A44">
        <v>-4.1322470378954979E-3</v>
      </c>
      <c r="B44">
        <v>-6.2111801242236142E-3</v>
      </c>
      <c r="G44" s="1" t="s">
        <v>26</v>
      </c>
      <c r="H44">
        <f>AVERAGE(A2:A63)</f>
        <v>-1.4916780137660143E-3</v>
      </c>
      <c r="I44">
        <f>AVERAGE(B2:B63)</f>
        <v>8.6532620538957202E-4</v>
      </c>
    </row>
    <row r="45" spans="1:17" x14ac:dyDescent="0.15">
      <c r="A45">
        <v>-8.298786712602424E-3</v>
      </c>
      <c r="B45">
        <v>-9.3750000000000222E-3</v>
      </c>
      <c r="G45" s="1" t="s">
        <v>28</v>
      </c>
      <c r="H45" s="13">
        <f>H43/H44</f>
        <v>-4.6063470297077895</v>
      </c>
      <c r="I45" s="13">
        <f>I43/I44</f>
        <v>10.820004784578089</v>
      </c>
    </row>
    <row r="46" spans="1:17" x14ac:dyDescent="0.15">
      <c r="A46">
        <v>0</v>
      </c>
      <c r="B46">
        <v>6.3091482649841879E-3</v>
      </c>
      <c r="G46" s="1"/>
      <c r="H46" s="10"/>
      <c r="I46" s="10"/>
    </row>
    <row r="47" spans="1:17" x14ac:dyDescent="0.15">
      <c r="A47">
        <v>-4.1841164462694813E-3</v>
      </c>
      <c r="B47">
        <v>-3.13479623824453E-3</v>
      </c>
    </row>
    <row r="48" spans="1:17" x14ac:dyDescent="0.15">
      <c r="A48">
        <v>0</v>
      </c>
      <c r="B48">
        <v>-3.1446540880503142E-3</v>
      </c>
      <c r="H48" s="10"/>
      <c r="I48" s="11"/>
    </row>
    <row r="49" spans="1:10" x14ac:dyDescent="0.15">
      <c r="A49">
        <v>4.2016968350995221E-3</v>
      </c>
      <c r="B49">
        <v>3.154574132492094E-3</v>
      </c>
      <c r="H49" s="10"/>
      <c r="I49" s="10"/>
    </row>
    <row r="50" spans="1:10" x14ac:dyDescent="0.15">
      <c r="A50">
        <v>0</v>
      </c>
      <c r="B50">
        <v>1.257861635220126E-2</v>
      </c>
    </row>
    <row r="51" spans="1:10" x14ac:dyDescent="0.15">
      <c r="A51">
        <v>0</v>
      </c>
      <c r="B51">
        <v>-6.2111801242236142E-3</v>
      </c>
    </row>
    <row r="52" spans="1:10" ht="15" thickBot="1" x14ac:dyDescent="0.2">
      <c r="A52">
        <v>0</v>
      </c>
      <c r="B52">
        <v>9.3749999999999112E-3</v>
      </c>
    </row>
    <row r="53" spans="1:10" ht="15" thickBot="1" x14ac:dyDescent="0.2">
      <c r="A53">
        <v>-4.1841164462694813E-3</v>
      </c>
      <c r="B53">
        <v>-6.1919504643962453E-3</v>
      </c>
      <c r="G53" s="15"/>
      <c r="H53" s="15"/>
      <c r="I53" s="15"/>
      <c r="J53" s="15"/>
    </row>
    <row r="54" spans="1:10" x14ac:dyDescent="0.15">
      <c r="A54">
        <v>-1.2605010364596939E-2</v>
      </c>
      <c r="B54">
        <v>-9.3457943925233655E-3</v>
      </c>
      <c r="G54" s="18" t="s">
        <v>24</v>
      </c>
      <c r="H54" s="18"/>
      <c r="I54" s="18" t="s">
        <v>25</v>
      </c>
      <c r="J54" s="18"/>
    </row>
    <row r="55" spans="1:10" x14ac:dyDescent="0.15">
      <c r="A55">
        <v>0</v>
      </c>
      <c r="B55">
        <v>2.515723270440251E-2</v>
      </c>
      <c r="G55" s="16"/>
      <c r="H55" s="16"/>
      <c r="I55" s="16"/>
      <c r="J55" s="16"/>
    </row>
    <row r="56" spans="1:10" x14ac:dyDescent="0.15">
      <c r="A56">
        <v>-4.2553353816905393E-3</v>
      </c>
      <c r="B56">
        <v>-1.533742331288346E-2</v>
      </c>
      <c r="G56" s="16" t="s">
        <v>29</v>
      </c>
      <c r="H56" s="16">
        <v>-1.4916780137660143E-3</v>
      </c>
      <c r="I56" s="16" t="s">
        <v>29</v>
      </c>
      <c r="J56" s="16">
        <v>8.6532620538957202E-4</v>
      </c>
    </row>
    <row r="57" spans="1:10" x14ac:dyDescent="0.15">
      <c r="A57">
        <v>-8.5469597799670005E-3</v>
      </c>
      <c r="B57">
        <v>3.1152647975076771E-3</v>
      </c>
      <c r="G57" s="16" t="s">
        <v>30</v>
      </c>
      <c r="H57" s="16">
        <v>8.8706637413249402E-4</v>
      </c>
      <c r="I57" s="16" t="s">
        <v>30</v>
      </c>
      <c r="J57" s="16">
        <v>1.2087366308590559E-3</v>
      </c>
    </row>
    <row r="58" spans="1:10" x14ac:dyDescent="0.15">
      <c r="A58">
        <v>-4.3103611284992516E-3</v>
      </c>
      <c r="B58">
        <v>-6.2111801242236142E-3</v>
      </c>
      <c r="G58" s="16" t="s">
        <v>9</v>
      </c>
      <c r="H58" s="16">
        <v>0</v>
      </c>
      <c r="I58" s="16" t="s">
        <v>9</v>
      </c>
      <c r="J58" s="16">
        <v>0</v>
      </c>
    </row>
    <row r="59" spans="1:10" x14ac:dyDescent="0.15">
      <c r="A59">
        <v>8.6579589735096274E-3</v>
      </c>
      <c r="B59">
        <v>-6.2499999999999778E-3</v>
      </c>
      <c r="G59" s="16" t="s">
        <v>31</v>
      </c>
      <c r="H59" s="16">
        <v>0</v>
      </c>
      <c r="I59" s="16" t="s">
        <v>31</v>
      </c>
      <c r="J59" s="16">
        <v>0</v>
      </c>
    </row>
    <row r="60" spans="1:10" x14ac:dyDescent="0.15">
      <c r="A60">
        <v>-8.583642151914983E-3</v>
      </c>
      <c r="B60">
        <v>-6.2893081761006284E-3</v>
      </c>
      <c r="G60" s="16" t="s">
        <v>32</v>
      </c>
      <c r="H60" s="16">
        <v>6.9282098610760024E-3</v>
      </c>
      <c r="I60" s="16" t="s">
        <v>32</v>
      </c>
      <c r="J60" s="16">
        <v>9.4405348794234425E-3</v>
      </c>
    </row>
    <row r="61" spans="1:10" x14ac:dyDescent="0.15">
      <c r="A61">
        <v>-4.3290207713565509E-3</v>
      </c>
      <c r="B61">
        <v>-1.8987341772151889E-2</v>
      </c>
      <c r="G61" s="16" t="s">
        <v>33</v>
      </c>
      <c r="H61" s="16">
        <v>4.8000091879110766E-5</v>
      </c>
      <c r="I61" s="16" t="s">
        <v>33</v>
      </c>
      <c r="J61" s="16">
        <v>8.9123698809610608E-5</v>
      </c>
    </row>
    <row r="62" spans="1:10" x14ac:dyDescent="0.15">
      <c r="A62">
        <v>-1.304344508958899E-2</v>
      </c>
      <c r="B62">
        <v>-9.6774193548386789E-3</v>
      </c>
      <c r="G62" s="16" t="s">
        <v>23</v>
      </c>
      <c r="H62" s="16">
        <v>-0.11509015961752089</v>
      </c>
      <c r="I62" s="16" t="s">
        <v>23</v>
      </c>
      <c r="J62" s="16">
        <v>0.11900005700630878</v>
      </c>
    </row>
    <row r="63" spans="1:10" x14ac:dyDescent="0.15">
      <c r="A63"/>
      <c r="B63"/>
      <c r="G63" s="16" t="s">
        <v>34</v>
      </c>
      <c r="H63" s="16">
        <v>0.28871583817914137</v>
      </c>
      <c r="I63" s="16" t="s">
        <v>34</v>
      </c>
      <c r="J63" s="16">
        <v>8.0863486502075407E-2</v>
      </c>
    </row>
    <row r="64" spans="1:10" x14ac:dyDescent="0.15">
      <c r="G64" s="16" t="s">
        <v>35</v>
      </c>
      <c r="H64" s="16">
        <v>3.0254828491566462E-2</v>
      </c>
      <c r="I64" s="16" t="s">
        <v>35</v>
      </c>
      <c r="J64" s="16">
        <v>4.7450226334975754E-2</v>
      </c>
    </row>
    <row r="65" spans="7:10" x14ac:dyDescent="0.15">
      <c r="G65" s="16" t="s">
        <v>36</v>
      </c>
      <c r="H65" s="16">
        <v>-1.3861401246325841E-2</v>
      </c>
      <c r="I65" s="16" t="s">
        <v>36</v>
      </c>
      <c r="J65" s="16">
        <v>-2.229299363057324E-2</v>
      </c>
    </row>
    <row r="66" spans="7:10" x14ac:dyDescent="0.15">
      <c r="G66" s="16" t="s">
        <v>37</v>
      </c>
      <c r="H66" s="16">
        <v>1.6393427245240622E-2</v>
      </c>
      <c r="I66" s="16" t="s">
        <v>37</v>
      </c>
      <c r="J66" s="16">
        <v>2.515723270440251E-2</v>
      </c>
    </row>
    <row r="67" spans="7:10" x14ac:dyDescent="0.15">
      <c r="G67" s="16" t="s">
        <v>38</v>
      </c>
      <c r="H67" s="16">
        <v>-9.0992358839726881E-2</v>
      </c>
      <c r="I67" s="16" t="s">
        <v>38</v>
      </c>
      <c r="J67" s="16">
        <v>5.2784898528763891E-2</v>
      </c>
    </row>
    <row r="68" spans="7:10" ht="15" thickBot="1" x14ac:dyDescent="0.2">
      <c r="G68" s="17" t="s">
        <v>39</v>
      </c>
      <c r="H68" s="17">
        <v>61</v>
      </c>
      <c r="I68" s="17" t="s">
        <v>39</v>
      </c>
      <c r="J68" s="17">
        <v>61</v>
      </c>
    </row>
    <row r="69" spans="7:10" x14ac:dyDescent="0.15">
      <c r="G69" s="16" t="s">
        <v>41</v>
      </c>
      <c r="H69">
        <f>H60/H56</f>
        <v>-4.6445746314812721</v>
      </c>
      <c r="J69">
        <f>J60/J56</f>
        <v>10.909798895057488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DDA91A-7A7E-4EED-A138-9CA8D9815D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7a8c3-a03a-420b-ac21-90cd38a91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91667F-89B1-4CC2-9284-C6031053E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B9CFDD-6579-4659-A191-9D903B8B94C2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89c7a8c3-a03a-420b-ac21-90cd38a91d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Growth_Value</vt:lpstr>
      <vt:lpstr>KBANK_BAY</vt:lpstr>
      <vt:lpstr>KBANK_BAY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KRISSANA PIPUTPRUEDTIGUL</cp:lastModifiedBy>
  <dcterms:created xsi:type="dcterms:W3CDTF">2023-04-01T06:46:22Z</dcterms:created>
  <dcterms:modified xsi:type="dcterms:W3CDTF">2025-02-16T04:47:19Z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